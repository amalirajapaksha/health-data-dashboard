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052e625e7f51e50/Desktop/health-data-dashboard/"/>
    </mc:Choice>
  </mc:AlternateContent>
  <xr:revisionPtr revIDLastSave="6" documentId="8_{E3035ECA-D6B7-465D-980E-4C183A1FC155}" xr6:coauthVersionLast="47" xr6:coauthVersionMax="47" xr10:uidLastSave="{20DCAEF3-62FD-45D9-AABB-9E4AF6A23220}"/>
  <bookViews>
    <workbookView xWindow="-108" yWindow="-108" windowWidth="23256" windowHeight="12456" xr2:uid="{2A79630C-9A4B-4DF8-A985-C83D0C0CC4DD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H5" i="1"/>
  <c r="H4" i="1"/>
  <c r="H3" i="1"/>
  <c r="H2" i="1"/>
  <c r="B4" i="1"/>
  <c r="B2" i="1"/>
  <c r="B5" i="1"/>
  <c r="B3" i="1"/>
  <c r="C3" i="1" l="1"/>
  <c r="C4" i="1"/>
  <c r="C5" i="1"/>
</calcChain>
</file>

<file path=xl/sharedStrings.xml><?xml version="1.0" encoding="utf-8"?>
<sst xmlns="http://schemas.openxmlformats.org/spreadsheetml/2006/main" count="36" uniqueCount="32">
  <si>
    <t>Total</t>
  </si>
  <si>
    <t>Young</t>
  </si>
  <si>
    <t>Working</t>
  </si>
  <si>
    <t>Elderly</t>
  </si>
  <si>
    <t>population</t>
  </si>
  <si>
    <t>proportion</t>
  </si>
  <si>
    <t>percentage</t>
  </si>
  <si>
    <t>Age Group</t>
  </si>
  <si>
    <t>Year</t>
  </si>
  <si>
    <t>Young (0-14)</t>
  </si>
  <si>
    <t>Working Age (15-64)</t>
  </si>
  <si>
    <t>Elderly (65+)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</si>
  <si>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</si>
  <si>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</si>
  <si>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</si>
  <si>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</si>
  <si>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</si>
  <si>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</si>
  <si>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</si>
  <si>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</si>
  <si>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</si>
  <si>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</si>
  <si>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</si>
  <si>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</si>
  <si>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</si>
  <si>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</si>
  <si>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</si>
  <si>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75-79</t>
  </si>
  <si>
    <t>80-84</t>
  </si>
  <si>
    <t>85 and over</t>
  </si>
  <si>
    <t>Age Category</t>
  </si>
  <si>
    <t>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</si>
</sst>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 applyBorder="0"/>
  </cellStyleXfs>
  <cellXfs count="7">
    <xf numFmtId="0" fontId="0" fillId="0" borderId="0" xfId="0"/>
    <xf numFmtId="3" fontId="0" fillId="0" borderId="0" xfId="0" applyNumberFormat="1"/>
    <xf numFmtId="0" fontId="4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</cellXfs>
  <cellStyles count="6">
    <cellStyle name="Normal" xfId="0" builtinId="0"/>
    <cellStyle name="Normal 2" xfId="5" xr:uid="{AB154E9D-9C31-40EC-90AB-A1666AE5D3D7}"/>
    <cellStyle name="Normal 2 3" xfId="4" xr:uid="{22D396CA-C64C-4CC8-8B13-3FE25711AD16}"/>
    <cellStyle name="Normal 3 2" xfId="1" xr:uid="{F992C03B-39F2-4DD8-988F-80745BA3F2B7}"/>
    <cellStyle name="Normal 4" xfId="3" xr:uid="{C2E26479-4674-4650-A523-463E46000F97}"/>
    <cellStyle name="Normal 5" xfId="2" xr:uid="{85B7299B-B956-470E-BB74-4922D09FD13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052e625e7f51e50/Desktop/health-data-dashboard/age_distribution_tidy.xlsx" TargetMode="External"/><Relationship Id="rId1" Type="http://schemas.openxmlformats.org/officeDocument/2006/relationships/externalLinkPath" Target="age_distribution_tid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B2">
            <v>1510090</v>
          </cell>
        </row>
        <row r="3">
          <cell r="B3">
            <v>1610542</v>
          </cell>
        </row>
        <row r="4">
          <cell r="B4">
            <v>1674276</v>
          </cell>
        </row>
        <row r="5">
          <cell r="B5">
            <v>1661944</v>
          </cell>
        </row>
        <row r="6">
          <cell r="B6">
            <v>1788041</v>
          </cell>
        </row>
        <row r="7">
          <cell r="B7">
            <v>1993635</v>
          </cell>
        </row>
        <row r="8">
          <cell r="B8">
            <v>2037179</v>
          </cell>
        </row>
        <row r="9">
          <cell r="B9">
            <v>1984476</v>
          </cell>
        </row>
        <row r="10">
          <cell r="B10">
            <v>1851264</v>
          </cell>
        </row>
        <row r="11">
          <cell r="B11">
            <v>1628162</v>
          </cell>
        </row>
        <row r="12">
          <cell r="B12">
            <v>1689237</v>
          </cell>
        </row>
        <row r="13">
          <cell r="B13">
            <v>1533427</v>
          </cell>
        </row>
        <row r="14">
          <cell r="B14">
            <v>1533966</v>
          </cell>
        </row>
        <row r="15">
          <cell r="B15">
            <v>1359091</v>
          </cell>
        </row>
        <row r="16">
          <cell r="B16">
            <v>1174210</v>
          </cell>
        </row>
        <row r="17">
          <cell r="B17">
            <v>972111</v>
          </cell>
        </row>
        <row r="18">
          <cell r="B18">
            <v>611366</v>
          </cell>
        </row>
        <row r="19">
          <cell r="B19">
            <v>362106</v>
          </cell>
        </row>
        <row r="20">
          <cell r="B20">
            <v>163422</v>
          </cell>
        </row>
        <row r="21">
          <cell r="B21">
            <v>48882</v>
          </cell>
        </row>
        <row r="22">
          <cell r="B22">
            <v>6363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1C755-BF14-4727-B2D5-3664F9595416}">
  <dimension ref="A1:M20"/>
  <sheetViews>
    <sheetView tabSelected="1" workbookViewId="0">
      <selection activeCell="O8" sqref="O8"/>
    </sheetView>
  </sheetViews>
  <sheetFormatPr defaultRowHeight="14.4" x14ac:dyDescent="0.3"/>
  <cols>
    <col min="2" max="2" width="13.44140625" customWidth="1"/>
    <col min="7" max="7" width="18" customWidth="1"/>
    <col min="8" max="8" width="25.33203125" customWidth="1"/>
    <col min="9" max="9" width="14.21875" customWidth="1"/>
    <col min="10" max="10" width="9.77734375" customWidth="1"/>
    <col min="12" max="12" width="18.44140625" customWidth="1"/>
    <col min="13" max="13" width="10.77734375" bestFit="1" customWidth="1"/>
  </cols>
  <sheetData>
    <row r="1" spans="1:13" ht="15.6" x14ac:dyDescent="0.3">
      <c r="B1" t="s">
        <v>4</v>
      </c>
      <c r="C1" t="s">
        <v>5</v>
      </c>
      <c r="D1" t="s">
        <v>6</v>
      </c>
      <c r="G1" t="s">
        <v>7</v>
      </c>
      <c r="H1" t="s">
        <v>31</v>
      </c>
      <c r="I1" t="s">
        <v>8</v>
      </c>
      <c r="L1" s="2" t="s">
        <v>30</v>
      </c>
      <c r="M1" s="2" t="s">
        <v>0</v>
      </c>
    </row>
    <row r="2" spans="1:13" ht="15.6" x14ac:dyDescent="0.3">
      <c r="A2" t="s">
        <v>0</v>
      </c>
      <c r="B2" s="1">
        <f>SUM([1]Sheet1!B2:B22)</f>
        <v>27193790</v>
      </c>
      <c r="C2">
        <v>1</v>
      </c>
      <c r="D2">
        <v>100</v>
      </c>
      <c r="G2" t="s">
        <v>9</v>
      </c>
      <c r="H2" s="1">
        <f>SUM([1]Sheet1!B2:B4)</f>
        <v>4794908</v>
      </c>
      <c r="I2">
        <v>2025</v>
      </c>
      <c r="L2" s="5" t="s">
        <v>12</v>
      </c>
      <c r="M2" s="3">
        <v>1249765</v>
      </c>
    </row>
    <row r="3" spans="1:13" ht="15.6" x14ac:dyDescent="0.3">
      <c r="A3" t="s">
        <v>1</v>
      </c>
      <c r="B3" s="1">
        <f>SUM([1]Sheet1!B2:B4)</f>
        <v>4794908</v>
      </c>
      <c r="C3">
        <f>B3/B2</f>
        <v>0.17632363859542932</v>
      </c>
      <c r="D3">
        <v>17.63</v>
      </c>
      <c r="G3" t="s">
        <v>10</v>
      </c>
      <c r="H3" s="1">
        <f>SUM([1]Sheet1!B5:B14)</f>
        <v>17701331</v>
      </c>
      <c r="I3">
        <v>2025</v>
      </c>
      <c r="L3" s="6" t="s">
        <v>13</v>
      </c>
      <c r="M3" s="3">
        <v>1246436</v>
      </c>
    </row>
    <row r="4" spans="1:13" ht="15.6" x14ac:dyDescent="0.3">
      <c r="A4" t="s">
        <v>2</v>
      </c>
      <c r="B4" s="1">
        <f>SUM([1]Sheet1!B5:B14)</f>
        <v>17701331</v>
      </c>
      <c r="C4">
        <f>B4/B2</f>
        <v>0.6509328416524508</v>
      </c>
      <c r="D4">
        <v>65.099999999999994</v>
      </c>
      <c r="G4" t="s">
        <v>11</v>
      </c>
      <c r="H4" s="1">
        <f>SUM([1]Sheet1!B15:B22)</f>
        <v>4697551</v>
      </c>
      <c r="I4">
        <v>2025</v>
      </c>
      <c r="L4" s="6" t="s">
        <v>14</v>
      </c>
      <c r="M4" s="3">
        <v>1251076</v>
      </c>
    </row>
    <row r="5" spans="1:13" ht="15.6" x14ac:dyDescent="0.3">
      <c r="A5" t="s">
        <v>3</v>
      </c>
      <c r="B5" s="1">
        <f>SUM([1]Sheet1!B15:B22)</f>
        <v>4697551</v>
      </c>
      <c r="C5">
        <f>B5/B2</f>
        <v>0.17274351975211988</v>
      </c>
      <c r="D5">
        <v>17.3</v>
      </c>
      <c r="G5" t="s">
        <v>9</v>
      </c>
      <c r="H5">
        <f>SUM(M2:M4)</f>
        <v>3747277</v>
      </c>
      <c r="I5">
        <v>1971</v>
      </c>
      <c r="L5" s="5" t="s">
        <v>15</v>
      </c>
      <c r="M5" s="3">
        <v>1136296</v>
      </c>
    </row>
    <row r="6" spans="1:13" ht="15.6" x14ac:dyDescent="0.3">
      <c r="G6" t="s">
        <v>10</v>
      </c>
      <c r="H6">
        <f>SUM(M5:M14)</f>
        <v>8229615</v>
      </c>
      <c r="I6">
        <v>1971</v>
      </c>
      <c r="L6" s="5" t="s">
        <v>16</v>
      </c>
      <c r="M6" s="3">
        <v>1140607</v>
      </c>
    </row>
    <row r="7" spans="1:13" ht="15.6" x14ac:dyDescent="0.3">
      <c r="G7" t="s">
        <v>11</v>
      </c>
      <c r="H7">
        <f>SUM(M15:M19)</f>
        <v>1090373</v>
      </c>
      <c r="I7">
        <v>1971</v>
      </c>
      <c r="L7" s="5" t="s">
        <v>17</v>
      </c>
      <c r="M7" s="3">
        <v>962394</v>
      </c>
    </row>
    <row r="8" spans="1:13" ht="15.6" x14ac:dyDescent="0.3">
      <c r="L8" s="5" t="s">
        <v>18</v>
      </c>
      <c r="M8" s="3">
        <v>823969</v>
      </c>
    </row>
    <row r="9" spans="1:13" ht="15.6" x14ac:dyDescent="0.3">
      <c r="L9" s="5" t="s">
        <v>19</v>
      </c>
      <c r="M9" s="3">
        <v>754860</v>
      </c>
    </row>
    <row r="10" spans="1:13" ht="15.6" x14ac:dyDescent="0.3">
      <c r="L10" s="5" t="s">
        <v>20</v>
      </c>
      <c r="M10" s="3">
        <v>803426</v>
      </c>
    </row>
    <row r="11" spans="1:13" ht="15.6" x14ac:dyDescent="0.3">
      <c r="L11" s="5" t="s">
        <v>21</v>
      </c>
      <c r="M11" s="3">
        <v>797844</v>
      </c>
    </row>
    <row r="12" spans="1:13" ht="15.6" x14ac:dyDescent="0.3">
      <c r="L12" s="5" t="s">
        <v>22</v>
      </c>
      <c r="M12" s="3">
        <v>677510</v>
      </c>
    </row>
    <row r="13" spans="1:13" ht="15.6" x14ac:dyDescent="0.3">
      <c r="L13" s="5" t="s">
        <v>23</v>
      </c>
      <c r="M13" s="3">
        <v>616496</v>
      </c>
    </row>
    <row r="14" spans="1:13" ht="15.6" x14ac:dyDescent="0.3">
      <c r="L14" s="5" t="s">
        <v>24</v>
      </c>
      <c r="M14" s="3">
        <v>516213</v>
      </c>
    </row>
    <row r="15" spans="1:13" ht="15.6" x14ac:dyDescent="0.3">
      <c r="L15" s="5" t="s">
        <v>25</v>
      </c>
      <c r="M15" s="3">
        <v>399031</v>
      </c>
    </row>
    <row r="16" spans="1:13" ht="15.6" x14ac:dyDescent="0.3">
      <c r="L16" s="5" t="s">
        <v>26</v>
      </c>
      <c r="M16" s="3">
        <v>298986</v>
      </c>
    </row>
    <row r="17" spans="12:13" ht="15.6" x14ac:dyDescent="0.3">
      <c r="L17" s="5" t="s">
        <v>27</v>
      </c>
      <c r="M17" s="3">
        <v>203537</v>
      </c>
    </row>
    <row r="18" spans="12:13" ht="15.6" x14ac:dyDescent="0.3">
      <c r="L18" s="5" t="s">
        <v>28</v>
      </c>
      <c r="M18" s="3">
        <v>121889</v>
      </c>
    </row>
    <row r="19" spans="12:13" ht="15.6" x14ac:dyDescent="0.3">
      <c r="L19" s="5" t="s">
        <v>29</v>
      </c>
      <c r="M19" s="3">
        <v>66930</v>
      </c>
    </row>
    <row r="20" spans="12:13" ht="15.6" x14ac:dyDescent="0.3">
      <c r="M2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Amali Rajapaksha</dc:creator>
  <cp:lastModifiedBy>Amali Rajapaksha</cp:lastModifiedBy>
  <dcterms:created xsi:type="dcterms:W3CDTF">2026-01-02T19:58:05Z</dcterms:created>
  <dcterms:modified xsi:type="dcterms:W3CDTF">2026-01-03T20:49:38Z</dcterms:modified>
</cp:coreProperties>
</file>