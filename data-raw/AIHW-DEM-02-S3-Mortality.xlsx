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8_{FB13C138-4A77-45A8-ADA7-DD41B3E308DE}" xr6:coauthVersionLast="47" xr6:coauthVersionMax="47" xr10:uidLastSave="{00000000-0000-0000-0000-000000000000}"/>
  <bookViews>
    <workbookView xWindow="2580" yWindow="2580" windowWidth="17280" windowHeight="8880" activeTab="2" xr2:uid="{00000000-000D-0000-FFFF-FFFF00000000}"/>
  </bookViews>
  <sheets>
    <sheet name="Contents" sheetId="14" r:id="rId1"/>
    <sheet name="S3.1" sheetId="17" r:id="rId2"/>
    <sheet name="S3.2" sheetId="2" r:id="rId3"/>
    <sheet name="S3.3" sheetId="3" r:id="rId4"/>
    <sheet name="S3.4" sheetId="15" r:id="rId5"/>
    <sheet name="S3.5" sheetId="5" r:id="rId6"/>
    <sheet name="S3.6" sheetId="6" r:id="rId7"/>
    <sheet name="S3.7" sheetId="7" r:id="rId8"/>
    <sheet name="S3.8" sheetId="8" r:id="rId9"/>
    <sheet name="S3.9" sheetId="9" r:id="rId10"/>
  </sheets>
  <definedNames>
    <definedName name="_xlnm._FilterDatabase" localSheetId="5" hidden="1">'S3.5'!$C$26:$H$56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4" l="1"/>
  <c r="B13" i="14"/>
  <c r="B12" i="14"/>
  <c r="B11" i="14"/>
  <c r="B14" i="14"/>
  <c r="B18" i="14"/>
  <c r="B17" i="14"/>
  <c r="B16" i="14"/>
  <c r="B15" i="14"/>
  <c r="B10" i="14"/>
  <c r="B9" i="14"/>
</calcChain>
</file>

<file path=xl/sharedStrings.xml><?xml version="1.0" encoding="utf-8"?>
<sst xmlns="http://schemas.openxmlformats.org/spreadsheetml/2006/main" count="377" uniqueCount="149">
  <si>
    <t>95+</t>
  </si>
  <si>
    <t>All ages</t>
  </si>
  <si>
    <t>Persons</t>
  </si>
  <si>
    <t>Cause of death</t>
  </si>
  <si>
    <t>Number of deaths</t>
  </si>
  <si>
    <t>Women</t>
  </si>
  <si>
    <t>Men</t>
  </si>
  <si>
    <t>Age groups</t>
  </si>
  <si>
    <t>0–59</t>
  </si>
  <si>
    <t>60–64</t>
  </si>
  <si>
    <t>65–69</t>
  </si>
  <si>
    <t>70–74</t>
  </si>
  <si>
    <t>75–79</t>
  </si>
  <si>
    <t>80–84</t>
  </si>
  <si>
    <t>85–89</t>
  </si>
  <si>
    <t>90–94</t>
  </si>
  <si>
    <t>Females</t>
  </si>
  <si>
    <t>Alzheimer’s disease</t>
  </si>
  <si>
    <t>Unspecified dementia</t>
  </si>
  <si>
    <t>Vascular dementia</t>
  </si>
  <si>
    <t>65–74</t>
  </si>
  <si>
    <t>75–84</t>
  </si>
  <si>
    <t>85–94</t>
  </si>
  <si>
    <t>Year</t>
  </si>
  <si>
    <t>Major Cities</t>
  </si>
  <si>
    <t>Inner Regional</t>
  </si>
  <si>
    <t xml:space="preserve">Outer Regional </t>
  </si>
  <si>
    <t>Remote</t>
  </si>
  <si>
    <t>Very Remote</t>
  </si>
  <si>
    <t>New South Wales</t>
  </si>
  <si>
    <t>Victoria</t>
  </si>
  <si>
    <t>Queensland</t>
  </si>
  <si>
    <t>South Australia</t>
  </si>
  <si>
    <t>Western Australia</t>
  </si>
  <si>
    <t>Tasmania</t>
  </si>
  <si>
    <t>Australian Capital Territory</t>
  </si>
  <si>
    <t>Northern Territory</t>
  </si>
  <si>
    <t>Socioeconomic area</t>
  </si>
  <si>
    <t>Remoteness areas</t>
  </si>
  <si>
    <t>Total number of deaths</t>
  </si>
  <si>
    <t>Other dementias</t>
  </si>
  <si>
    <t xml:space="preserve">65+ </t>
  </si>
  <si>
    <t>Notes</t>
  </si>
  <si>
    <t>Symbols</t>
  </si>
  <si>
    <t>n.p.</t>
  </si>
  <si>
    <t>Not published</t>
  </si>
  <si>
    <t>Sources</t>
  </si>
  <si>
    <t>Suggested Citation</t>
  </si>
  <si>
    <t>National Mortality Database</t>
  </si>
  <si>
    <t>2. This analysis is only based on the underlying cause of death and not on associated causes of death.</t>
  </si>
  <si>
    <t>Contents</t>
  </si>
  <si>
    <t xml:space="preserve">Cause of Death Unit Record File data are provided to the AIHW by the Registrars of Births, Deaths and Marriages and the National Coronial Information System (managed by the Victorian Department of Justice) and include cause of death coded by the Australian Bureau of Statistics (ABS). The data are maintained by the AIHW in the National Mortality Database. For more information about Australian mortality data, including scope and coverage of the collection and a quality declaration, please refer to Deaths, Australia (ABS cat. no. 3302.0) and Causes of death, Australia (ABS cat. no. 3303.0) available from the ABS website. </t>
  </si>
  <si>
    <r>
      <t>Causes of death are coded by the ABS to the International Statistical Classification of Diseases and Related Health Problems, 10</t>
    </r>
    <r>
      <rPr>
        <vertAlign val="superscript"/>
        <sz val="11"/>
        <color theme="1"/>
        <rFont val="Calibri"/>
        <family val="2"/>
      </rPr>
      <t>th</t>
    </r>
    <r>
      <rPr>
        <sz val="11"/>
        <color theme="1"/>
        <rFont val="Calibri"/>
        <family val="2"/>
      </rPr>
      <t xml:space="preserve"> revision (ICD).</t>
    </r>
  </si>
  <si>
    <t>Geography category</t>
  </si>
  <si>
    <t>Geography</t>
  </si>
  <si>
    <t>Overall</t>
  </si>
  <si>
    <t>Australia</t>
  </si>
  <si>
    <t>Age (years)</t>
  </si>
  <si>
    <t>Source: AIHW analysis of the National Mortality Database</t>
  </si>
  <si>
    <t>Age-standardised rate (per 100,000 people)</t>
  </si>
  <si>
    <t>Crude rate (per 100,000 people)</t>
  </si>
  <si>
    <t>Crude rate 
(per 100,000 people)</t>
  </si>
  <si>
    <t>Age-standardised rate 
(per 100,000 people)</t>
  </si>
  <si>
    <t>COVID-19</t>
  </si>
  <si>
    <t>Coronary heart disease</t>
  </si>
  <si>
    <t>Cerebrovascular disease</t>
  </si>
  <si>
    <t>Lung cancer</t>
  </si>
  <si>
    <t>Parkinson disease</t>
  </si>
  <si>
    <t>Diabetes</t>
  </si>
  <si>
    <t>Chronic obstructive pulmonary disease</t>
  </si>
  <si>
    <t>Accidental falls</t>
  </si>
  <si>
    <t>Hypertensive disease</t>
  </si>
  <si>
    <t>30–64</t>
  </si>
  <si>
    <t>1. Due to confidentiality issues, rates are not shown for people aged 30–64 years.</t>
  </si>
  <si>
    <r>
      <t xml:space="preserve">Refer to </t>
    </r>
    <r>
      <rPr>
        <sz val="11"/>
        <rFont val="Calibri"/>
        <family val="2"/>
        <scheme val="minor"/>
      </rPr>
      <t xml:space="preserve">Technical notes for further information on the data source, coding, classifications and methodology for this analysis. </t>
    </r>
  </si>
  <si>
    <t>Dementia type</t>
  </si>
  <si>
    <t>Frontotemporal dementia</t>
  </si>
  <si>
    <t xml:space="preserve">3. The category 'Other dementias' include: Frontotemporal dementia; Lewy body dementia; and Dementia due to the effect of substances. </t>
  </si>
  <si>
    <t>65+</t>
  </si>
  <si>
    <t>Total</t>
  </si>
  <si>
    <t>Age group (years)</t>
  </si>
  <si>
    <t>Dementia in Huntington's disease</t>
  </si>
  <si>
    <t>Dementia in Parkinson's disease</t>
  </si>
  <si>
    <t>4. This analysis is only based on the underlying cause of death (UCOD) and not on associated causes of death (ACOD).</t>
  </si>
  <si>
    <t>1. This analysis is only based on the underlying cause of death (UCOD) and not on associated causes of death (ACOD).</t>
  </si>
  <si>
    <t>Lewy Body Dementia</t>
  </si>
  <si>
    <t>Dementia due to the effective of substances</t>
  </si>
  <si>
    <t>Dementia Type</t>
  </si>
  <si>
    <t>Dementia in Australia, deaths due to dementia – data tables</t>
  </si>
  <si>
    <t>Geography is based on area of usual residence – Statistical Local Area Level 2 (SA2). Unknown/missing includes deaths where place of usual residence was overseas, no fixed abode, offshore and migratory, and undefined. Socioeconomic areas are based on population-based quintiles according to the Socio-Economic Indexes for Areas (SEIFA) 2021 Index of Relative Socio-Economic Disadvantage (IRSD), and correspondence files are sourced from Census of Population and Housing: Socio-Economic Indexes for Areas (SEIFA), Australia, 2021 (ABS 2021). Remoteness areas are classified according to Remoteness Areas 2021, and correspondence files are sourced from the Australian Statistical Geography Standard (ASGS) Edition 3: Remoteness Structure (ABS 2021).</t>
  </si>
  <si>
    <t>Australian Institute of Health and Welfare 2025. Dementia in Australia Cat no. DEM 2 Canberra: AIHW.</t>
  </si>
  <si>
    <t>Table S3.1: Leading causes of death in Australia in 2023, by sex: number and crude rate</t>
  </si>
  <si>
    <t>Deaths are counted according to year of death registration. Deaths registered in 2020 and earlier are based on the final version of cause of death data; deaths registered in 2021 are based on the revised version; and deaths registered in 2022 and 2023 are based on the preliminary version. Revised and preliminary versions are subject to further revision by the Australian Bureau of Statistics (ABS).</t>
  </si>
  <si>
    <t>Table S3.3: Deaths due to dementia in Australia over the period 2009 to 2023: number, age-standardised and crude rates by sex</t>
  </si>
  <si>
    <t>Table S3.4b: Deaths due to "Other dementias" in 2023: number by dementia type and age group</t>
  </si>
  <si>
    <t>Table S3.4c: Deaths with Dementia in Parkinson's disease and Dementia in Huntington's disease in 2023: number by dementia type and age group</t>
  </si>
  <si>
    <t>Table S3.5: Deaths due to dementia over the period 2009 to 2023: age-standardised and crude rates by dementia type</t>
  </si>
  <si>
    <t>Table S3.9: Dementia deaths over the period 2014 to 2023: number, age-standardised rate and crude rate</t>
  </si>
  <si>
    <t>© Australian Institute of Health and Welfare 2025</t>
  </si>
  <si>
    <t>2. Small cell counts have been suppressed for confidentiality.</t>
  </si>
  <si>
    <t>Back to contents page</t>
  </si>
  <si>
    <t>3. Deaths are counted according to year of death registration. Deaths registered in 2020 and earlier are based on the final version of cause of death data; deaths registered in 2021 are based on the revised version; and deaths registered in 2022 and 2023 are based on the preliminary version. Revised and preliminary versions are subject to further revision by the Australian Bureau of Statistics (ABS).</t>
  </si>
  <si>
    <t>5. Small cell counts have been suppressed for confidentiality.</t>
  </si>
  <si>
    <t>1. This analysis is based on the underlying cause of death (UCOD) and associated causes of death (ACOD).</t>
  </si>
  <si>
    <r>
      <t xml:space="preserve">2. The diagnosis code for </t>
    </r>
    <r>
      <rPr>
        <i/>
        <sz val="11"/>
        <color theme="1"/>
        <rFont val="Calibri"/>
        <family val="2"/>
        <scheme val="minor"/>
      </rPr>
      <t xml:space="preserve">Dementia in Parkinson's disease </t>
    </r>
    <r>
      <rPr>
        <sz val="11"/>
        <color theme="1"/>
        <rFont val="Calibri"/>
        <family val="2"/>
        <scheme val="minor"/>
      </rPr>
      <t>is a UCOD of G20 and ACOD of F03 (Unspecified dementia)</t>
    </r>
  </si>
  <si>
    <r>
      <t xml:space="preserve">3. The diagnosis code for </t>
    </r>
    <r>
      <rPr>
        <i/>
        <sz val="11"/>
        <color theme="1"/>
        <rFont val="Calibri"/>
        <family val="2"/>
        <scheme val="minor"/>
      </rPr>
      <t>Dementia in Huntington's disease</t>
    </r>
    <r>
      <rPr>
        <sz val="11"/>
        <color theme="1"/>
        <rFont val="Calibri"/>
        <family val="2"/>
        <scheme val="minor"/>
      </rPr>
      <t xml:space="preserve"> is a UCOD of G10 and ACOD of F03 (Unspecified dementia)</t>
    </r>
  </si>
  <si>
    <t xml:space="preserve"> 1. Age-standardised rates due to dementia over the 2009–2023 period have been directly age-standardised to the 2001 Australian Standard Population by 5-year age group up to age 95+ and are expressed per 100,000 population.</t>
  </si>
  <si>
    <t>State or territory of usual residence</t>
  </si>
  <si>
    <t>1. Age-standardised rates due to dementia over the 2009–2023 period have been directly age-standardised to the 2001 Australian Standard Population by 5-year age group up to age 95+ and are expressed per 100,000 population.</t>
  </si>
  <si>
    <r>
      <rPr>
        <i/>
        <sz val="11"/>
        <color theme="1"/>
        <rFont val="Calibri"/>
        <family val="2"/>
        <scheme val="minor"/>
      </rPr>
      <t xml:space="preserve">Source: </t>
    </r>
    <r>
      <rPr>
        <sz val="11"/>
        <color theme="1"/>
        <rFont val="Calibri"/>
        <family val="2"/>
        <scheme val="minor"/>
      </rPr>
      <t>AIHW analysis of the National Mortality Database</t>
    </r>
  </si>
  <si>
    <r>
      <rPr>
        <i/>
        <sz val="11"/>
        <color theme="1"/>
        <rFont val="Calibri"/>
        <family val="2"/>
        <scheme val="minor"/>
      </rPr>
      <t>Source:</t>
    </r>
    <r>
      <rPr>
        <sz val="11"/>
        <color theme="1"/>
        <rFont val="Calibri"/>
        <family val="2"/>
        <scheme val="minor"/>
      </rPr>
      <t xml:space="preserve"> AIHW analysis of the National Mortality Database</t>
    </r>
  </si>
  <si>
    <r>
      <rPr>
        <sz val="11"/>
        <rFont val="Calibri"/>
        <family val="2"/>
        <scheme val="minor"/>
      </rPr>
      <t xml:space="preserve">See Data sources for more details: </t>
    </r>
    <r>
      <rPr>
        <u/>
        <sz val="11"/>
        <color theme="10"/>
        <rFont val="Calibri"/>
        <family val="2"/>
        <scheme val="minor"/>
      </rPr>
      <t>Dementia in Australia, Data sources - Australian Institute of Health and Welfare (aihw.gov.au)</t>
    </r>
  </si>
  <si>
    <t>1. Age-standardised rates due to dementia over the 2014–2023 period represent the number of deaths per 100,000 population, and have been directly age-standardised to the 2001 Australian Standard Population by 5-year age group up to age 95+.</t>
  </si>
  <si>
    <t>Suicide</t>
  </si>
  <si>
    <t>Liver disease</t>
  </si>
  <si>
    <t>Spinal muscular atrophy and related syndromes</t>
  </si>
  <si>
    <t>Some of the causes of death for persons and women aged less than 65 or for women aged 65–74 have the same rank.</t>
  </si>
  <si>
    <t>0–64</t>
  </si>
  <si>
    <t>Certain conditions originating in the perinatal period, congenital malformations, deformations and chromosomal abnormalities</t>
  </si>
  <si>
    <t>Note</t>
  </si>
  <si>
    <t>Table S3.4a: Deaths due to dementia in 2023: number and age specific rate by sex, age group and dementia type</t>
  </si>
  <si>
    <t>Deaths per 100,000 people</t>
  </si>
  <si>
    <t>2. Age-specific rates are presented per 100,000 people.</t>
  </si>
  <si>
    <t>Table S3.2: Deaths due to dementia in 2023: number and age specific rate by age and sex</t>
  </si>
  <si>
    <t>1. Age-specific rates are presented per 100,000 people.</t>
  </si>
  <si>
    <t>Notes:</t>
  </si>
  <si>
    <t>Deaths due to/with dementia</t>
  </si>
  <si>
    <t xml:space="preserve">3. Deaths due to/with dementia refer to deaths where dementia was listed as the underlying cause of death (UCOD) and/or an associated cause of death (ACOD). </t>
  </si>
  <si>
    <t>Deaths with dementia</t>
  </si>
  <si>
    <t>Deaths due to dementia</t>
  </si>
  <si>
    <t>1. Deaths due to dementia refers to deaths where dementia was recorded as the underlying cause of death (UCOD). It includes 588 deaths (286 men and 302 women) where dementia was listed as both an underlying and associated cause of death.</t>
  </si>
  <si>
    <t>4. Deaths are counted according to year of death registration. Deaths registered in 2020 and earlier are based on the final version of cause of death data; deaths registered in 2021 are based on the revised version; and deaths registered in 2022 and 2023 are based on the preliminary version. Revised and preliminary versions are subject to further revision by the Australian Bureau of Statistics (ABS).</t>
  </si>
  <si>
    <t xml:space="preserve"> 1. Age-standardised rates due to dementia have been directly age-standardised to the 2001 Australian Standard Population by 5-year age group (up to age 95+ for Overall and State or territory, up to 85+ for Remoteness areas and Socioeconomic area), and are expressed per 100,000 population.</t>
  </si>
  <si>
    <t>Table S3.7: Deaths due to or with dementia in 2023: number by sex</t>
  </si>
  <si>
    <r>
      <rPr>
        <i/>
        <sz val="11"/>
        <rFont val="Calibri"/>
        <family val="2"/>
        <scheme val="minor"/>
      </rPr>
      <t>Source:</t>
    </r>
    <r>
      <rPr>
        <sz val="11"/>
        <rFont val="Calibri"/>
        <family val="2"/>
        <scheme val="minor"/>
      </rPr>
      <t xml:space="preserve"> AIHW analysis of the National Mortality Database</t>
    </r>
  </si>
  <si>
    <t>2. Deaths with dementia refers to deaths where dementia was listed as an associated cause of death. Deaths where dementia was listed as both an associated and underlying cause of death are not included.</t>
  </si>
  <si>
    <t>Table S3.8: Leading underlying causes of death in 2023, where dementia was an associated cause of death: number by age and sex</t>
  </si>
  <si>
    <t>2. Deaths due to dementia refers to deaths where dementia was recorded as the underlying cause of death (UCOD). It also includes deaths where dementia was listed as both an underlying and associated cause of death.</t>
  </si>
  <si>
    <t>3. Deaths with dementia refers to deaths where dementia was listed as an associated cause of death. Deaths where dementia was listed as both an associated and underlying cause of death are not included.</t>
  </si>
  <si>
    <t>1 - Lowest</t>
  </si>
  <si>
    <t>5 - Highest</t>
  </si>
  <si>
    <t>Table S3.6: Deaths due to dementia in 2023: age-standardised and crude rates by sex and geographic and socioeconomic areas of usual residence</t>
  </si>
  <si>
    <t>Coronary heart disease (I20–I25)</t>
  </si>
  <si>
    <t>Lung cancer (C33, C34)</t>
  </si>
  <si>
    <t>Cerebrovascular disease (I60–I69)</t>
  </si>
  <si>
    <t>Chronic obstructive pulmonary disease (J40–J44)</t>
  </si>
  <si>
    <t xml:space="preserve">Notes: </t>
  </si>
  <si>
    <t xml:space="preserve">1. Leading causes of death are classified using an AIHW-modified version of Becker et al (2006), and 10th revision (ICD-10) codes are presented in parentheses. Dementia as an underlying cause of death is based on an expanded list of death codes attributed to dementia (that is, relative to the usual dementia codes used to report on deaths – G30, F01, and F03), with the aim of better capturing rarer dementia death types and mixed dementia (see Table 8 in Technical notes). </t>
  </si>
  <si>
    <r>
      <t>Dementia</t>
    </r>
    <r>
      <rPr>
        <vertAlign val="superscript"/>
        <sz val="11"/>
        <color theme="1"/>
        <rFont val="Calibri"/>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</si>
</sst>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
    <numFmt numFmtId="166" formatCode="_-* #,##0_-;\-* #,##0_-;_-* &quot;-&quot;??_-;_-@_-"/>
    <numFmt numFmtId="167" formatCode="#,##0.0"/>
    <numFmt numFmtId="168" formatCode="#,##0.000"/>
  </numFmts>
  <fonts count="38">
    <font>
      <sz val="11"/>
      <color theme="1"/>
      <name val="Calibri"/>
      <family val="2"/>
      <scheme val="minor"/>
    </font>
    <font>
      <b/>
      <sz val="11"/>
      <color theme="1"/>
      <name val="Calibri"/>
      <family val="2"/>
      <scheme val="minor"/>
    </font>
    <font>
      <sz val="10"/>
      <color theme="1"/>
      <name val="Calibri"/>
      <family val="2"/>
      <scheme val="minor"/>
    </font>
    <font>
      <sz val="11"/>
      <color theme="1"/>
      <name val="Calibri"/>
      <family val="2"/>
      <scheme val="minor"/>
    </font>
    <font>
      <i/>
      <sz val="11"/>
      <color theme="1"/>
      <name val="Calibri"/>
      <family val="2"/>
      <scheme val="minor"/>
    </font>
    <font>
      <sz val="12"/>
      <color theme="1"/>
      <name val="Calibri"/>
      <family val="2"/>
    </font>
    <font>
      <b/>
      <sz val="12"/>
      <color theme="1"/>
      <name val="Calibri"/>
      <family val="2"/>
      <scheme val="minor"/>
    </font>
    <font>
      <u/>
      <sz val="11"/>
      <color theme="10"/>
      <name val="Calibri"/>
      <family val="2"/>
      <scheme val="minor"/>
    </font>
    <font>
      <sz val="11"/>
      <color theme="1"/>
      <name val="Arial"/>
      <family val="2"/>
    </font>
    <font>
      <sz val="12"/>
      <color theme="1"/>
      <name val="Calibri"/>
      <family val="2"/>
      <scheme val="minor"/>
    </font>
    <font>
      <sz val="12"/>
      <name val="Calibri"/>
      <family val="2"/>
      <scheme val="minor"/>
    </font>
    <font>
      <sz val="10"/>
      <color theme="1"/>
      <name val="Arial"/>
      <family val="2"/>
    </font>
    <font>
      <sz val="9"/>
      <color theme="1"/>
      <name val="Calibri"/>
      <family val="2"/>
      <scheme val="minor"/>
    </font>
    <font>
      <sz val="9"/>
      <name val="Calibri"/>
      <family val="2"/>
      <scheme val="minor"/>
    </font>
    <font>
      <sz val="11"/>
      <color indexed="8"/>
      <name val="Arial"/>
      <family val="2"/>
    </font>
    <font>
      <sz val="9"/>
      <color theme="1"/>
      <name val="Arial"/>
      <family val="2"/>
    </font>
    <font>
      <sz val="9"/>
      <name val="Arial"/>
      <family val="2"/>
    </font>
    <font>
      <u/>
      <sz val="9"/>
      <color indexed="12"/>
      <name val="Arial"/>
      <family val="2"/>
    </font>
    <font>
      <u/>
      <sz val="8"/>
      <color indexed="12"/>
      <name val="Arial"/>
      <family val="2"/>
    </font>
    <font>
      <u/>
      <sz val="11"/>
      <color theme="10"/>
      <name val="Arial"/>
      <family val="2"/>
    </font>
    <font>
      <b/>
      <sz val="12"/>
      <color theme="1"/>
      <name val="Calibri "/>
    </font>
    <font>
      <b/>
      <sz val="16"/>
      <color theme="1"/>
      <name val="Calibri"/>
      <family val="2"/>
    </font>
    <font>
      <sz val="11"/>
      <color theme="1"/>
      <name val="Calibri"/>
      <family val="2"/>
    </font>
    <font>
      <vertAlign val="superscript"/>
      <sz val="11"/>
      <color theme="1"/>
      <name val="Calibri"/>
      <family val="2"/>
    </font>
    <font>
      <sz val="11"/>
      <name val="Calibri"/>
      <family val="2"/>
      <scheme val="minor"/>
    </font>
    <font>
      <sz val="11"/>
      <name val="Calibri"/>
      <family val="2"/>
    </font>
    <font>
      <sz val="11"/>
      <color theme="9" tint="-0.249977111117893"/>
      <name val="Calibri"/>
      <family val="2"/>
      <scheme val="minor"/>
    </font>
    <font>
      <sz val="11"/>
      <color rgb="FF0070C0"/>
      <name val="Calibri"/>
      <family val="2"/>
      <scheme val="minor"/>
    </font>
    <font>
      <b/>
      <sz val="11"/>
      <color theme="9" tint="-0.249977111117893"/>
      <name val="Calibri"/>
      <family val="2"/>
      <scheme val="minor"/>
    </font>
    <font>
      <sz val="12"/>
      <color theme="9" tint="-0.249977111117893"/>
      <name val="Calibri"/>
      <family val="2"/>
      <scheme val="minor"/>
    </font>
    <font>
      <b/>
      <sz val="12"/>
      <color theme="9" tint="-0.249977111117893"/>
      <name val="Calibri"/>
      <family val="2"/>
      <scheme val="minor"/>
    </font>
    <font>
      <sz val="11"/>
      <color rgb="FFC00000"/>
      <name val="Calibri"/>
      <family val="2"/>
      <scheme val="minor"/>
    </font>
    <font>
      <b/>
      <sz val="11"/>
      <name val="Calibri"/>
      <family val="2"/>
      <scheme val="minor"/>
    </font>
    <font>
      <b/>
      <sz val="12"/>
      <name val="Calibri"/>
      <family val="2"/>
      <scheme val="minor"/>
    </font>
    <font>
      <i/>
      <sz val="11"/>
      <color theme="9" tint="-0.249977111117893"/>
      <name val="Calibri"/>
      <family val="2"/>
      <scheme val="minor"/>
    </font>
    <font>
      <i/>
      <sz val="11"/>
      <name val="Calibri"/>
      <family val="2"/>
      <scheme val="minor"/>
    </font>
    <font>
      <sz val="11"/>
      <color theme="5" tint="-0.249977111117893"/>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0" fontId="7" fillId="0" borderId="0" applyNumberFormat="0" applyFill="0" applyBorder="0" applyAlignment="0" applyProtection="0"/>
    <xf numFmtId="0" fontId="3" fillId="0" borderId="0"/>
    <xf numFmtId="0" fontId="17" fillId="0" borderId="0" applyNumberFormat="0" applyFill="0" applyBorder="0" applyAlignment="0" applyProtection="0">
      <alignment vertical="top"/>
      <protection locked="0"/>
    </xf>
    <xf numFmtId="164" fontId="3" fillId="0" borderId="0" applyFont="0" applyFill="0" applyBorder="0" applyAlignment="0" applyProtection="0"/>
  </cellStyleXfs>
  <cellXfs count="153">
    <xf numFmtId="0" fontId="0" fillId="0" borderId="0" xfId="0"/>
    <xf numFmtId="3" fontId="0" fillId="0" borderId="0" xfId="0" applyNumberFormat="1"/>
    <xf numFmtId="0" fontId="1" fillId="0" borderId="0" xfId="0" applyFont="1"/>
    <xf numFmtId="0" fontId="0" fillId="0" borderId="0" xfId="0" applyAlignment="1">
      <alignment horizontal="left"/>
    </xf>
    <xf numFmtId="0" fontId="1" fillId="0" borderId="0" xfId="0" applyFont="1" applyAlignment="1">
      <alignment horizontal="left"/>
    </xf>
    <xf numFmtId="0" fontId="5" fillId="2" borderId="0" xfId="0" applyFont="1" applyFill="1"/>
    <xf numFmtId="0" fontId="6" fillId="2" borderId="0" xfId="0" applyFont="1" applyFill="1"/>
    <xf numFmtId="0" fontId="8" fillId="2" borderId="0" xfId="0" applyFont="1" applyFill="1"/>
    <xf numFmtId="0" fontId="9" fillId="2" borderId="0" xfId="0" applyFont="1" applyFill="1"/>
    <xf numFmtId="0" fontId="0" fillId="2" borderId="0" xfId="0" applyFill="1"/>
    <xf numFmtId="0" fontId="11" fillId="2" borderId="0" xfId="0" applyFont="1" applyFill="1"/>
    <xf numFmtId="0" fontId="10" fillId="2" borderId="0" xfId="0" applyFont="1" applyFill="1" applyAlignment="1">
      <alignment vertical="center" wrapText="1"/>
    </xf>
    <xf numFmtId="0" fontId="12" fillId="2" borderId="0" xfId="0" applyFont="1" applyFill="1" applyAlignment="1">
      <alignment vertical="center"/>
    </xf>
    <xf numFmtId="0" fontId="13" fillId="2" borderId="0" xfId="0" applyFont="1" applyFill="1" applyAlignment="1">
      <alignment vertical="center" wrapText="1"/>
    </xf>
    <xf numFmtId="0" fontId="2" fillId="2" borderId="0" xfId="0" applyFont="1" applyFill="1"/>
    <xf numFmtId="0" fontId="12" fillId="2" borderId="0" xfId="0" applyFont="1" applyFill="1"/>
    <xf numFmtId="0" fontId="13" fillId="2" borderId="0" xfId="0" applyFont="1" applyFill="1" applyAlignment="1">
      <alignment horizontal="left" vertical="top" wrapText="1" indent="1"/>
    </xf>
    <xf numFmtId="0" fontId="14" fillId="2" borderId="0" xfId="2" applyFont="1" applyFill="1"/>
    <xf numFmtId="0" fontId="15" fillId="2" borderId="0" xfId="0" applyFont="1" applyFill="1"/>
    <xf numFmtId="0" fontId="16" fillId="2" borderId="0" xfId="0" applyFont="1" applyFill="1" applyAlignment="1">
      <alignment horizontal="left" vertical="top" wrapText="1" indent="1"/>
    </xf>
    <xf numFmtId="0" fontId="18" fillId="2" borderId="0" xfId="3" applyFont="1" applyFill="1" applyAlignment="1" applyProtection="1">
      <alignment horizontal="left"/>
    </xf>
    <xf numFmtId="0" fontId="19" fillId="2" borderId="0" xfId="1" applyFont="1" applyFill="1" applyBorder="1" applyAlignment="1" applyProtection="1">
      <alignment horizontal="left"/>
    </xf>
    <xf numFmtId="0" fontId="6" fillId="0" borderId="0" xfId="0" applyFont="1"/>
    <xf numFmtId="0" fontId="9" fillId="0" borderId="0" xfId="0" applyFont="1"/>
    <xf numFmtId="3" fontId="9" fillId="0" borderId="0" xfId="0" applyNumberFormat="1" applyFont="1"/>
    <xf numFmtId="0" fontId="6" fillId="0" borderId="2" xfId="0" applyFont="1" applyBorder="1"/>
    <xf numFmtId="0" fontId="20" fillId="0" borderId="0" xfId="0" applyFont="1"/>
    <xf numFmtId="0" fontId="7" fillId="2" borderId="0" xfId="1" applyFill="1" applyBorder="1"/>
    <xf numFmtId="22" fontId="0" fillId="0" borderId="0" xfId="0" applyNumberFormat="1"/>
    <xf numFmtId="165" fontId="0" fillId="0" borderId="0" xfId="0" applyNumberFormat="1"/>
    <xf numFmtId="0" fontId="6" fillId="0" borderId="3" xfId="0" applyFont="1" applyBorder="1"/>
    <xf numFmtId="0" fontId="1" fillId="0" borderId="2" xfId="0" applyFont="1" applyBorder="1"/>
    <xf numFmtId="0" fontId="1" fillId="0" borderId="2" xfId="0" applyFont="1" applyBorder="1" applyAlignment="1">
      <alignment horizontal="center" wrapText="1"/>
    </xf>
    <xf numFmtId="0" fontId="0" fillId="0" borderId="1" xfId="0" applyBorder="1"/>
    <xf numFmtId="3" fontId="0" fillId="0" borderId="1" xfId="0" applyNumberFormat="1" applyBorder="1"/>
    <xf numFmtId="1" fontId="0" fillId="0" borderId="0" xfId="0" applyNumberFormat="1"/>
    <xf numFmtId="1" fontId="0" fillId="0" borderId="1" xfId="0" applyNumberFormat="1" applyBorder="1"/>
    <xf numFmtId="0" fontId="21" fillId="2" borderId="0" xfId="0" applyFont="1" applyFill="1"/>
    <xf numFmtId="0" fontId="22" fillId="2" borderId="0" xfId="0" applyFont="1" applyFill="1" applyAlignment="1">
      <alignment horizontal="left" vertical="top" wrapText="1"/>
    </xf>
    <xf numFmtId="0" fontId="22" fillId="2" borderId="0" xfId="0" applyFont="1" applyFill="1" applyAlignment="1">
      <alignment vertical="top" wrapText="1"/>
    </xf>
    <xf numFmtId="0" fontId="22" fillId="2" borderId="0" xfId="0" applyFont="1" applyFill="1"/>
    <xf numFmtId="0" fontId="0" fillId="2" borderId="0" xfId="0" applyFill="1" applyAlignment="1">
      <alignment vertical="center"/>
    </xf>
    <xf numFmtId="0" fontId="24" fillId="2" borderId="0" xfId="0" applyFont="1" applyFill="1" applyAlignment="1">
      <alignment vertical="center" wrapText="1"/>
    </xf>
    <xf numFmtId="0" fontId="5" fillId="2" borderId="0" xfId="0" quotePrefix="1" applyFont="1" applyFill="1"/>
    <xf numFmtId="0" fontId="0" fillId="0" borderId="0" xfId="0" applyAlignment="1">
      <alignment horizontal="center" wrapText="1"/>
    </xf>
    <xf numFmtId="0" fontId="0" fillId="0" borderId="3" xfId="0" applyBorder="1" applyAlignment="1">
      <alignment horizontal="left" wrapText="1"/>
    </xf>
    <xf numFmtId="0" fontId="0" fillId="0" borderId="3" xfId="0" applyBorder="1"/>
    <xf numFmtId="0" fontId="0" fillId="0" borderId="0" xfId="0" applyAlignment="1">
      <alignment horizontal="left" wrapText="1"/>
    </xf>
    <xf numFmtId="0" fontId="0" fillId="0" borderId="3" xfId="0" applyBorder="1" applyAlignment="1">
      <alignment horizontal="left"/>
    </xf>
    <xf numFmtId="0" fontId="0" fillId="0" borderId="1" xfId="0" applyBorder="1" applyAlignment="1">
      <alignment horizontal="left"/>
    </xf>
    <xf numFmtId="0" fontId="1" fillId="0" borderId="1" xfId="0" applyFont="1" applyBorder="1" applyAlignment="1">
      <alignment horizontal="left" wrapText="1"/>
    </xf>
    <xf numFmtId="0" fontId="1" fillId="0" borderId="1" xfId="0" applyFont="1" applyBorder="1" applyAlignment="1">
      <alignment horizontal="right" wrapText="1"/>
    </xf>
    <xf numFmtId="0" fontId="1" fillId="0" borderId="2" xfId="0" applyFont="1" applyBorder="1" applyAlignment="1">
      <alignment horizontal="right"/>
    </xf>
    <xf numFmtId="165" fontId="0" fillId="0" borderId="1" xfId="0" applyNumberFormat="1" applyBorder="1"/>
    <xf numFmtId="0" fontId="1" fillId="0" borderId="2" xfId="0" applyFont="1" applyBorder="1" applyAlignment="1">
      <alignment horizontal="right" wrapText="1"/>
    </xf>
    <xf numFmtId="1" fontId="0" fillId="0" borderId="0" xfId="0" applyNumberFormat="1" applyAlignment="1">
      <alignment horizontal="right"/>
    </xf>
    <xf numFmtId="0" fontId="1" fillId="0" borderId="0" xfId="0" applyFont="1" applyAlignment="1">
      <alignment horizontal="right" wrapText="1"/>
    </xf>
    <xf numFmtId="166" fontId="0" fillId="0" borderId="1" xfId="4" applyNumberFormat="1" applyFont="1" applyBorder="1"/>
    <xf numFmtId="0" fontId="1" fillId="0" borderId="3" xfId="0" applyFont="1" applyBorder="1" applyAlignment="1">
      <alignment horizontal="right"/>
    </xf>
    <xf numFmtId="166" fontId="0" fillId="0" borderId="3" xfId="4" applyNumberFormat="1" applyFont="1" applyBorder="1"/>
    <xf numFmtId="166" fontId="0" fillId="0" borderId="0" xfId="4" applyNumberFormat="1" applyFont="1"/>
    <xf numFmtId="0" fontId="1" fillId="0" borderId="1" xfId="0" applyFont="1" applyBorder="1"/>
    <xf numFmtId="165" fontId="0" fillId="0" borderId="0" xfId="0" applyNumberFormat="1" applyAlignment="1">
      <alignment horizontal="right"/>
    </xf>
    <xf numFmtId="167" fontId="0" fillId="0" borderId="0" xfId="0" applyNumberFormat="1" applyAlignment="1">
      <alignment horizontal="right"/>
    </xf>
    <xf numFmtId="167" fontId="0" fillId="0" borderId="0" xfId="0" applyNumberFormat="1"/>
    <xf numFmtId="167" fontId="0" fillId="0" borderId="1" xfId="0" applyNumberFormat="1" applyBorder="1"/>
    <xf numFmtId="0" fontId="7" fillId="0" borderId="0" xfId="1"/>
    <xf numFmtId="0" fontId="1" fillId="0" borderId="0" xfId="0" applyFont="1" applyAlignment="1">
      <alignment horizontal="right"/>
    </xf>
    <xf numFmtId="0" fontId="0" fillId="0" borderId="0" xfId="0" applyAlignment="1">
      <alignment horizontal="right"/>
    </xf>
    <xf numFmtId="0" fontId="26" fillId="0" borderId="3" xfId="0" applyFont="1" applyBorder="1" applyAlignment="1">
      <alignment horizontal="left" wrapText="1"/>
    </xf>
    <xf numFmtId="0" fontId="26" fillId="0" borderId="0" xfId="0" applyFont="1"/>
    <xf numFmtId="4" fontId="0" fillId="0" borderId="0" xfId="0" applyNumberFormat="1"/>
    <xf numFmtId="0" fontId="1" fillId="0" borderId="0" xfId="0" applyFont="1" applyAlignment="1">
      <alignment wrapText="1"/>
    </xf>
    <xf numFmtId="0" fontId="28" fillId="0" borderId="0" xfId="0" applyFont="1"/>
    <xf numFmtId="0" fontId="29" fillId="0" borderId="0" xfId="0" applyFont="1"/>
    <xf numFmtId="0" fontId="27" fillId="0" borderId="0" xfId="0" applyFont="1"/>
    <xf numFmtId="0" fontId="30" fillId="0" borderId="0" xfId="0" applyFont="1"/>
    <xf numFmtId="0" fontId="26" fillId="0" borderId="0" xfId="0" applyFont="1" applyAlignment="1">
      <alignment horizontal="left" wrapText="1"/>
    </xf>
    <xf numFmtId="168" fontId="0" fillId="0" borderId="0" xfId="0" applyNumberFormat="1"/>
    <xf numFmtId="167" fontId="0" fillId="0" borderId="0" xfId="0" applyNumberFormat="1" applyAlignment="1">
      <alignment horizontal="left"/>
    </xf>
    <xf numFmtId="0" fontId="31" fillId="0" borderId="0" xfId="0" applyFont="1"/>
    <xf numFmtId="0" fontId="33" fillId="0" borderId="0" xfId="0" applyFont="1"/>
    <xf numFmtId="3" fontId="24" fillId="0" borderId="0" xfId="0" applyNumberFormat="1" applyFont="1"/>
    <xf numFmtId="0" fontId="1" fillId="0" borderId="1" xfId="0" applyFont="1" applyBorder="1" applyAlignment="1">
      <alignment horizontal="right"/>
    </xf>
    <xf numFmtId="0" fontId="24" fillId="0" borderId="0" xfId="0" applyFont="1"/>
    <xf numFmtId="0" fontId="4" fillId="0" borderId="0" xfId="0" applyFont="1"/>
    <xf numFmtId="0" fontId="4" fillId="0" borderId="3" xfId="0" applyFont="1" applyBorder="1"/>
    <xf numFmtId="0" fontId="4" fillId="0" borderId="0" xfId="0" applyFont="1" applyAlignment="1">
      <alignment horizontal="left"/>
    </xf>
    <xf numFmtId="0" fontId="1" fillId="0" borderId="3" xfId="0" applyFont="1" applyBorder="1" applyAlignment="1">
      <alignment horizontal="center"/>
    </xf>
    <xf numFmtId="0" fontId="24" fillId="0" borderId="3" xfId="0" applyFont="1" applyBorder="1"/>
    <xf numFmtId="0" fontId="0" fillId="0" borderId="0" xfId="0" applyAlignment="1">
      <alignment horizontal="right" wrapText="1"/>
    </xf>
    <xf numFmtId="0" fontId="0" fillId="0" borderId="1" xfId="0" applyBorder="1" applyAlignment="1">
      <alignment horizontal="left" wrapText="1"/>
    </xf>
    <xf numFmtId="0" fontId="0" fillId="0" borderId="1" xfId="0" applyBorder="1" applyAlignment="1">
      <alignment horizontal="right" wrapText="1"/>
    </xf>
    <xf numFmtId="166" fontId="0" fillId="0" borderId="3" xfId="4" applyNumberFormat="1" applyFont="1" applyBorder="1" applyAlignment="1">
      <alignment horizontal="right"/>
    </xf>
    <xf numFmtId="166" fontId="0" fillId="0" borderId="0" xfId="4" applyNumberFormat="1" applyFont="1" applyBorder="1"/>
    <xf numFmtId="0" fontId="0" fillId="0" borderId="0" xfId="0" applyAlignment="1">
      <alignment horizontal="left" vertical="top" wrapText="1"/>
    </xf>
    <xf numFmtId="0" fontId="0" fillId="0" borderId="0" xfId="0" applyAlignment="1">
      <alignment horizontal="right" vertical="top" wrapText="1"/>
    </xf>
    <xf numFmtId="0" fontId="0" fillId="0" borderId="0" xfId="0" applyAlignment="1">
      <alignment vertical="top"/>
    </xf>
    <xf numFmtId="0" fontId="9" fillId="0" borderId="0" xfId="0" applyFont="1" applyAlignment="1">
      <alignment vertical="top"/>
    </xf>
    <xf numFmtId="0" fontId="0" fillId="0" borderId="3" xfId="0" applyBorder="1" applyAlignment="1">
      <alignment horizontal="left" vertical="top" wrapText="1"/>
    </xf>
    <xf numFmtId="0" fontId="0" fillId="0" borderId="3" xfId="0" applyBorder="1" applyAlignment="1">
      <alignment horizontal="right" vertical="top" wrapText="1"/>
    </xf>
    <xf numFmtId="166" fontId="26" fillId="0" borderId="0" xfId="4" applyNumberFormat="1" applyFont="1" applyFill="1" applyBorder="1"/>
    <xf numFmtId="166" fontId="0" fillId="0" borderId="2" xfId="4" applyNumberFormat="1" applyFont="1" applyBorder="1"/>
    <xf numFmtId="0" fontId="26" fillId="0" borderId="0" xfId="0" quotePrefix="1" applyFont="1"/>
    <xf numFmtId="0" fontId="32" fillId="0" borderId="1" xfId="0" applyFont="1" applyBorder="1" applyAlignment="1">
      <alignment horizontal="right" wrapText="1"/>
    </xf>
    <xf numFmtId="166" fontId="24" fillId="0" borderId="0" xfId="4" applyNumberFormat="1" applyFont="1" applyFill="1" applyBorder="1"/>
    <xf numFmtId="0" fontId="26" fillId="0" borderId="0" xfId="0" applyFont="1" applyAlignment="1">
      <alignment horizontal="right"/>
    </xf>
    <xf numFmtId="0" fontId="36" fillId="0" borderId="0" xfId="0" applyFont="1" applyAlignment="1">
      <alignment horizontal="left"/>
    </xf>
    <xf numFmtId="166" fontId="1" fillId="0" borderId="0" xfId="4" applyNumberFormat="1" applyFont="1" applyFill="1" applyBorder="1"/>
    <xf numFmtId="166" fontId="26" fillId="0" borderId="0" xfId="4" applyNumberFormat="1" applyFont="1" applyFill="1" applyBorder="1" applyAlignment="1">
      <alignment horizontal="left" vertical="center"/>
    </xf>
    <xf numFmtId="166" fontId="26" fillId="0" borderId="0" xfId="4" applyNumberFormat="1" applyFont="1" applyFill="1" applyBorder="1" applyAlignment="1">
      <alignment horizontal="left"/>
    </xf>
    <xf numFmtId="166" fontId="0" fillId="0" borderId="0" xfId="0" applyNumberFormat="1" applyAlignment="1">
      <alignment horizontal="left"/>
    </xf>
    <xf numFmtId="0" fontId="26" fillId="0" borderId="0" xfId="0" applyFont="1" applyAlignment="1">
      <alignment horizontal="left"/>
    </xf>
    <xf numFmtId="166" fontId="0" fillId="0" borderId="0" xfId="4" applyNumberFormat="1" applyFont="1" applyFill="1" applyBorder="1"/>
    <xf numFmtId="0" fontId="1" fillId="0" borderId="0" xfId="0" applyFont="1" applyAlignment="1">
      <alignment horizontal="left" wrapText="1"/>
    </xf>
    <xf numFmtId="0" fontId="4" fillId="0" borderId="0" xfId="0" applyFont="1" applyAlignment="1">
      <alignment horizontal="left" wrapText="1"/>
    </xf>
    <xf numFmtId="3" fontId="24" fillId="0" borderId="1" xfId="0" applyNumberFormat="1" applyFont="1" applyBorder="1"/>
    <xf numFmtId="3" fontId="24" fillId="0" borderId="1" xfId="0" applyNumberFormat="1" applyFont="1" applyBorder="1" applyAlignment="1">
      <alignment horizontal="right"/>
    </xf>
    <xf numFmtId="166" fontId="0" fillId="0" borderId="0" xfId="4" applyNumberFormat="1" applyFont="1" applyBorder="1" applyAlignment="1">
      <alignment horizontal="right" wrapText="1"/>
    </xf>
    <xf numFmtId="166" fontId="1" fillId="0" borderId="0" xfId="4" applyNumberFormat="1" applyFont="1" applyBorder="1" applyAlignment="1">
      <alignment horizontal="right" wrapText="1"/>
    </xf>
    <xf numFmtId="166" fontId="0" fillId="0" borderId="0" xfId="4" applyNumberFormat="1" applyFont="1" applyAlignment="1">
      <alignment horizontal="right" wrapText="1"/>
    </xf>
    <xf numFmtId="0" fontId="34" fillId="0" borderId="0" xfId="0" applyFont="1" applyAlignment="1">
      <alignment horizontal="left"/>
    </xf>
    <xf numFmtId="0" fontId="28" fillId="0" borderId="0" xfId="0" quotePrefix="1" applyFont="1" applyAlignment="1">
      <alignment horizontal="left"/>
    </xf>
    <xf numFmtId="166" fontId="24" fillId="0" borderId="3" xfId="4" applyNumberFormat="1" applyFont="1" applyBorder="1"/>
    <xf numFmtId="0" fontId="24" fillId="0" borderId="2" xfId="0" applyFont="1" applyBorder="1"/>
    <xf numFmtId="166" fontId="24" fillId="0" borderId="2" xfId="4" applyNumberFormat="1" applyFont="1" applyBorder="1"/>
    <xf numFmtId="166" fontId="24" fillId="0" borderId="0" xfId="4" applyNumberFormat="1" applyFont="1" applyBorder="1"/>
    <xf numFmtId="0" fontId="24" fillId="0" borderId="0" xfId="0" applyFont="1" applyAlignment="1">
      <alignment horizontal="left"/>
    </xf>
    <xf numFmtId="1" fontId="24" fillId="0" borderId="0" xfId="0" applyNumberFormat="1" applyFont="1"/>
    <xf numFmtId="1" fontId="24" fillId="0" borderId="1" xfId="0" applyNumberFormat="1" applyFont="1" applyBorder="1"/>
    <xf numFmtId="0" fontId="25" fillId="2" borderId="0" xfId="0" applyFont="1" applyFill="1" applyAlignment="1">
      <alignment horizontal="left" vertical="top" wrapText="1"/>
    </xf>
    <xf numFmtId="0" fontId="22" fillId="2" borderId="0" xfId="0" applyFont="1" applyFill="1" applyAlignment="1">
      <alignment horizontal="left" vertical="top" wrapText="1"/>
    </xf>
    <xf numFmtId="0" fontId="1" fillId="0" borderId="2" xfId="0" applyFont="1" applyBorder="1" applyAlignment="1">
      <alignment horizontal="center"/>
    </xf>
    <xf numFmtId="0" fontId="1" fillId="0" borderId="3" xfId="0" applyFont="1" applyBorder="1" applyAlignment="1">
      <alignment horizontal="center" wrapText="1"/>
    </xf>
    <xf numFmtId="0" fontId="32" fillId="0" borderId="3" xfId="0" applyFont="1" applyBorder="1" applyAlignment="1">
      <alignment horizontal="center" wrapText="1"/>
    </xf>
    <xf numFmtId="0" fontId="1" fillId="0" borderId="3" xfId="0" applyFont="1" applyBorder="1" applyAlignment="1">
      <alignment horizontal="left" wrapText="1"/>
    </xf>
    <xf numFmtId="0" fontId="1" fillId="0" borderId="1" xfId="0" applyFont="1" applyBorder="1" applyAlignment="1">
      <alignment horizontal="left" wrapText="1"/>
    </xf>
    <xf numFmtId="0" fontId="1" fillId="0" borderId="2" xfId="0" applyFont="1" applyBorder="1" applyAlignment="1">
      <alignment horizontal="center" wrapText="1"/>
    </xf>
    <xf numFmtId="0" fontId="1" fillId="0" borderId="3" xfId="0" applyFont="1" applyBorder="1"/>
    <xf numFmtId="0" fontId="1" fillId="0" borderId="1" xfId="0" applyFont="1" applyBorder="1"/>
    <xf numFmtId="0" fontId="24" fillId="0" borderId="0" xfId="0" applyFont="1" applyAlignment="1">
      <alignment horizontal="left" vertical="center" wrapText="1"/>
    </xf>
    <xf numFmtId="0" fontId="35" fillId="0" borderId="0" xfId="0" applyFont="1" applyAlignment="1">
      <alignment horizontal="left" wrapText="1"/>
    </xf>
    <xf numFmtId="0" fontId="1" fillId="0" borderId="3" xfId="0" applyFont="1" applyBorder="1" applyAlignment="1">
      <alignment horizontal="left"/>
    </xf>
    <xf numFmtId="0" fontId="1" fillId="0" borderId="1" xfId="0" applyFont="1" applyBorder="1" applyAlignment="1">
      <alignment horizontal="left"/>
    </xf>
    <xf numFmtId="0" fontId="24" fillId="0" borderId="1" xfId="0" applyFont="1" applyBorder="1" applyAlignment="1">
      <alignment horizontal="left" vertical="center" wrapText="1"/>
    </xf>
    <xf numFmtId="0" fontId="0" fillId="0" borderId="0" xfId="0" applyAlignment="1">
      <alignment horizontal="left" vertical="center"/>
    </xf>
    <xf numFmtId="0" fontId="1" fillId="0" borderId="3" xfId="0" applyFont="1" applyBorder="1" applyAlignment="1">
      <alignment wrapText="1"/>
    </xf>
    <xf numFmtId="0" fontId="1" fillId="0" borderId="1" xfId="0" applyFont="1" applyBorder="1" applyAlignment="1">
      <alignment wrapText="1"/>
    </xf>
    <xf numFmtId="0" fontId="0" fillId="0" borderId="3" xfId="0" applyBorder="1" applyAlignment="1">
      <alignment horizontal="left" vertical="center"/>
    </xf>
    <xf numFmtId="0" fontId="0" fillId="0" borderId="1" xfId="0" applyBorder="1" applyAlignment="1">
      <alignment horizontal="left" vertical="center"/>
    </xf>
    <xf numFmtId="0" fontId="32" fillId="0" borderId="2" xfId="0" applyFont="1" applyBorder="1" applyAlignment="1">
      <alignment horizontal="center"/>
    </xf>
    <xf numFmtId="0" fontId="24" fillId="0" borderId="2" xfId="0" applyFont="1" applyBorder="1" applyAlignment="1">
      <alignment horizontal="center"/>
    </xf>
    <xf numFmtId="0" fontId="24" fillId="0" borderId="2" xfId="0" applyFont="1" applyBorder="1"/>
  </cellXfs>
  <cellStyles count="5">
    <cellStyle name="Comma" xfId="4" builtinId="3"/>
    <cellStyle name="Hyperlink" xfId="1" builtinId="8"/>
    <cellStyle name="Hyperlink 11" xfId="3" xr:uid="{00000000-0005-0000-0000-000002000000}"/>
    <cellStyle name="Normal" xfId="0" builtinId="0"/>
    <cellStyle name="Normal 2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2</xdr:col>
      <xdr:colOff>2717800</xdr:colOff>
      <xdr:row>3</xdr:row>
      <xdr:rowOff>104775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1885950</xdr:colOff>
      <xdr:row>39</xdr:row>
      <xdr:rowOff>0</xdr:rowOff>
    </xdr:from>
    <xdr:ext cx="590550" cy="114300"/>
    <xdr:pic>
      <xdr:nvPicPr>
        <xdr:cNvPr id="3" name="Picture 7" descr="H:\Exchange\Temp\CC.jp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4875" y="6391275"/>
          <a:ext cx="590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1669676</xdr:colOff>
      <xdr:row>2</xdr:row>
      <xdr:rowOff>145676</xdr:rowOff>
    </xdr:from>
    <xdr:ext cx="184731" cy="264560"/>
    <xdr:sp macro="" textlink="">
      <xdr:nvSpPr>
        <xdr:cNvPr id="4" name="TextBox 3">
          <a:extLst>
            <a:ext uri="{FF2B5EF4-FFF2-40B4-BE49-F238E27FC236}">
              <a16:creationId xmlns:a16="http://schemas.microsoft.com/office/drawing/2014/main" id="{8D044781-E280-4E28-9FF4-A58A59B5AD24}"/>
            </a:ext>
          </a:extLst>
        </xdr:cNvPr>
        <xdr:cNvSpPr txBox="1"/>
      </xdr:nvSpPr>
      <xdr:spPr>
        <a:xfrm>
          <a:off x="1669676" y="621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2</xdr:row>
      <xdr:rowOff>145676</xdr:rowOff>
    </xdr:from>
    <xdr:ext cx="184731" cy="264560"/>
    <xdr:sp macro="" textlink="">
      <xdr:nvSpPr>
        <xdr:cNvPr id="5" name="TextBox 4">
          <a:extLst>
            <a:ext uri="{FF2B5EF4-FFF2-40B4-BE49-F238E27FC236}">
              <a16:creationId xmlns:a16="http://schemas.microsoft.com/office/drawing/2014/main" id="{B4F8AA58-6531-4881-A86C-B02ACDE2F3A4}"/>
            </a:ext>
          </a:extLst>
        </xdr:cNvPr>
        <xdr:cNvSpPr txBox="1"/>
      </xdr:nvSpPr>
      <xdr:spPr>
        <a:xfrm>
          <a:off x="1669676" y="621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15</xdr:row>
      <xdr:rowOff>145676</xdr:rowOff>
    </xdr:from>
    <xdr:ext cx="184731" cy="264560"/>
    <xdr:sp macro="" textlink="">
      <xdr:nvSpPr>
        <xdr:cNvPr id="7" name="TextBox 6">
          <a:extLst>
            <a:ext uri="{FF2B5EF4-FFF2-40B4-BE49-F238E27FC236}">
              <a16:creationId xmlns:a16="http://schemas.microsoft.com/office/drawing/2014/main" id="{C281A5A6-3E59-4F53-A89C-046EF1621EB1}"/>
            </a:ext>
          </a:extLst>
        </xdr:cNvPr>
        <xdr:cNvSpPr txBox="1"/>
      </xdr:nvSpPr>
      <xdr:spPr>
        <a:xfrm>
          <a:off x="5301876" y="6155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15</xdr:row>
      <xdr:rowOff>145676</xdr:rowOff>
    </xdr:from>
    <xdr:ext cx="184731" cy="264560"/>
    <xdr:sp macro="" textlink="">
      <xdr:nvSpPr>
        <xdr:cNvPr id="9" name="TextBox 8">
          <a:extLst>
            <a:ext uri="{FF2B5EF4-FFF2-40B4-BE49-F238E27FC236}">
              <a16:creationId xmlns:a16="http://schemas.microsoft.com/office/drawing/2014/main" id="{4782DFB1-9D13-4BD6-B019-5D974DC0CD29}"/>
            </a:ext>
          </a:extLst>
        </xdr:cNvPr>
        <xdr:cNvSpPr txBox="1"/>
      </xdr:nvSpPr>
      <xdr:spPr>
        <a:xfrm>
          <a:off x="5301876" y="2272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20</xdr:row>
      <xdr:rowOff>145676</xdr:rowOff>
    </xdr:from>
    <xdr:ext cx="184731" cy="264560"/>
    <xdr:sp macro="" textlink="">
      <xdr:nvSpPr>
        <xdr:cNvPr id="15" name="TextBox 14">
          <a:extLst>
            <a:ext uri="{FF2B5EF4-FFF2-40B4-BE49-F238E27FC236}">
              <a16:creationId xmlns:a16="http://schemas.microsoft.com/office/drawing/2014/main" id="{9D2DAD65-855B-4C91-AB73-AC991231409C}"/>
            </a:ext>
          </a:extLst>
        </xdr:cNvPr>
        <xdr:cNvSpPr txBox="1"/>
      </xdr:nvSpPr>
      <xdr:spPr>
        <a:xfrm>
          <a:off x="5301876" y="32063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21</xdr:row>
      <xdr:rowOff>145676</xdr:rowOff>
    </xdr:from>
    <xdr:ext cx="184731" cy="264560"/>
    <xdr:sp macro="" textlink="">
      <xdr:nvSpPr>
        <xdr:cNvPr id="17" name="TextBox 16">
          <a:extLst>
            <a:ext uri="{FF2B5EF4-FFF2-40B4-BE49-F238E27FC236}">
              <a16:creationId xmlns:a16="http://schemas.microsoft.com/office/drawing/2014/main" id="{399401E1-9435-4715-9738-B5961277835B}"/>
            </a:ext>
          </a:extLst>
        </xdr:cNvPr>
        <xdr:cNvSpPr txBox="1"/>
      </xdr:nvSpPr>
      <xdr:spPr>
        <a:xfrm>
          <a:off x="5301876" y="33905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18</xdr:row>
      <xdr:rowOff>145676</xdr:rowOff>
    </xdr:from>
    <xdr:ext cx="184731" cy="264560"/>
    <xdr:sp macro="" textlink="">
      <xdr:nvSpPr>
        <xdr:cNvPr id="18" name="TextBox 17">
          <a:extLst>
            <a:ext uri="{FF2B5EF4-FFF2-40B4-BE49-F238E27FC236}">
              <a16:creationId xmlns:a16="http://schemas.microsoft.com/office/drawing/2014/main" id="{256B25EB-65D7-4B57-9C44-46892F53CBCE}"/>
            </a:ext>
          </a:extLst>
        </xdr:cNvPr>
        <xdr:cNvSpPr txBox="1"/>
      </xdr:nvSpPr>
      <xdr:spPr>
        <a:xfrm>
          <a:off x="4425576" y="30222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19</xdr:row>
      <xdr:rowOff>145676</xdr:rowOff>
    </xdr:from>
    <xdr:ext cx="184731" cy="264560"/>
    <xdr:sp macro="" textlink="">
      <xdr:nvSpPr>
        <xdr:cNvPr id="20" name="TextBox 19">
          <a:extLst>
            <a:ext uri="{FF2B5EF4-FFF2-40B4-BE49-F238E27FC236}">
              <a16:creationId xmlns:a16="http://schemas.microsoft.com/office/drawing/2014/main" id="{EC91281B-C7E4-46DB-AC77-8A445596A30C}"/>
            </a:ext>
          </a:extLst>
        </xdr:cNvPr>
        <xdr:cNvSpPr txBox="1"/>
      </xdr:nvSpPr>
      <xdr:spPr>
        <a:xfrm>
          <a:off x="5301876" y="30222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17</xdr:row>
      <xdr:rowOff>145676</xdr:rowOff>
    </xdr:from>
    <xdr:ext cx="184731" cy="264560"/>
    <xdr:sp macro="" textlink="">
      <xdr:nvSpPr>
        <xdr:cNvPr id="21" name="TextBox 20">
          <a:extLst>
            <a:ext uri="{FF2B5EF4-FFF2-40B4-BE49-F238E27FC236}">
              <a16:creationId xmlns:a16="http://schemas.microsoft.com/office/drawing/2014/main" id="{A66EFFCC-6F5A-486F-82E4-E247B1B2ACE8}"/>
            </a:ext>
          </a:extLst>
        </xdr:cNvPr>
        <xdr:cNvSpPr txBox="1"/>
      </xdr:nvSpPr>
      <xdr:spPr>
        <a:xfrm>
          <a:off x="5301876" y="33905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16</xdr:row>
      <xdr:rowOff>145676</xdr:rowOff>
    </xdr:from>
    <xdr:ext cx="184731" cy="264560"/>
    <xdr:sp macro="" textlink="">
      <xdr:nvSpPr>
        <xdr:cNvPr id="22" name="TextBox 21">
          <a:extLst>
            <a:ext uri="{FF2B5EF4-FFF2-40B4-BE49-F238E27FC236}">
              <a16:creationId xmlns:a16="http://schemas.microsoft.com/office/drawing/2014/main" id="{64C9D794-AF26-4E96-B52F-8CFA834DD3DD}"/>
            </a:ext>
          </a:extLst>
        </xdr:cNvPr>
        <xdr:cNvSpPr txBox="1"/>
      </xdr:nvSpPr>
      <xdr:spPr>
        <a:xfrm>
          <a:off x="5301876" y="28380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15</xdr:row>
      <xdr:rowOff>145676</xdr:rowOff>
    </xdr:from>
    <xdr:ext cx="184731" cy="264560"/>
    <xdr:sp macro="" textlink="">
      <xdr:nvSpPr>
        <xdr:cNvPr id="23" name="TextBox 22">
          <a:extLst>
            <a:ext uri="{FF2B5EF4-FFF2-40B4-BE49-F238E27FC236}">
              <a16:creationId xmlns:a16="http://schemas.microsoft.com/office/drawing/2014/main" id="{04C05000-89B5-45E3-8AA9-1362A9472A98}"/>
            </a:ext>
          </a:extLst>
        </xdr:cNvPr>
        <xdr:cNvSpPr txBox="1"/>
      </xdr:nvSpPr>
      <xdr:spPr>
        <a:xfrm>
          <a:off x="5301876" y="22856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1</xdr:col>
      <xdr:colOff>1669676</xdr:colOff>
      <xdr:row>16</xdr:row>
      <xdr:rowOff>145676</xdr:rowOff>
    </xdr:from>
    <xdr:ext cx="184731" cy="264560"/>
    <xdr:sp macro="" textlink="">
      <xdr:nvSpPr>
        <xdr:cNvPr id="24" name="TextBox 23">
          <a:extLst>
            <a:ext uri="{FF2B5EF4-FFF2-40B4-BE49-F238E27FC236}">
              <a16:creationId xmlns:a16="http://schemas.microsoft.com/office/drawing/2014/main" id="{2F44004F-3E46-43A7-9894-357F65770EF7}"/>
            </a:ext>
          </a:extLst>
        </xdr:cNvPr>
        <xdr:cNvSpPr txBox="1"/>
      </xdr:nvSpPr>
      <xdr:spPr>
        <a:xfrm>
          <a:off x="4425576" y="24697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16</xdr:row>
      <xdr:rowOff>145676</xdr:rowOff>
    </xdr:from>
    <xdr:ext cx="184731" cy="264560"/>
    <xdr:sp macro="" textlink="">
      <xdr:nvSpPr>
        <xdr:cNvPr id="25" name="TextBox 24">
          <a:extLst>
            <a:ext uri="{FF2B5EF4-FFF2-40B4-BE49-F238E27FC236}">
              <a16:creationId xmlns:a16="http://schemas.microsoft.com/office/drawing/2014/main" id="{6C31938A-22A0-4FB1-BEDA-12A2C218F080}"/>
            </a:ext>
          </a:extLst>
        </xdr:cNvPr>
        <xdr:cNvSpPr txBox="1"/>
      </xdr:nvSpPr>
      <xdr:spPr>
        <a:xfrm>
          <a:off x="5301876" y="24697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17</xdr:row>
      <xdr:rowOff>145676</xdr:rowOff>
    </xdr:from>
    <xdr:ext cx="184731" cy="264560"/>
    <xdr:sp macro="" textlink="">
      <xdr:nvSpPr>
        <xdr:cNvPr id="26" name="TextBox 25">
          <a:extLst>
            <a:ext uri="{FF2B5EF4-FFF2-40B4-BE49-F238E27FC236}">
              <a16:creationId xmlns:a16="http://schemas.microsoft.com/office/drawing/2014/main" id="{26C7E09A-CD2A-42FA-95EA-E3547E091EDD}"/>
            </a:ext>
          </a:extLst>
        </xdr:cNvPr>
        <xdr:cNvSpPr txBox="1"/>
      </xdr:nvSpPr>
      <xdr:spPr>
        <a:xfrm>
          <a:off x="5301876" y="2653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875926</xdr:colOff>
      <xdr:row>15</xdr:row>
      <xdr:rowOff>145676</xdr:rowOff>
    </xdr:from>
    <xdr:ext cx="184731" cy="264560"/>
    <xdr:sp macro="" textlink="">
      <xdr:nvSpPr>
        <xdr:cNvPr id="27" name="TextBox 26">
          <a:extLst>
            <a:ext uri="{FF2B5EF4-FFF2-40B4-BE49-F238E27FC236}">
              <a16:creationId xmlns:a16="http://schemas.microsoft.com/office/drawing/2014/main" id="{C3561B5E-57CF-42C5-ADD3-8D22745B783B}"/>
            </a:ext>
          </a:extLst>
        </xdr:cNvPr>
        <xdr:cNvSpPr txBox="1"/>
      </xdr:nvSpPr>
      <xdr:spPr>
        <a:xfrm>
          <a:off x="5301876" y="28380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875926</xdr:colOff>
      <xdr:row>15</xdr:row>
      <xdr:rowOff>145676</xdr:rowOff>
    </xdr:from>
    <xdr:ext cx="184731" cy="264560"/>
    <xdr:sp macro="" textlink="">
      <xdr:nvSpPr>
        <xdr:cNvPr id="28" name="TextBox 27">
          <a:extLst>
            <a:ext uri="{FF2B5EF4-FFF2-40B4-BE49-F238E27FC236}">
              <a16:creationId xmlns:a16="http://schemas.microsoft.com/office/drawing/2014/main" id="{B1503024-EC2E-47A9-9282-0938892B77DA}"/>
            </a:ext>
          </a:extLst>
        </xdr:cNvPr>
        <xdr:cNvSpPr txBox="1"/>
      </xdr:nvSpPr>
      <xdr:spPr>
        <a:xfrm>
          <a:off x="5301876" y="28380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17</xdr:row>
      <xdr:rowOff>145676</xdr:rowOff>
    </xdr:from>
    <xdr:ext cx="184731" cy="264560"/>
    <xdr:sp macro="" textlink="">
      <xdr:nvSpPr>
        <xdr:cNvPr id="29" name="TextBox 28">
          <a:extLst>
            <a:ext uri="{FF2B5EF4-FFF2-40B4-BE49-F238E27FC236}">
              <a16:creationId xmlns:a16="http://schemas.microsoft.com/office/drawing/2014/main" id="{B6697C7B-3993-47B5-A7E3-5ED291472B53}"/>
            </a:ext>
          </a:extLst>
        </xdr:cNvPr>
        <xdr:cNvSpPr txBox="1"/>
      </xdr:nvSpPr>
      <xdr:spPr>
        <a:xfrm>
          <a:off x="5301876" y="22856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875926</xdr:colOff>
      <xdr:row>17</xdr:row>
      <xdr:rowOff>145676</xdr:rowOff>
    </xdr:from>
    <xdr:ext cx="184731" cy="264560"/>
    <xdr:sp macro="" textlink="">
      <xdr:nvSpPr>
        <xdr:cNvPr id="30" name="TextBox 29">
          <a:extLst>
            <a:ext uri="{FF2B5EF4-FFF2-40B4-BE49-F238E27FC236}">
              <a16:creationId xmlns:a16="http://schemas.microsoft.com/office/drawing/2014/main" id="{31C3FCB1-4F83-47AB-A25C-45696D52F226}"/>
            </a:ext>
          </a:extLst>
        </xdr:cNvPr>
        <xdr:cNvSpPr txBox="1"/>
      </xdr:nvSpPr>
      <xdr:spPr>
        <a:xfrm>
          <a:off x="5301876" y="22856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875926</xdr:colOff>
      <xdr:row>17</xdr:row>
      <xdr:rowOff>145676</xdr:rowOff>
    </xdr:from>
    <xdr:ext cx="184731" cy="264560"/>
    <xdr:sp macro="" textlink="">
      <xdr:nvSpPr>
        <xdr:cNvPr id="31" name="TextBox 30">
          <a:extLst>
            <a:ext uri="{FF2B5EF4-FFF2-40B4-BE49-F238E27FC236}">
              <a16:creationId xmlns:a16="http://schemas.microsoft.com/office/drawing/2014/main" id="{973F84B3-5CFC-4A63-B26A-70C1F8F53F0D}"/>
            </a:ext>
          </a:extLst>
        </xdr:cNvPr>
        <xdr:cNvSpPr txBox="1"/>
      </xdr:nvSpPr>
      <xdr:spPr>
        <a:xfrm>
          <a:off x="5301876" y="22856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1669676</xdr:colOff>
      <xdr:row>15</xdr:row>
      <xdr:rowOff>145676</xdr:rowOff>
    </xdr:from>
    <xdr:ext cx="184731" cy="264560"/>
    <xdr:sp macro="" textlink="">
      <xdr:nvSpPr>
        <xdr:cNvPr id="2" name="TextBox 1">
          <a:extLst>
            <a:ext uri="{FF2B5EF4-FFF2-40B4-BE49-F238E27FC236}">
              <a16:creationId xmlns:a16="http://schemas.microsoft.com/office/drawing/2014/main" id="{E7E0D626-9168-468C-BA4C-933BBDF52375}"/>
            </a:ext>
          </a:extLst>
        </xdr:cNvPr>
        <xdr:cNvSpPr txBox="1"/>
      </xdr:nvSpPr>
      <xdr:spPr>
        <a:xfrm>
          <a:off x="1828426" y="329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875926</xdr:colOff>
      <xdr:row>15</xdr:row>
      <xdr:rowOff>145676</xdr:rowOff>
    </xdr:from>
    <xdr:ext cx="184731" cy="264560"/>
    <xdr:sp macro="" textlink="">
      <xdr:nvSpPr>
        <xdr:cNvPr id="6" name="TextBox 5">
          <a:extLst>
            <a:ext uri="{FF2B5EF4-FFF2-40B4-BE49-F238E27FC236}">
              <a16:creationId xmlns:a16="http://schemas.microsoft.com/office/drawing/2014/main" id="{3057E94F-2C5A-477D-8E4F-5138ACE65240}"/>
            </a:ext>
          </a:extLst>
        </xdr:cNvPr>
        <xdr:cNvSpPr txBox="1"/>
      </xdr:nvSpPr>
      <xdr:spPr>
        <a:xfrm>
          <a:off x="1828426" y="329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2</xdr:col>
      <xdr:colOff>875926</xdr:colOff>
      <xdr:row>15</xdr:row>
      <xdr:rowOff>145676</xdr:rowOff>
    </xdr:from>
    <xdr:ext cx="184731" cy="264560"/>
    <xdr:sp macro="" textlink="">
      <xdr:nvSpPr>
        <xdr:cNvPr id="10" name="TextBox 9">
          <a:extLst>
            <a:ext uri="{FF2B5EF4-FFF2-40B4-BE49-F238E27FC236}">
              <a16:creationId xmlns:a16="http://schemas.microsoft.com/office/drawing/2014/main" id="{C7EFE63A-0178-453A-8BE2-155D4E952FEE}"/>
            </a:ext>
          </a:extLst>
        </xdr:cNvPr>
        <xdr:cNvSpPr txBox="1"/>
      </xdr:nvSpPr>
      <xdr:spPr>
        <a:xfrm>
          <a:off x="1828426" y="329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solidFill>
              <a:srgbClr val="FF0000"/>
            </a:solidFill>
          </a:endParaRPr>
        </a:p>
      </xdr:txBody>
    </xdr:sp>
    <xdr:clientData/>
  </xdr:oneCellAnchor>
  <xdr:oneCellAnchor>
    <xdr:from>
      <xdr:col>0</xdr:col>
      <xdr:colOff>1669676</xdr:colOff>
      <xdr:row>16</xdr:row>
      <xdr:rowOff>145676</xdr:rowOff>
    </xdr:from>
    <xdr:ext cx="184731" cy="264560"/>
    <xdr:sp macro="" textlink="">
      <xdr:nvSpPr>
        <xdr:cNvPr id="11" name="TextBox 10">
          <a:extLst>
            <a:ext uri="{FF2B5EF4-FFF2-40B4-BE49-F238E27FC236}">
              <a16:creationId xmlns:a16="http://schemas.microsoft.com/office/drawing/2014/main" id="{B87D03F5-5363-4062-9A6D-B9369C2DB555}"/>
            </a:ext>
          </a:extLst>
        </xdr:cNvPr>
        <xdr:cNvSpPr txBox="1"/>
      </xdr:nvSpPr>
      <xdr:spPr>
        <a:xfrm>
          <a:off x="1669676" y="9838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ihw.gov.au/reports/dementia/dementia-in-aus/contents/technical-notes/data-source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M41"/>
  <sheetViews>
    <sheetView topLeftCell="A3" workbookViewId="0">
      <selection activeCell="B9" sqref="B9"/>
    </sheetView>
  </sheetViews>
  <sheetFormatPr defaultColWidth="9.21875" defaultRowHeight="15.6"/>
  <cols>
    <col min="1" max="1" width="2.77734375" style="5" customWidth="1"/>
    <col min="2" max="2" width="7.77734375" style="5" customWidth="1"/>
    <col min="3" max="3" width="89.77734375" style="5" customWidth="1"/>
    <col min="4" max="16384" width="9.21875" style="5"/>
  </cols>
  <sheetData>
    <row r="5" spans="2:5" ht="21">
      <c r="B5" s="37" t="s">
        <v>88</v>
      </c>
    </row>
    <row r="6" spans="2:5" ht="21">
      <c r="B6" s="37"/>
    </row>
    <row r="7" spans="2:5">
      <c r="B7" s="6" t="s">
        <v>50</v>
      </c>
    </row>
    <row r="8" spans="2:5">
      <c r="B8" s="27" t="str">
        <f>'S3.1'!A1</f>
        <v>Table S3.1: Leading causes of death in Australia in 2023, by sex: number and crude rate</v>
      </c>
      <c r="E8" s="43"/>
    </row>
    <row r="9" spans="2:5">
      <c r="B9" s="27" t="str">
        <f>'S3.2'!A1</f>
        <v>Table S3.2: Deaths due to dementia in 2023: number and age specific rate by age and sex</v>
      </c>
      <c r="E9" s="43"/>
    </row>
    <row r="10" spans="2:5">
      <c r="B10" s="27" t="str">
        <f>'S3.3'!A1</f>
        <v>Table S3.3: Deaths due to dementia in Australia over the period 2009 to 2023: number, age-standardised and crude rates by sex</v>
      </c>
      <c r="E10" s="43"/>
    </row>
    <row r="11" spans="2:5">
      <c r="B11" s="27" t="str">
        <f>'S3.4'!A1</f>
        <v>Table S3.4a: Deaths due to dementia in 2023: number and age specific rate by sex, age group and dementia type</v>
      </c>
      <c r="E11" s="43"/>
    </row>
    <row r="12" spans="2:5">
      <c r="B12" s="27" t="str">
        <f>'S3.4'!A25</f>
        <v>Table S3.4b: Deaths due to "Other dementias" in 2023: number by dementia type and age group</v>
      </c>
      <c r="E12" s="43"/>
    </row>
    <row r="13" spans="2:5">
      <c r="B13" s="27" t="str">
        <f>'S3.4'!A36</f>
        <v>Table S3.4c: Deaths with Dementia in Parkinson's disease and Dementia in Huntington's disease in 2023: number by dementia type and age group</v>
      </c>
      <c r="E13" s="43"/>
    </row>
    <row r="14" spans="2:5">
      <c r="B14" s="27" t="str">
        <f>'S3.5'!A1</f>
        <v>Table S3.5: Deaths due to dementia over the period 2009 to 2023: age-standardised and crude rates by dementia type</v>
      </c>
      <c r="E14" s="43"/>
    </row>
    <row r="15" spans="2:5">
      <c r="B15" s="27" t="str">
        <f>'S3.6'!A1</f>
        <v>Table S3.6: Deaths due to dementia in 2023: age-standardised and crude rates by sex and geographic and socioeconomic areas of usual residence</v>
      </c>
      <c r="E15" s="43"/>
    </row>
    <row r="16" spans="2:5">
      <c r="B16" s="27" t="str">
        <f>'S3.7'!A1</f>
        <v>Table S3.7: Deaths due to or with dementia in 2023: number by sex</v>
      </c>
      <c r="E16" s="43"/>
    </row>
    <row r="17" spans="2:13">
      <c r="B17" s="27" t="str">
        <f>'S3.8'!A1</f>
        <v>Table S3.8: Leading underlying causes of death in 2023, where dementia was an associated cause of death: number by age and sex</v>
      </c>
      <c r="E17" s="43"/>
    </row>
    <row r="18" spans="2:13">
      <c r="B18" s="27" t="str">
        <f>'S3.9'!A1</f>
        <v>Table S3.9: Dementia deaths over the period 2014 to 2023: number, age-standardised rate and crude rate</v>
      </c>
      <c r="E18" s="43"/>
    </row>
    <row r="19" spans="2:13">
      <c r="B19" s="27"/>
    </row>
    <row r="20" spans="2:13" s="7" customFormat="1">
      <c r="B20" s="6" t="s">
        <v>42</v>
      </c>
      <c r="C20" s="5"/>
      <c r="D20" s="5"/>
      <c r="E20" s="5"/>
      <c r="F20" s="5"/>
      <c r="G20" s="5"/>
      <c r="H20" s="5"/>
      <c r="I20" s="5"/>
      <c r="J20" s="5"/>
    </row>
    <row r="21" spans="2:13" s="8" customFormat="1" ht="76.05" customHeight="1">
      <c r="B21" s="131" t="s">
        <v>51</v>
      </c>
      <c r="C21" s="131"/>
      <c r="D21" s="131"/>
      <c r="E21" s="131"/>
      <c r="F21" s="131"/>
      <c r="G21" s="39"/>
      <c r="H21" s="39"/>
      <c r="I21" s="39"/>
      <c r="J21" s="39"/>
      <c r="K21" s="39"/>
      <c r="L21" s="39"/>
      <c r="M21" s="39"/>
    </row>
    <row r="22" spans="2:13" s="8" customFormat="1">
      <c r="B22" s="38"/>
      <c r="C22" s="38"/>
      <c r="D22" s="38"/>
      <c r="E22" s="38"/>
      <c r="F22" s="38"/>
      <c r="G22" s="39"/>
      <c r="H22" s="39"/>
      <c r="I22" s="39"/>
      <c r="J22" s="39"/>
      <c r="K22" s="39"/>
      <c r="L22" s="39"/>
      <c r="M22" s="39"/>
    </row>
    <row r="23" spans="2:13" s="8" customFormat="1" ht="15.6" customHeight="1">
      <c r="B23" s="131" t="s">
        <v>52</v>
      </c>
      <c r="C23" s="131"/>
      <c r="D23" s="131"/>
      <c r="E23" s="131"/>
      <c r="F23" s="131"/>
      <c r="G23" s="39"/>
      <c r="H23" s="39"/>
      <c r="I23" s="39"/>
      <c r="J23" s="39"/>
      <c r="K23" s="39"/>
      <c r="L23" s="39"/>
      <c r="M23" s="39"/>
    </row>
    <row r="24" spans="2:13" s="8" customFormat="1" ht="15.6" customHeight="1">
      <c r="B24" s="38"/>
      <c r="C24" s="38"/>
      <c r="D24" s="38"/>
      <c r="E24" s="38"/>
      <c r="F24" s="38"/>
      <c r="G24" s="39"/>
      <c r="H24" s="39"/>
      <c r="I24" s="39"/>
      <c r="J24" s="39"/>
      <c r="K24" s="39"/>
      <c r="L24" s="39"/>
      <c r="M24" s="39"/>
    </row>
    <row r="25" spans="2:13" s="8" customFormat="1" ht="43.05" customHeight="1">
      <c r="B25" s="131" t="s">
        <v>92</v>
      </c>
      <c r="C25" s="131"/>
      <c r="D25" s="131"/>
      <c r="E25" s="131"/>
      <c r="F25" s="131"/>
      <c r="G25" s="39"/>
      <c r="H25" s="39"/>
      <c r="I25" s="39"/>
      <c r="J25" s="39"/>
      <c r="K25" s="39"/>
      <c r="L25" s="39"/>
      <c r="M25" s="39"/>
    </row>
    <row r="26" spans="2:13" s="8" customFormat="1">
      <c r="B26" s="38"/>
      <c r="C26" s="38"/>
      <c r="D26" s="38"/>
      <c r="E26" s="38"/>
      <c r="F26" s="38"/>
      <c r="G26" s="39"/>
      <c r="H26" s="39"/>
      <c r="I26" s="39"/>
      <c r="J26" s="39"/>
      <c r="K26" s="39"/>
      <c r="L26" s="39"/>
      <c r="M26" s="39"/>
    </row>
    <row r="27" spans="2:13" s="8" customFormat="1" ht="88.05" customHeight="1">
      <c r="B27" s="131" t="s">
        <v>89</v>
      </c>
      <c r="C27" s="131"/>
      <c r="D27" s="131"/>
      <c r="E27" s="131"/>
      <c r="F27" s="131"/>
      <c r="G27" s="39"/>
      <c r="H27" s="39"/>
      <c r="I27" s="39"/>
      <c r="J27" s="39"/>
      <c r="K27" s="39"/>
      <c r="L27" s="39"/>
      <c r="M27" s="39"/>
    </row>
    <row r="28" spans="2:13" s="8" customFormat="1">
      <c r="B28" s="38"/>
      <c r="C28" s="38"/>
      <c r="D28" s="38"/>
      <c r="E28" s="38"/>
      <c r="F28" s="38"/>
      <c r="G28" s="39"/>
      <c r="H28" s="39"/>
      <c r="I28" s="39"/>
      <c r="J28" s="39"/>
      <c r="K28" s="39"/>
      <c r="L28" s="39"/>
      <c r="M28" s="39"/>
    </row>
    <row r="29" spans="2:13" s="8" customFormat="1" ht="16.05" customHeight="1">
      <c r="B29" s="130" t="s">
        <v>74</v>
      </c>
      <c r="C29" s="130"/>
      <c r="D29" s="130"/>
      <c r="E29" s="130"/>
      <c r="F29" s="130"/>
      <c r="G29" s="7"/>
      <c r="H29" s="7"/>
      <c r="I29" s="7"/>
      <c r="J29" s="7"/>
    </row>
    <row r="30" spans="2:13" s="8" customFormat="1">
      <c r="B30" s="9"/>
      <c r="C30" s="40"/>
      <c r="D30" s="9"/>
      <c r="E30" s="9"/>
      <c r="F30" s="9"/>
      <c r="G30" s="9"/>
      <c r="H30" s="9"/>
      <c r="I30" s="9"/>
      <c r="J30" s="9"/>
    </row>
    <row r="31" spans="2:13" s="8" customFormat="1">
      <c r="B31" s="6" t="s">
        <v>43</v>
      </c>
      <c r="C31" s="10"/>
    </row>
    <row r="32" spans="2:13" s="8" customFormat="1">
      <c r="B32" s="41" t="s">
        <v>44</v>
      </c>
      <c r="C32" s="42" t="s">
        <v>45</v>
      </c>
    </row>
    <row r="33" spans="2:10" s="8" customFormat="1">
      <c r="B33" s="12"/>
      <c r="C33" s="13"/>
    </row>
    <row r="34" spans="2:10" s="9" customFormat="1">
      <c r="B34" s="6" t="s">
        <v>46</v>
      </c>
      <c r="C34" s="14"/>
      <c r="D34" s="8"/>
      <c r="E34" s="8"/>
      <c r="F34" s="8"/>
      <c r="G34" s="8"/>
      <c r="H34" s="8"/>
      <c r="I34" s="8"/>
      <c r="J34" s="8"/>
    </row>
    <row r="35" spans="2:10" s="8" customFormat="1">
      <c r="B35" s="9" t="s">
        <v>48</v>
      </c>
      <c r="C35" s="11"/>
      <c r="D35" s="9"/>
      <c r="E35" s="9"/>
      <c r="F35" s="9"/>
      <c r="G35" s="9"/>
      <c r="H35" s="9"/>
      <c r="I35" s="9"/>
      <c r="J35" s="9"/>
    </row>
    <row r="36" spans="2:10" s="9" customFormat="1" ht="14.4">
      <c r="B36" s="15"/>
      <c r="C36" s="16"/>
      <c r="D36" s="17"/>
      <c r="E36" s="17"/>
      <c r="F36" s="17"/>
      <c r="G36" s="17"/>
      <c r="H36" s="17"/>
      <c r="I36" s="17"/>
      <c r="J36" s="17"/>
    </row>
    <row r="37" spans="2:10">
      <c r="B37" s="6" t="s">
        <v>47</v>
      </c>
      <c r="C37" s="14"/>
      <c r="D37" s="9"/>
      <c r="E37" s="9"/>
      <c r="F37" s="9"/>
      <c r="G37" s="9"/>
      <c r="H37" s="9"/>
      <c r="I37" s="9"/>
      <c r="J37" s="9"/>
    </row>
    <row r="38" spans="2:10">
      <c r="B38" s="9" t="s">
        <v>90</v>
      </c>
      <c r="C38" s="11"/>
    </row>
    <row r="39" spans="2:10">
      <c r="B39" s="18"/>
      <c r="C39" s="19"/>
    </row>
    <row r="40" spans="2:10">
      <c r="B40" s="20" t="s">
        <v>98</v>
      </c>
      <c r="C40" s="21"/>
    </row>
    <row r="41" spans="2:10">
      <c r="B41" s="18"/>
      <c r="C41" s="19"/>
    </row>
  </sheetData>
  <mergeCells count="5">
    <mergeCell ref="B29:F29"/>
    <mergeCell ref="B21:F21"/>
    <mergeCell ref="B23:F23"/>
    <mergeCell ref="B25:F25"/>
    <mergeCell ref="B27:F27"/>
  </mergeCells>
  <hyperlinks>
    <hyperlink ref="B18" location="S3.9!A1" display="S3.9!A1" xr:uid="{00000000-0004-0000-0000-000001000000}"/>
    <hyperlink ref="B10" location="S3.3!A1" display="Table S3.3: Deaths due to dementia in Australia over the period 2012 to 2021: number and age-standardised rate by sex" xr:uid="{00000000-0004-0000-0000-000002000000}"/>
    <hyperlink ref="B11" location="S3.4!A1" display="Table S3.4: Deaths due to dementia in 2021: number and age-specific rates by sex, age and dementia type" xr:uid="{00000000-0004-0000-0000-000003000000}"/>
    <hyperlink ref="B14" location="S3.5!A1" display="Table S3.5: Deaths due to dementia over the period 2012 to 2021: age-standardised rates by dementia type" xr:uid="{00000000-0004-0000-0000-000004000000}"/>
    <hyperlink ref="B15" location="S3.6!A1" display="Table S3.6: Deaths due to dementia in 2021: age-standardised rates by sex and geographic and socioeconomic areas " xr:uid="{00000000-0004-0000-0000-000005000000}"/>
    <hyperlink ref="B16" location="S3.7!A1" display="Table S3.7: Deaths due to dementia (UCOD), or with dementia (UCOD and/or ACOD) in 2021, by sex" xr:uid="{00000000-0004-0000-0000-000006000000}"/>
    <hyperlink ref="B17" location="S3.8!A1" display="Table S3.8: Leading 5 underlying causes of death in 2021, when dementia was an associated cause of death" xr:uid="{00000000-0004-0000-0000-000007000000}"/>
    <hyperlink ref="B9" location="S3.2!A1" display="Table S3.2: Deaths due to dementia in 2021: number and age-specific rates by age and sex" xr:uid="{00000000-0004-0000-0000-000009000000}"/>
    <hyperlink ref="B8" location="S3.1!A1" display="S3.1!A1" xr:uid="{00000000-0004-0000-0000-00000A000000}"/>
    <hyperlink ref="B12" location="S3.4!A25" display="S3.4!A25" xr:uid="{681463FA-5F4F-48BA-A1C9-5666411DE6DB}"/>
    <hyperlink ref="B13" location="S3.4!A36" display="S3.4!A36" xr:uid="{3DDABA8B-F940-4C87-8DA2-8868A0EA59D6}"/>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FF59-4113-4D96-8E94-2D2F40833C08}">
  <dimension ref="A1:P14"/>
  <sheetViews>
    <sheetView workbookViewId="0"/>
  </sheetViews>
  <sheetFormatPr defaultColWidth="9.21875" defaultRowHeight="14.4"/>
  <cols>
    <col min="1" max="1" width="42.44140625" customWidth="1"/>
    <col min="2" max="2" width="13.88671875" customWidth="1"/>
    <col min="3" max="3" width="10.77734375" customWidth="1"/>
    <col min="4" max="4" width="42.109375" customWidth="1"/>
    <col min="5" max="5" width="13.21875" customWidth="1"/>
    <col min="6" max="6" width="10.5546875" bestFit="1" customWidth="1"/>
    <col min="7" max="7" width="40.88671875" customWidth="1"/>
    <col min="8" max="8" width="8.44140625" customWidth="1"/>
    <col min="9" max="9" width="10.5546875" bestFit="1" customWidth="1"/>
    <col min="10" max="10" width="17.21875" customWidth="1"/>
  </cols>
  <sheetData>
    <row r="1" spans="1:16" ht="20.25" customHeight="1">
      <c r="A1" s="22" t="s">
        <v>91</v>
      </c>
      <c r="F1" s="70"/>
    </row>
    <row r="2" spans="1:16">
      <c r="A2" s="132" t="s">
        <v>6</v>
      </c>
      <c r="B2" s="132"/>
      <c r="C2" s="132"/>
      <c r="D2" s="132" t="s">
        <v>5</v>
      </c>
      <c r="E2" s="132"/>
      <c r="F2" s="132"/>
      <c r="G2" s="132" t="s">
        <v>2</v>
      </c>
      <c r="H2" s="132"/>
      <c r="I2" s="132"/>
    </row>
    <row r="3" spans="1:16" s="44" customFormat="1" ht="57.6">
      <c r="A3" s="50" t="s">
        <v>3</v>
      </c>
      <c r="B3" s="104" t="s">
        <v>121</v>
      </c>
      <c r="C3" s="51" t="s">
        <v>4</v>
      </c>
      <c r="D3" s="50" t="s">
        <v>3</v>
      </c>
      <c r="E3" s="104" t="s">
        <v>121</v>
      </c>
      <c r="F3" s="51" t="s">
        <v>4</v>
      </c>
      <c r="G3" s="50" t="s">
        <v>3</v>
      </c>
      <c r="H3" s="104" t="s">
        <v>121</v>
      </c>
      <c r="I3" s="51" t="s">
        <v>4</v>
      </c>
    </row>
    <row r="4" spans="1:16" ht="16.2">
      <c r="A4" t="s">
        <v>142</v>
      </c>
      <c r="B4" s="29">
        <v>78.163080696976181</v>
      </c>
      <c r="C4" s="1">
        <v>10343</v>
      </c>
      <c r="D4" t="s">
        <v>148</v>
      </c>
      <c r="E4" s="29">
        <v>81.14641025493907</v>
      </c>
      <c r="F4" s="1">
        <v>10890</v>
      </c>
      <c r="G4" t="s">
        <v>148</v>
      </c>
      <c r="H4" s="29">
        <v>65.317771577798439</v>
      </c>
      <c r="I4" s="1">
        <v>17409</v>
      </c>
      <c r="P4" s="1"/>
    </row>
    <row r="5" spans="1:16" ht="16.2">
      <c r="A5" t="s">
        <v>148</v>
      </c>
      <c r="B5" s="29">
        <v>49.264731998799931</v>
      </c>
      <c r="C5" s="1">
        <v>6519</v>
      </c>
      <c r="D5" t="s">
        <v>142</v>
      </c>
      <c r="E5" s="29">
        <v>49.023161897818561</v>
      </c>
      <c r="F5" s="1">
        <v>6579</v>
      </c>
      <c r="G5" t="s">
        <v>142</v>
      </c>
      <c r="H5" s="29">
        <v>63.490569856942109</v>
      </c>
      <c r="I5" s="1">
        <v>16922</v>
      </c>
      <c r="P5" s="1"/>
    </row>
    <row r="6" spans="1:16">
      <c r="A6" t="s">
        <v>143</v>
      </c>
      <c r="B6" s="29">
        <v>39.251575088474745</v>
      </c>
      <c r="C6" s="1">
        <v>5194</v>
      </c>
      <c r="D6" t="s">
        <v>144</v>
      </c>
      <c r="E6" s="29">
        <v>39.217039226055491</v>
      </c>
      <c r="F6" s="1">
        <v>5263</v>
      </c>
      <c r="G6" t="s">
        <v>144</v>
      </c>
      <c r="H6" s="29">
        <v>35.114539847011066</v>
      </c>
      <c r="I6" s="1">
        <v>9359</v>
      </c>
      <c r="P6" s="1"/>
    </row>
    <row r="7" spans="1:16">
      <c r="A7" t="s">
        <v>144</v>
      </c>
      <c r="B7" s="29">
        <v>30.953879777126019</v>
      </c>
      <c r="C7" s="1">
        <v>4096</v>
      </c>
      <c r="D7" t="s">
        <v>143</v>
      </c>
      <c r="E7" s="29">
        <v>28.181425489823653</v>
      </c>
      <c r="F7" s="1">
        <v>3782</v>
      </c>
      <c r="G7" t="s">
        <v>143</v>
      </c>
      <c r="H7" s="29">
        <v>33.67754136839099</v>
      </c>
      <c r="I7" s="1">
        <v>8976</v>
      </c>
      <c r="P7" s="1"/>
    </row>
    <row r="8" spans="1:16">
      <c r="A8" s="33" t="s">
        <v>145</v>
      </c>
      <c r="B8" s="29">
        <v>29.57848765812286</v>
      </c>
      <c r="C8" s="1">
        <v>3914</v>
      </c>
      <c r="D8" t="s">
        <v>145</v>
      </c>
      <c r="E8" s="29">
        <v>26.080113488731566</v>
      </c>
      <c r="F8" s="34">
        <v>3500</v>
      </c>
      <c r="G8" s="33" t="s">
        <v>145</v>
      </c>
      <c r="H8" s="53">
        <v>27.816988826342559</v>
      </c>
      <c r="I8" s="34">
        <v>7414</v>
      </c>
    </row>
    <row r="9" spans="1:16">
      <c r="A9" t="s">
        <v>146</v>
      </c>
      <c r="B9" s="69"/>
      <c r="C9" s="45"/>
      <c r="D9" s="45"/>
      <c r="E9" s="69"/>
      <c r="H9" s="69"/>
    </row>
    <row r="10" spans="1:16">
      <c r="A10" t="s">
        <v>147</v>
      </c>
      <c r="B10" s="77"/>
      <c r="C10" s="47"/>
      <c r="D10" s="47"/>
      <c r="E10" s="77"/>
      <c r="H10" s="77"/>
    </row>
    <row r="11" spans="1:16">
      <c r="A11" t="s">
        <v>49</v>
      </c>
      <c r="B11" s="77"/>
      <c r="C11" s="47"/>
      <c r="D11" s="47"/>
      <c r="E11" s="77"/>
      <c r="H11" s="77"/>
    </row>
    <row r="12" spans="1:16">
      <c r="A12" t="s">
        <v>109</v>
      </c>
    </row>
    <row r="13" spans="1:16">
      <c r="B13" s="77"/>
    </row>
    <row r="14" spans="1:16">
      <c r="A14" s="66" t="s">
        <v>100</v>
      </c>
    </row>
  </sheetData>
  <mergeCells count="3">
    <mergeCell ref="A2:C2"/>
    <mergeCell ref="D2:F2"/>
    <mergeCell ref="G2:I2"/>
  </mergeCells>
  <hyperlinks>
    <hyperlink ref="A14" location="Contents!A1" display="Back to contents page" xr:uid="{9A18163D-D040-489A-9D58-0E58FE49DED7}"/>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9"/>
  <sheetViews>
    <sheetView tabSelected="1" workbookViewId="0"/>
  </sheetViews>
  <sheetFormatPr defaultRowHeight="14.4"/>
  <cols>
    <col min="1" max="1" width="13.5546875" customWidth="1"/>
    <col min="2" max="7" width="9.77734375" customWidth="1"/>
  </cols>
  <sheetData>
    <row r="1" spans="1:10" ht="15.6">
      <c r="A1" s="81" t="s">
        <v>123</v>
      </c>
      <c r="B1" s="23"/>
      <c r="C1" s="23"/>
      <c r="D1" s="23"/>
      <c r="E1" s="23"/>
      <c r="F1" s="23"/>
      <c r="G1" s="23"/>
      <c r="J1" s="73"/>
    </row>
    <row r="2" spans="1:10" ht="30" customHeight="1">
      <c r="A2" s="135" t="s">
        <v>57</v>
      </c>
      <c r="B2" s="133" t="s">
        <v>4</v>
      </c>
      <c r="C2" s="133"/>
      <c r="D2" s="133"/>
      <c r="E2" s="134" t="s">
        <v>121</v>
      </c>
      <c r="F2" s="134"/>
      <c r="G2" s="134"/>
    </row>
    <row r="3" spans="1:10" ht="14.55" customHeight="1">
      <c r="A3" s="136"/>
      <c r="B3" s="52" t="s">
        <v>6</v>
      </c>
      <c r="C3" s="52" t="s">
        <v>5</v>
      </c>
      <c r="D3" s="52" t="s">
        <v>2</v>
      </c>
      <c r="E3" s="52" t="s">
        <v>6</v>
      </c>
      <c r="F3" s="52" t="s">
        <v>5</v>
      </c>
      <c r="G3" s="52" t="s">
        <v>2</v>
      </c>
    </row>
    <row r="4" spans="1:10">
      <c r="A4" t="s">
        <v>8</v>
      </c>
      <c r="B4" s="1">
        <v>26</v>
      </c>
      <c r="C4" s="1">
        <v>21</v>
      </c>
      <c r="D4" s="1">
        <v>47</v>
      </c>
      <c r="E4" s="1">
        <v>0.25086829375982489</v>
      </c>
      <c r="F4" s="1">
        <v>0.20566166990420573</v>
      </c>
      <c r="G4" s="1">
        <v>0.22843313001650697</v>
      </c>
      <c r="H4" s="1"/>
      <c r="I4" s="1"/>
    </row>
    <row r="5" spans="1:10">
      <c r="A5" t="s">
        <v>9</v>
      </c>
      <c r="B5" s="1">
        <v>39</v>
      </c>
      <c r="C5" s="1">
        <v>49</v>
      </c>
      <c r="D5" s="1">
        <v>88</v>
      </c>
      <c r="E5" s="1">
        <v>5.2811322747597087</v>
      </c>
      <c r="F5" s="1">
        <v>6.2877505636519251</v>
      </c>
      <c r="G5" s="1">
        <v>5.7979761110207004</v>
      </c>
      <c r="H5" s="1"/>
      <c r="I5" s="1"/>
      <c r="J5" s="1"/>
    </row>
    <row r="6" spans="1:10">
      <c r="A6" t="s">
        <v>10</v>
      </c>
      <c r="B6" s="1">
        <v>113</v>
      </c>
      <c r="C6" s="1">
        <v>120</v>
      </c>
      <c r="D6" s="1">
        <v>233</v>
      </c>
      <c r="E6" s="1">
        <v>17.712431619041649</v>
      </c>
      <c r="F6" s="1">
        <v>17.381882863491384</v>
      </c>
      <c r="G6" s="1">
        <v>17.540637063893087</v>
      </c>
      <c r="H6" s="1"/>
      <c r="I6" s="1"/>
      <c r="J6" s="1"/>
    </row>
    <row r="7" spans="1:10">
      <c r="A7" t="s">
        <v>11</v>
      </c>
      <c r="B7" s="1">
        <v>340</v>
      </c>
      <c r="C7" s="1">
        <v>366</v>
      </c>
      <c r="D7" s="1">
        <v>706</v>
      </c>
      <c r="E7" s="1">
        <v>61.311857352554</v>
      </c>
      <c r="F7" s="1">
        <v>60.69279331118986</v>
      </c>
      <c r="G7" s="1">
        <v>60.989357961746023</v>
      </c>
    </row>
    <row r="8" spans="1:10">
      <c r="A8" t="s">
        <v>12</v>
      </c>
      <c r="B8" s="1">
        <v>805</v>
      </c>
      <c r="C8" s="1">
        <v>926</v>
      </c>
      <c r="D8" s="1">
        <v>1731</v>
      </c>
      <c r="E8" s="1">
        <v>180.74656188605107</v>
      </c>
      <c r="F8" s="1">
        <v>191.05743896375066</v>
      </c>
      <c r="G8" s="1">
        <v>186.11982633117071</v>
      </c>
    </row>
    <row r="9" spans="1:10">
      <c r="A9" t="s">
        <v>13</v>
      </c>
      <c r="B9" s="1">
        <v>1338</v>
      </c>
      <c r="C9" s="1">
        <v>1667</v>
      </c>
      <c r="D9" s="1">
        <v>3005</v>
      </c>
      <c r="E9" s="1">
        <v>497.54203821182352</v>
      </c>
      <c r="F9" s="1">
        <v>530.69228761166187</v>
      </c>
      <c r="G9" s="1">
        <v>515.40203073545558</v>
      </c>
    </row>
    <row r="10" spans="1:10">
      <c r="A10" t="s">
        <v>14</v>
      </c>
      <c r="B10" s="1">
        <v>1747</v>
      </c>
      <c r="C10" s="1">
        <v>2626</v>
      </c>
      <c r="D10" s="1">
        <v>4373</v>
      </c>
      <c r="E10" s="1">
        <v>1186.2243165799803</v>
      </c>
      <c r="F10" s="1">
        <v>1319.7903212025874</v>
      </c>
      <c r="G10" s="1">
        <v>1262.9785267657294</v>
      </c>
    </row>
    <row r="11" spans="1:10">
      <c r="A11" t="s">
        <v>15</v>
      </c>
      <c r="B11" s="1">
        <v>1465</v>
      </c>
      <c r="C11" s="1">
        <v>3000</v>
      </c>
      <c r="D11" s="1">
        <v>4465</v>
      </c>
      <c r="E11" s="1">
        <v>2433.191051171752</v>
      </c>
      <c r="F11" s="1">
        <v>2952.9012254540085</v>
      </c>
      <c r="G11" s="1">
        <v>2759.5115077501173</v>
      </c>
    </row>
    <row r="12" spans="1:10">
      <c r="A12" s="33" t="s">
        <v>0</v>
      </c>
      <c r="B12" s="34">
        <v>646</v>
      </c>
      <c r="C12" s="34">
        <v>2115</v>
      </c>
      <c r="D12" s="34">
        <v>2761</v>
      </c>
      <c r="E12" s="34">
        <v>4084.4714213454731</v>
      </c>
      <c r="F12" s="34">
        <v>5688.0832638571392</v>
      </c>
      <c r="G12" s="34">
        <v>5209.5322553255719</v>
      </c>
    </row>
    <row r="13" spans="1:10">
      <c r="A13" s="85" t="s">
        <v>42</v>
      </c>
    </row>
    <row r="14" spans="1:10">
      <c r="A14" s="84" t="s">
        <v>124</v>
      </c>
    </row>
    <row r="15" spans="1:10">
      <c r="A15" t="s">
        <v>49</v>
      </c>
    </row>
    <row r="16" spans="1:10">
      <c r="A16" t="s">
        <v>110</v>
      </c>
    </row>
    <row r="17" spans="1:23">
      <c r="U17" s="1"/>
      <c r="V17" s="1"/>
      <c r="W17" s="1"/>
    </row>
    <row r="18" spans="1:23">
      <c r="A18" s="66" t="s">
        <v>100</v>
      </c>
      <c r="U18" s="1"/>
      <c r="V18" s="1"/>
      <c r="W18" s="1"/>
    </row>
    <row r="19" spans="1:23">
      <c r="U19" s="1"/>
      <c r="V19" s="1"/>
      <c r="W19" s="1"/>
    </row>
  </sheetData>
  <mergeCells count="3">
    <mergeCell ref="B2:D2"/>
    <mergeCell ref="E2:G2"/>
    <mergeCell ref="A2:A3"/>
  </mergeCells>
  <hyperlinks>
    <hyperlink ref="A18" location="Contents!A1" display="Back to contents page" xr:uid="{A3BE735D-AE2F-46FA-85BD-BCC60DA0F8DA}"/>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43"/>
  <sheetViews>
    <sheetView zoomScaleNormal="100" workbookViewId="0"/>
  </sheetViews>
  <sheetFormatPr defaultRowHeight="14.4"/>
  <cols>
    <col min="1" max="7" width="9.5546875" customWidth="1"/>
  </cols>
  <sheetData>
    <row r="1" spans="1:31" ht="15.6">
      <c r="A1" s="25" t="s">
        <v>93</v>
      </c>
      <c r="L1" s="22"/>
    </row>
    <row r="2" spans="1:31" ht="30" customHeight="1">
      <c r="A2" s="138" t="s">
        <v>23</v>
      </c>
      <c r="B2" s="132" t="s">
        <v>4</v>
      </c>
      <c r="C2" s="132"/>
      <c r="D2" s="132"/>
      <c r="E2" s="137" t="s">
        <v>62</v>
      </c>
      <c r="F2" s="137"/>
      <c r="G2" s="137"/>
      <c r="H2" s="137" t="s">
        <v>61</v>
      </c>
      <c r="I2" s="132"/>
      <c r="J2" s="132"/>
      <c r="L2" s="73"/>
      <c r="M2" s="73"/>
      <c r="N2" s="2"/>
      <c r="O2" s="2"/>
      <c r="P2" s="72"/>
      <c r="Q2" s="72"/>
      <c r="R2" s="72"/>
      <c r="S2" s="72"/>
      <c r="T2" s="2"/>
      <c r="U2" s="2"/>
    </row>
    <row r="3" spans="1:31" ht="14.55" customHeight="1">
      <c r="A3" s="139"/>
      <c r="B3" s="52" t="s">
        <v>6</v>
      </c>
      <c r="C3" s="52" t="s">
        <v>5</v>
      </c>
      <c r="D3" s="52" t="s">
        <v>2</v>
      </c>
      <c r="E3" s="52" t="s">
        <v>6</v>
      </c>
      <c r="F3" s="52" t="s">
        <v>5</v>
      </c>
      <c r="G3" s="52" t="s">
        <v>2</v>
      </c>
      <c r="H3" s="52" t="s">
        <v>6</v>
      </c>
      <c r="I3" s="52" t="s">
        <v>5</v>
      </c>
      <c r="J3" s="52" t="s">
        <v>2</v>
      </c>
      <c r="L3" s="2"/>
      <c r="M3" s="2"/>
      <c r="N3" s="2"/>
      <c r="O3" s="2"/>
      <c r="P3" s="2"/>
      <c r="Q3" s="2"/>
      <c r="R3" s="2"/>
      <c r="S3" s="2"/>
      <c r="T3" s="2"/>
      <c r="U3" s="2"/>
    </row>
    <row r="4" spans="1:31">
      <c r="A4" s="3">
        <v>2009</v>
      </c>
      <c r="B4" s="1">
        <v>2898</v>
      </c>
      <c r="C4" s="1">
        <v>5560</v>
      </c>
      <c r="D4" s="1">
        <v>8458</v>
      </c>
      <c r="E4" s="63">
        <v>30.999679036232639</v>
      </c>
      <c r="F4" s="63">
        <v>33.716707771899188</v>
      </c>
      <c r="G4" s="63">
        <v>33.182609401687607</v>
      </c>
      <c r="H4" s="63">
        <v>26.831353278836737</v>
      </c>
      <c r="I4" s="63">
        <v>51.052001789391028</v>
      </c>
      <c r="J4" s="63">
        <v>38.991956952289435</v>
      </c>
      <c r="L4" s="3"/>
      <c r="M4" s="79"/>
      <c r="N4" s="79"/>
      <c r="O4" s="78"/>
      <c r="P4" s="78"/>
      <c r="Q4" s="78"/>
      <c r="R4" s="63"/>
      <c r="S4" s="63"/>
      <c r="T4" s="63"/>
      <c r="U4" s="63"/>
      <c r="V4" s="71"/>
      <c r="W4" s="71"/>
      <c r="X4" s="71"/>
      <c r="Y4" s="71"/>
      <c r="Z4" s="71"/>
      <c r="AA4" s="71"/>
      <c r="AB4" s="71"/>
      <c r="AC4" s="71"/>
      <c r="AD4" s="71"/>
      <c r="AE4" s="1"/>
    </row>
    <row r="5" spans="1:31">
      <c r="A5" s="3">
        <v>2010</v>
      </c>
      <c r="B5" s="1">
        <v>3045</v>
      </c>
      <c r="C5" s="1">
        <v>6161</v>
      </c>
      <c r="D5" s="1">
        <v>9206</v>
      </c>
      <c r="E5" s="63">
        <v>31.381993445468137</v>
      </c>
      <c r="F5" s="63">
        <v>36.087799198668293</v>
      </c>
      <c r="G5" s="63">
        <v>34.677188291526875</v>
      </c>
      <c r="H5" s="63">
        <v>27.763009842146548</v>
      </c>
      <c r="I5" s="63">
        <v>55.685512520473083</v>
      </c>
      <c r="J5" s="63">
        <v>41.785150975297014</v>
      </c>
      <c r="L5" s="3"/>
      <c r="M5" s="79"/>
      <c r="N5" s="79"/>
      <c r="O5" s="78"/>
      <c r="P5" s="78"/>
      <c r="Q5" s="78"/>
      <c r="R5" s="63"/>
      <c r="S5" s="63"/>
      <c r="T5" s="63"/>
      <c r="U5" s="63"/>
      <c r="V5" s="71"/>
      <c r="W5" s="71"/>
      <c r="X5" s="71"/>
      <c r="Y5" s="71"/>
      <c r="Z5" s="71"/>
      <c r="AA5" s="71"/>
      <c r="AB5" s="71"/>
      <c r="AC5" s="71"/>
      <c r="AD5" s="71"/>
      <c r="AE5" s="1"/>
    </row>
    <row r="6" spans="1:31">
      <c r="A6" s="3">
        <v>2011</v>
      </c>
      <c r="B6" s="1">
        <v>3379</v>
      </c>
      <c r="C6" s="1">
        <v>6682</v>
      </c>
      <c r="D6" s="1">
        <v>10061</v>
      </c>
      <c r="E6" s="63">
        <v>33.339382979279677</v>
      </c>
      <c r="F6" s="63">
        <v>37.896456057546757</v>
      </c>
      <c r="G6" s="63">
        <v>36.521588819349809</v>
      </c>
      <c r="H6" s="63">
        <v>30.391517213974808</v>
      </c>
      <c r="I6" s="63">
        <v>59.544867619158801</v>
      </c>
      <c r="J6" s="63">
        <v>45.03576182371156</v>
      </c>
      <c r="L6" s="3"/>
      <c r="M6" s="79"/>
      <c r="N6" s="79"/>
      <c r="O6" s="78"/>
      <c r="P6" s="78"/>
      <c r="Q6" s="78"/>
      <c r="R6" s="63"/>
      <c r="S6" s="63"/>
      <c r="T6" s="63"/>
      <c r="U6" s="63"/>
      <c r="V6" s="71"/>
      <c r="W6" s="71"/>
      <c r="X6" s="71"/>
      <c r="Y6" s="71"/>
      <c r="Z6" s="71"/>
      <c r="AA6" s="71"/>
      <c r="AB6" s="71"/>
      <c r="AC6" s="71"/>
      <c r="AD6" s="71"/>
      <c r="AE6" s="1"/>
    </row>
    <row r="7" spans="1:31">
      <c r="A7" s="3">
        <v>2012</v>
      </c>
      <c r="B7" s="1">
        <v>3550</v>
      </c>
      <c r="C7" s="1">
        <v>7060</v>
      </c>
      <c r="D7" s="1">
        <v>10610</v>
      </c>
      <c r="E7" s="63">
        <v>33.375040092497322</v>
      </c>
      <c r="F7" s="63">
        <v>38.601377015744895</v>
      </c>
      <c r="G7" s="63">
        <v>37.027819770510035</v>
      </c>
      <c r="H7" s="63">
        <v>31.379886765457623</v>
      </c>
      <c r="I7" s="63">
        <v>61.818735209692477</v>
      </c>
      <c r="J7" s="63">
        <v>46.671283941977165</v>
      </c>
      <c r="L7" s="3"/>
      <c r="M7" s="79"/>
      <c r="N7" s="79"/>
      <c r="O7" s="78"/>
      <c r="P7" s="78"/>
      <c r="Q7" s="78"/>
      <c r="R7" s="63"/>
      <c r="S7" s="63"/>
      <c r="T7" s="63"/>
      <c r="U7" s="63"/>
      <c r="V7" s="71"/>
      <c r="W7" s="71"/>
      <c r="X7" s="71"/>
      <c r="Y7" s="71"/>
      <c r="Z7" s="71"/>
      <c r="AA7" s="71"/>
      <c r="AB7" s="71"/>
      <c r="AC7" s="71"/>
      <c r="AD7" s="71"/>
      <c r="AE7" s="1"/>
    </row>
    <row r="8" spans="1:31">
      <c r="A8" s="3">
        <v>2013</v>
      </c>
      <c r="B8" s="1">
        <v>3875</v>
      </c>
      <c r="C8" s="1">
        <v>7461</v>
      </c>
      <c r="D8" s="1">
        <v>11336</v>
      </c>
      <c r="E8" s="64">
        <v>35.053205479094736</v>
      </c>
      <c r="F8" s="64">
        <v>39.76895093859784</v>
      </c>
      <c r="G8" s="64">
        <v>38.343147779201203</v>
      </c>
      <c r="H8" s="64">
        <v>33.677598052869918</v>
      </c>
      <c r="I8" s="64">
        <v>64.1974110399929</v>
      </c>
      <c r="J8" s="64">
        <v>49.013908561302124</v>
      </c>
      <c r="L8" s="3"/>
      <c r="M8" s="79"/>
      <c r="N8" s="79"/>
      <c r="O8" s="78"/>
      <c r="P8" s="78"/>
      <c r="Q8" s="78"/>
      <c r="R8" s="64"/>
      <c r="S8" s="64"/>
      <c r="T8" s="64"/>
      <c r="U8" s="64"/>
      <c r="V8" s="71"/>
      <c r="W8" s="71"/>
      <c r="X8" s="71"/>
      <c r="Y8" s="71"/>
      <c r="Z8" s="71"/>
      <c r="AA8" s="71"/>
      <c r="AB8" s="71"/>
      <c r="AC8" s="71"/>
      <c r="AD8" s="71"/>
      <c r="AE8" s="1"/>
    </row>
    <row r="9" spans="1:31">
      <c r="A9" s="3">
        <v>2014</v>
      </c>
      <c r="B9" s="1">
        <v>4367</v>
      </c>
      <c r="C9" s="1">
        <v>8060</v>
      </c>
      <c r="D9" s="1">
        <v>12427</v>
      </c>
      <c r="E9" s="64">
        <v>37.617255152557604</v>
      </c>
      <c r="F9" s="64">
        <v>41.80562543711595</v>
      </c>
      <c r="G9" s="64">
        <v>40.578444701123168</v>
      </c>
      <c r="H9" s="64">
        <v>37.427516861237763</v>
      </c>
      <c r="I9" s="64">
        <v>68.259963752773587</v>
      </c>
      <c r="J9" s="64">
        <v>52.935620283897137</v>
      </c>
      <c r="L9" s="3"/>
      <c r="M9" s="79"/>
      <c r="N9" s="79"/>
      <c r="O9" s="78"/>
      <c r="P9" s="78"/>
      <c r="Q9" s="78"/>
      <c r="R9" s="64"/>
      <c r="S9" s="64"/>
      <c r="T9" s="64"/>
      <c r="U9" s="64"/>
      <c r="V9" s="71"/>
      <c r="W9" s="71"/>
      <c r="X9" s="71"/>
      <c r="Y9" s="71"/>
      <c r="Z9" s="71"/>
      <c r="AA9" s="71"/>
      <c r="AB9" s="71"/>
      <c r="AC9" s="71"/>
      <c r="AD9" s="71"/>
      <c r="AE9" s="1"/>
    </row>
    <row r="10" spans="1:31">
      <c r="A10" s="3">
        <v>2015</v>
      </c>
      <c r="B10" s="1">
        <v>4640</v>
      </c>
      <c r="C10" s="1">
        <v>8443</v>
      </c>
      <c r="D10" s="1">
        <v>13083</v>
      </c>
      <c r="E10" s="64">
        <v>38.38191550359074</v>
      </c>
      <c r="F10" s="64">
        <v>42.470847268687983</v>
      </c>
      <c r="G10" s="64">
        <v>41.280219103803248</v>
      </c>
      <c r="H10" s="64">
        <v>39.230102475115096</v>
      </c>
      <c r="I10" s="64">
        <v>70.426747049196038</v>
      </c>
      <c r="J10" s="64">
        <v>54.933669577945409</v>
      </c>
      <c r="K10" s="1"/>
      <c r="L10" s="3"/>
      <c r="M10" s="79"/>
      <c r="N10" s="79"/>
      <c r="O10" s="78"/>
      <c r="P10" s="78"/>
      <c r="Q10" s="78"/>
      <c r="R10" s="64"/>
      <c r="S10" s="64"/>
      <c r="T10" s="64"/>
      <c r="U10" s="64"/>
      <c r="V10" s="71"/>
      <c r="W10" s="71"/>
      <c r="X10" s="71"/>
      <c r="Y10" s="71"/>
      <c r="Z10" s="71"/>
      <c r="AA10" s="71"/>
      <c r="AB10" s="71"/>
      <c r="AC10" s="71"/>
      <c r="AD10" s="71"/>
      <c r="AE10" s="1"/>
    </row>
    <row r="11" spans="1:31">
      <c r="A11" s="3">
        <v>2016</v>
      </c>
      <c r="B11" s="1">
        <v>5095</v>
      </c>
      <c r="C11" s="1">
        <v>8793</v>
      </c>
      <c r="D11" s="1">
        <v>13888</v>
      </c>
      <c r="E11" s="64">
        <v>40.330318162522232</v>
      </c>
      <c r="F11" s="64">
        <v>42.828623643268834</v>
      </c>
      <c r="G11" s="64">
        <v>42.261782581052316</v>
      </c>
      <c r="H11" s="64">
        <v>42.447583482816313</v>
      </c>
      <c r="I11" s="64">
        <v>72.145513883150031</v>
      </c>
      <c r="J11" s="64">
        <v>57.410001204171465</v>
      </c>
      <c r="L11" s="3"/>
      <c r="M11" s="79"/>
      <c r="N11" s="79"/>
      <c r="O11" s="78"/>
      <c r="P11" s="78"/>
      <c r="Q11" s="78"/>
      <c r="R11" s="64"/>
      <c r="S11" s="64"/>
      <c r="T11" s="64"/>
      <c r="U11" s="64"/>
      <c r="V11" s="71"/>
      <c r="W11" s="71"/>
      <c r="X11" s="71"/>
      <c r="Y11" s="71"/>
      <c r="Z11" s="71"/>
      <c r="AA11" s="71"/>
      <c r="AB11" s="71"/>
      <c r="AC11" s="71"/>
      <c r="AD11" s="71"/>
      <c r="AE11" s="1"/>
    </row>
    <row r="12" spans="1:31">
      <c r="A12" s="3">
        <v>2017</v>
      </c>
      <c r="B12" s="1">
        <v>5306</v>
      </c>
      <c r="C12" s="1">
        <v>9234</v>
      </c>
      <c r="D12" s="1">
        <v>14540</v>
      </c>
      <c r="E12" s="64">
        <v>40.397282720390116</v>
      </c>
      <c r="F12" s="64">
        <v>43.855410463565676</v>
      </c>
      <c r="G12" s="64">
        <v>42.882071732031314</v>
      </c>
      <c r="H12" s="64">
        <v>43.47901973411588</v>
      </c>
      <c r="I12" s="64">
        <v>74.533854666732211</v>
      </c>
      <c r="J12" s="64">
        <v>59.123505017040095</v>
      </c>
      <c r="L12" s="3"/>
      <c r="M12" s="79"/>
      <c r="N12" s="79"/>
      <c r="O12" s="78"/>
      <c r="P12" s="78"/>
      <c r="Q12" s="78"/>
      <c r="R12" s="64"/>
      <c r="S12" s="64"/>
      <c r="T12" s="64"/>
      <c r="U12" s="64"/>
      <c r="V12" s="71"/>
      <c r="W12" s="71"/>
      <c r="X12" s="71"/>
      <c r="Y12" s="71"/>
      <c r="Z12" s="71"/>
      <c r="AA12" s="71"/>
      <c r="AB12" s="71"/>
      <c r="AC12" s="71"/>
      <c r="AD12" s="71"/>
      <c r="AE12" s="1"/>
    </row>
    <row r="13" spans="1:31">
      <c r="A13" s="3">
        <v>2018</v>
      </c>
      <c r="B13" s="1">
        <v>5346</v>
      </c>
      <c r="C13" s="1">
        <v>9371</v>
      </c>
      <c r="D13" s="1">
        <v>14717</v>
      </c>
      <c r="E13" s="64">
        <v>39.305914265986722</v>
      </c>
      <c r="F13" s="64">
        <v>43.432101631584587</v>
      </c>
      <c r="G13" s="64">
        <v>42.138905081312771</v>
      </c>
      <c r="H13" s="64">
        <v>43.146930147573642</v>
      </c>
      <c r="I13" s="64">
        <v>74.532509528127534</v>
      </c>
      <c r="J13" s="64">
        <v>58.954644461872725</v>
      </c>
      <c r="L13" s="3"/>
      <c r="M13" s="79"/>
      <c r="N13" s="79"/>
      <c r="O13" s="78"/>
      <c r="P13" s="78"/>
      <c r="Q13" s="78"/>
      <c r="R13" s="64"/>
      <c r="S13" s="64"/>
      <c r="T13" s="64"/>
      <c r="U13" s="64"/>
      <c r="V13" s="71"/>
      <c r="W13" s="71"/>
      <c r="X13" s="71"/>
      <c r="Y13" s="71"/>
      <c r="Z13" s="71"/>
      <c r="AA13" s="71"/>
      <c r="AB13" s="71"/>
      <c r="AC13" s="71"/>
      <c r="AD13" s="71"/>
      <c r="AE13" s="1"/>
    </row>
    <row r="14" spans="1:31">
      <c r="A14" s="3">
        <v>2019</v>
      </c>
      <c r="B14" s="1">
        <v>5869</v>
      </c>
      <c r="C14" s="1">
        <v>9907</v>
      </c>
      <c r="D14" s="1">
        <v>15776</v>
      </c>
      <c r="E14" s="64">
        <v>41.54874557775733</v>
      </c>
      <c r="F14" s="64">
        <v>44.772452440081132</v>
      </c>
      <c r="G14" s="64">
        <v>43.799227414534236</v>
      </c>
      <c r="H14" s="64">
        <v>46.663726430504802</v>
      </c>
      <c r="I14" s="64">
        <v>77.655641478161456</v>
      </c>
      <c r="J14" s="64">
        <v>62.270015195683605</v>
      </c>
      <c r="L14" s="3"/>
      <c r="M14" s="79"/>
      <c r="N14" s="79"/>
      <c r="O14" s="78"/>
      <c r="P14" s="78"/>
      <c r="Q14" s="78"/>
      <c r="R14" s="64"/>
      <c r="S14" s="64"/>
      <c r="T14" s="64"/>
      <c r="U14" s="64"/>
      <c r="V14" s="71"/>
      <c r="W14" s="71"/>
      <c r="X14" s="71"/>
      <c r="Y14" s="71"/>
      <c r="Z14" s="71"/>
      <c r="AA14" s="71"/>
      <c r="AB14" s="71"/>
      <c r="AC14" s="71"/>
      <c r="AD14" s="71"/>
      <c r="AE14" s="1"/>
    </row>
    <row r="15" spans="1:31">
      <c r="A15" s="3">
        <v>2020</v>
      </c>
      <c r="B15" s="1">
        <v>5662</v>
      </c>
      <c r="C15" s="1">
        <v>9700</v>
      </c>
      <c r="D15" s="1">
        <v>15362</v>
      </c>
      <c r="E15" s="64">
        <v>38.364537048454707</v>
      </c>
      <c r="F15" s="64">
        <v>42.566381200895698</v>
      </c>
      <c r="G15" s="64">
        <v>41.134143437304175</v>
      </c>
      <c r="H15" s="64">
        <v>44.482367674972949</v>
      </c>
      <c r="I15" s="64">
        <v>75.073860682573084</v>
      </c>
      <c r="J15" s="64">
        <v>59.892594122057695</v>
      </c>
      <c r="L15" s="3"/>
      <c r="M15" s="79"/>
      <c r="N15" s="79"/>
      <c r="O15" s="78"/>
      <c r="P15" s="78"/>
      <c r="Q15" s="78"/>
      <c r="R15" s="64"/>
      <c r="S15" s="64"/>
      <c r="T15" s="64"/>
      <c r="U15" s="64"/>
      <c r="V15" s="71"/>
      <c r="W15" s="71"/>
      <c r="X15" s="71"/>
      <c r="Y15" s="71"/>
      <c r="Z15" s="71"/>
      <c r="AA15" s="71"/>
      <c r="AB15" s="71"/>
      <c r="AC15" s="71"/>
      <c r="AD15" s="71"/>
      <c r="AE15" s="1"/>
    </row>
    <row r="16" spans="1:31">
      <c r="A16" s="3">
        <v>2021</v>
      </c>
      <c r="B16" s="1">
        <v>6082</v>
      </c>
      <c r="C16" s="1">
        <v>10589</v>
      </c>
      <c r="D16" s="1">
        <v>16671</v>
      </c>
      <c r="E16" s="64">
        <v>39.547864374440834</v>
      </c>
      <c r="F16" s="64">
        <v>45.135554792467964</v>
      </c>
      <c r="G16" s="64">
        <v>43.100606500708345</v>
      </c>
      <c r="H16" s="64">
        <v>47.704168271316085</v>
      </c>
      <c r="I16" s="64">
        <v>81.856820986886063</v>
      </c>
      <c r="J16" s="64">
        <v>64.904545817680486</v>
      </c>
      <c r="L16" s="3"/>
      <c r="M16" s="79"/>
      <c r="N16" s="79"/>
      <c r="O16" s="78"/>
      <c r="P16" s="78"/>
      <c r="Q16" s="78"/>
      <c r="R16" s="64"/>
      <c r="S16" s="64"/>
      <c r="T16" s="64"/>
      <c r="U16" s="64"/>
      <c r="V16" s="71"/>
      <c r="W16" s="71"/>
      <c r="X16" s="71"/>
      <c r="Y16" s="71"/>
      <c r="Z16" s="71"/>
      <c r="AA16" s="71"/>
      <c r="AB16" s="71"/>
      <c r="AC16" s="71"/>
      <c r="AD16" s="71"/>
      <c r="AE16" s="1"/>
    </row>
    <row r="17" spans="1:31">
      <c r="A17" s="3">
        <v>2022</v>
      </c>
      <c r="B17" s="1">
        <v>6556</v>
      </c>
      <c r="C17" s="1">
        <v>11272</v>
      </c>
      <c r="D17" s="1">
        <v>17828</v>
      </c>
      <c r="E17" s="64">
        <v>41.102604385234002</v>
      </c>
      <c r="F17" s="64">
        <v>47.00710441619659</v>
      </c>
      <c r="G17" s="64">
        <v>44.858348656176759</v>
      </c>
      <c r="H17" s="64">
        <v>50.781753177287108</v>
      </c>
      <c r="I17" s="64">
        <v>86.017894957742712</v>
      </c>
      <c r="J17" s="64">
        <v>68.531277620520854</v>
      </c>
      <c r="L17" s="3"/>
      <c r="M17" s="79"/>
      <c r="N17" s="79"/>
      <c r="O17" s="78"/>
      <c r="P17" s="78"/>
      <c r="Q17" s="78"/>
      <c r="R17" s="64"/>
      <c r="S17" s="64"/>
      <c r="T17" s="64"/>
      <c r="U17" s="64"/>
      <c r="V17" s="71"/>
      <c r="W17" s="71"/>
      <c r="X17" s="71"/>
      <c r="Y17" s="71"/>
      <c r="Z17" s="71"/>
      <c r="AA17" s="71"/>
      <c r="AB17" s="71"/>
      <c r="AC17" s="71"/>
      <c r="AD17" s="71"/>
      <c r="AE17" s="1"/>
    </row>
    <row r="18" spans="1:31">
      <c r="A18" s="3">
        <v>2023</v>
      </c>
      <c r="B18" s="1">
        <v>6519</v>
      </c>
      <c r="C18" s="1">
        <v>10890</v>
      </c>
      <c r="D18" s="1">
        <v>17409</v>
      </c>
      <c r="E18" s="64">
        <v>39.582045864610706</v>
      </c>
      <c r="F18" s="64">
        <v>44.918275154802096</v>
      </c>
      <c r="G18" s="64">
        <v>42.904216201126246</v>
      </c>
      <c r="H18" s="65">
        <v>49.264731998799931</v>
      </c>
      <c r="I18" s="65">
        <v>81.14641025493907</v>
      </c>
      <c r="J18" s="65">
        <v>65.317771577798439</v>
      </c>
      <c r="L18" s="3"/>
      <c r="M18" s="79"/>
      <c r="N18" s="79"/>
      <c r="O18" s="78"/>
      <c r="P18" s="78"/>
      <c r="Q18" s="78"/>
      <c r="R18" s="64"/>
      <c r="S18" s="64"/>
      <c r="T18" s="64"/>
      <c r="U18" s="64"/>
      <c r="V18" s="71"/>
      <c r="W18" s="71"/>
      <c r="X18" s="71"/>
      <c r="Y18" s="71"/>
      <c r="Z18" s="71"/>
      <c r="AA18" s="71"/>
      <c r="AB18" s="71"/>
      <c r="AC18" s="71"/>
      <c r="AD18" s="71"/>
      <c r="AE18" s="1"/>
    </row>
    <row r="19" spans="1:31">
      <c r="A19" s="86" t="s">
        <v>42</v>
      </c>
      <c r="B19" s="46"/>
      <c r="C19" s="46"/>
      <c r="D19" s="46"/>
      <c r="E19" s="46"/>
      <c r="F19" s="46"/>
      <c r="G19" s="46"/>
    </row>
    <row r="20" spans="1:31">
      <c r="A20" s="3" t="s">
        <v>108</v>
      </c>
      <c r="B20" s="47"/>
      <c r="C20" s="47"/>
      <c r="D20" s="47"/>
      <c r="E20" s="47"/>
      <c r="F20" s="47"/>
      <c r="G20" s="47"/>
    </row>
    <row r="21" spans="1:31" ht="15.75" customHeight="1">
      <c r="A21" t="s">
        <v>49</v>
      </c>
      <c r="B21" s="47"/>
      <c r="C21" s="47"/>
      <c r="D21" s="47"/>
      <c r="E21" s="47"/>
      <c r="F21" s="47"/>
      <c r="G21" s="47"/>
    </row>
    <row r="22" spans="1:31" ht="32.25" customHeight="1">
      <c r="A22" s="140" t="s">
        <v>101</v>
      </c>
      <c r="B22" s="140"/>
      <c r="C22" s="140"/>
      <c r="D22" s="140"/>
      <c r="E22" s="140"/>
      <c r="F22" s="140"/>
      <c r="G22" s="140"/>
      <c r="H22" s="140"/>
      <c r="I22" s="140"/>
      <c r="J22" s="140"/>
      <c r="K22" s="140"/>
      <c r="L22" s="140"/>
      <c r="M22" s="140"/>
      <c r="N22" s="140"/>
      <c r="O22" s="140"/>
      <c r="P22" s="140"/>
      <c r="Q22" s="140"/>
      <c r="R22" s="140"/>
      <c r="S22" s="140"/>
      <c r="T22" s="140"/>
      <c r="U22" s="140"/>
    </row>
    <row r="23" spans="1:31">
      <c r="A23" t="s">
        <v>110</v>
      </c>
    </row>
    <row r="24" spans="1:31">
      <c r="L24" s="1"/>
      <c r="M24" s="1"/>
      <c r="N24" s="1"/>
      <c r="O24" s="1"/>
      <c r="P24" s="1"/>
      <c r="Q24" s="1"/>
      <c r="R24" s="1"/>
      <c r="S24" s="1"/>
      <c r="T24" s="1"/>
    </row>
    <row r="25" spans="1:31">
      <c r="A25" s="66" t="s">
        <v>100</v>
      </c>
      <c r="L25" s="1"/>
      <c r="M25" s="1"/>
      <c r="N25" s="1"/>
      <c r="O25" s="1"/>
      <c r="P25" s="1"/>
      <c r="Q25" s="1"/>
      <c r="R25" s="1"/>
      <c r="S25" s="1"/>
      <c r="T25" s="1"/>
    </row>
    <row r="26" spans="1:31">
      <c r="A26" s="66"/>
      <c r="L26" s="1"/>
      <c r="M26" s="1"/>
      <c r="N26" s="1"/>
      <c r="O26" s="1"/>
      <c r="P26" s="1"/>
      <c r="Q26" s="1"/>
      <c r="R26" s="1"/>
      <c r="S26" s="1"/>
      <c r="T26" s="1"/>
    </row>
    <row r="27" spans="1:31">
      <c r="L27" s="1"/>
      <c r="M27" s="1"/>
      <c r="N27" s="1"/>
      <c r="O27" s="1"/>
      <c r="P27" s="1"/>
      <c r="Q27" s="1"/>
      <c r="R27" s="1"/>
      <c r="S27" s="1"/>
      <c r="T27" s="1"/>
    </row>
    <row r="28" spans="1:31">
      <c r="L28" s="1"/>
      <c r="M28" s="1"/>
      <c r="N28" s="1"/>
      <c r="O28" s="1"/>
      <c r="P28" s="1"/>
      <c r="Q28" s="1"/>
      <c r="R28" s="1"/>
      <c r="S28" s="1"/>
      <c r="T28" s="1"/>
    </row>
    <row r="29" spans="1:31">
      <c r="L29" s="1"/>
      <c r="M29" s="1"/>
      <c r="N29" s="1"/>
      <c r="O29" s="1"/>
      <c r="P29" s="1"/>
      <c r="Q29" s="1"/>
      <c r="R29" s="1"/>
      <c r="S29" s="1"/>
      <c r="T29" s="1"/>
    </row>
    <row r="30" spans="1:31">
      <c r="L30" s="1"/>
      <c r="M30" s="1"/>
      <c r="N30" s="1"/>
      <c r="O30" s="1"/>
      <c r="P30" s="1"/>
      <c r="Q30" s="1"/>
      <c r="R30" s="1"/>
      <c r="S30" s="1"/>
      <c r="T30" s="1"/>
    </row>
    <row r="31" spans="1:31">
      <c r="L31" s="1"/>
      <c r="M31" s="1"/>
      <c r="N31" s="1"/>
      <c r="O31" s="1"/>
      <c r="P31" s="1"/>
      <c r="Q31" s="1"/>
      <c r="R31" s="1"/>
      <c r="S31" s="1"/>
      <c r="T31" s="1"/>
    </row>
    <row r="32" spans="1:31">
      <c r="L32" s="1"/>
      <c r="M32" s="1"/>
      <c r="N32" s="1"/>
      <c r="O32" s="1"/>
      <c r="P32" s="1"/>
      <c r="Q32" s="1"/>
      <c r="R32" s="1"/>
      <c r="S32" s="1"/>
      <c r="T32" s="1"/>
    </row>
    <row r="33" spans="12:20">
      <c r="L33" s="1"/>
      <c r="M33" s="1"/>
      <c r="N33" s="1"/>
      <c r="O33" s="1"/>
      <c r="P33" s="1"/>
      <c r="Q33" s="1"/>
      <c r="R33" s="1"/>
      <c r="S33" s="1"/>
      <c r="T33" s="1"/>
    </row>
    <row r="34" spans="12:20">
      <c r="L34" s="1"/>
      <c r="M34" s="1"/>
      <c r="N34" s="1"/>
      <c r="O34" s="1"/>
      <c r="P34" s="1"/>
      <c r="Q34" s="1"/>
      <c r="R34" s="1"/>
      <c r="S34" s="1"/>
      <c r="T34" s="1"/>
    </row>
    <row r="35" spans="12:20">
      <c r="L35" s="1"/>
      <c r="M35" s="1"/>
      <c r="N35" s="1"/>
      <c r="O35" s="1"/>
      <c r="P35" s="1"/>
      <c r="Q35" s="1"/>
      <c r="R35" s="1"/>
      <c r="S35" s="1"/>
      <c r="T35" s="1"/>
    </row>
    <row r="36" spans="12:20">
      <c r="L36" s="1"/>
      <c r="M36" s="1"/>
      <c r="N36" s="1"/>
      <c r="O36" s="1"/>
      <c r="P36" s="1"/>
      <c r="Q36" s="1"/>
      <c r="R36" s="1"/>
      <c r="S36" s="1"/>
      <c r="T36" s="1"/>
    </row>
    <row r="37" spans="12:20">
      <c r="L37" s="1"/>
      <c r="M37" s="1"/>
      <c r="N37" s="1"/>
      <c r="O37" s="1"/>
      <c r="P37" s="1"/>
      <c r="Q37" s="1"/>
      <c r="R37" s="1"/>
      <c r="S37" s="1"/>
      <c r="T37" s="1"/>
    </row>
    <row r="38" spans="12:20">
      <c r="L38" s="1"/>
      <c r="M38" s="1"/>
      <c r="N38" s="1"/>
      <c r="O38" s="1"/>
      <c r="P38" s="1"/>
      <c r="Q38" s="1"/>
      <c r="R38" s="1"/>
      <c r="S38" s="1"/>
      <c r="T38" s="1"/>
    </row>
    <row r="39" spans="12:20">
      <c r="L39" s="1"/>
      <c r="M39" s="1"/>
      <c r="N39" s="1"/>
      <c r="O39" s="1"/>
      <c r="P39" s="1"/>
      <c r="Q39" s="1"/>
      <c r="R39" s="1"/>
      <c r="S39" s="1"/>
      <c r="T39" s="1"/>
    </row>
    <row r="40" spans="12:20">
      <c r="L40" s="1"/>
      <c r="M40" s="1"/>
      <c r="N40" s="1"/>
      <c r="O40" s="1"/>
      <c r="P40" s="1"/>
      <c r="Q40" s="1"/>
      <c r="R40" s="1"/>
      <c r="S40" s="1"/>
      <c r="T40" s="1"/>
    </row>
    <row r="41" spans="12:20">
      <c r="L41" s="1"/>
      <c r="M41" s="1"/>
      <c r="N41" s="1"/>
      <c r="O41" s="1"/>
      <c r="P41" s="1"/>
      <c r="Q41" s="1"/>
      <c r="R41" s="1"/>
      <c r="S41" s="1"/>
      <c r="T41" s="1"/>
    </row>
    <row r="42" spans="12:20">
      <c r="L42" s="1"/>
      <c r="M42" s="1"/>
      <c r="N42" s="1"/>
      <c r="O42" s="1"/>
      <c r="P42" s="1"/>
      <c r="Q42" s="1"/>
      <c r="R42" s="1"/>
      <c r="S42" s="1"/>
      <c r="T42" s="1"/>
    </row>
    <row r="43" spans="12:20">
      <c r="L43" s="1"/>
      <c r="M43" s="1"/>
      <c r="N43" s="1"/>
      <c r="O43" s="1"/>
      <c r="P43" s="1"/>
      <c r="Q43" s="1"/>
      <c r="R43" s="1"/>
      <c r="S43" s="1"/>
      <c r="T43" s="1"/>
    </row>
  </sheetData>
  <mergeCells count="5">
    <mergeCell ref="B2:D2"/>
    <mergeCell ref="E2:G2"/>
    <mergeCell ref="A2:A3"/>
    <mergeCell ref="H2:J2"/>
    <mergeCell ref="A22:U22"/>
  </mergeCells>
  <hyperlinks>
    <hyperlink ref="A25" location="Contents!A1" display="Back to contents page" xr:uid="{C13063C9-DC0C-438D-BC01-E80FF5EE90A5}"/>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C6F0-A3D3-4068-B385-F94512D0CD97}">
  <dimension ref="A1:T49"/>
  <sheetViews>
    <sheetView zoomScaleNormal="100" workbookViewId="0"/>
  </sheetViews>
  <sheetFormatPr defaultRowHeight="14.4"/>
  <cols>
    <col min="1" max="1" width="30.5546875" customWidth="1"/>
    <col min="2" max="2" width="15.77734375" customWidth="1"/>
    <col min="3" max="3" width="13.77734375" customWidth="1"/>
    <col min="4" max="4" width="14.21875" customWidth="1"/>
    <col min="5" max="5" width="10" customWidth="1"/>
    <col min="6" max="6" width="3.5546875" customWidth="1"/>
    <col min="7" max="7" width="11.77734375" customWidth="1"/>
    <col min="8" max="9" width="12.44140625" customWidth="1"/>
    <col min="10" max="10" width="10" customWidth="1"/>
    <col min="11" max="11" width="3.21875" customWidth="1"/>
    <col min="12" max="12" width="11.77734375" customWidth="1"/>
    <col min="13" max="14" width="12.21875" customWidth="1"/>
    <col min="15" max="15" width="9.5546875" customWidth="1"/>
    <col min="16" max="16" width="11.5546875" bestFit="1" customWidth="1"/>
    <col min="17" max="17" width="9.5546875" bestFit="1" customWidth="1"/>
  </cols>
  <sheetData>
    <row r="1" spans="1:17" s="23" customFormat="1" ht="15.6">
      <c r="A1" s="81" t="s">
        <v>120</v>
      </c>
      <c r="I1" s="76"/>
      <c r="P1" s="74"/>
    </row>
    <row r="2" spans="1:17">
      <c r="A2" s="135" t="s">
        <v>80</v>
      </c>
      <c r="B2" s="132" t="s">
        <v>6</v>
      </c>
      <c r="C2" s="132"/>
      <c r="D2" s="132"/>
      <c r="E2" s="132"/>
      <c r="F2" s="88"/>
      <c r="G2" s="132" t="s">
        <v>5</v>
      </c>
      <c r="H2" s="132" t="s">
        <v>16</v>
      </c>
      <c r="I2" s="132"/>
      <c r="J2" s="132" t="s">
        <v>16</v>
      </c>
      <c r="K2" s="88"/>
      <c r="L2" s="132" t="s">
        <v>2</v>
      </c>
      <c r="M2" s="132"/>
      <c r="N2" s="132"/>
      <c r="O2" s="132"/>
    </row>
    <row r="3" spans="1:17" ht="44.25" customHeight="1">
      <c r="A3" s="136"/>
      <c r="B3" s="51" t="s">
        <v>17</v>
      </c>
      <c r="C3" s="51" t="s">
        <v>18</v>
      </c>
      <c r="D3" s="51" t="s">
        <v>40</v>
      </c>
      <c r="E3" s="51" t="s">
        <v>19</v>
      </c>
      <c r="F3" s="56"/>
      <c r="G3" s="51" t="s">
        <v>17</v>
      </c>
      <c r="H3" s="51" t="s">
        <v>18</v>
      </c>
      <c r="I3" s="51" t="s">
        <v>40</v>
      </c>
      <c r="J3" s="51" t="s">
        <v>19</v>
      </c>
      <c r="K3" s="56"/>
      <c r="L3" s="51" t="s">
        <v>17</v>
      </c>
      <c r="M3" s="51" t="s">
        <v>18</v>
      </c>
      <c r="N3" s="51" t="s">
        <v>40</v>
      </c>
      <c r="O3" s="51" t="s">
        <v>19</v>
      </c>
      <c r="Q3" s="56"/>
    </row>
    <row r="4" spans="1:17">
      <c r="A4" s="115" t="s">
        <v>4</v>
      </c>
      <c r="B4" s="90"/>
      <c r="C4" s="90"/>
      <c r="D4" s="90"/>
      <c r="E4" s="90"/>
      <c r="F4" s="90"/>
      <c r="G4" s="90"/>
      <c r="H4" s="90"/>
      <c r="I4" s="90"/>
      <c r="J4" s="90"/>
      <c r="K4" s="90"/>
      <c r="L4" s="90"/>
      <c r="M4" s="90"/>
      <c r="N4" s="90"/>
      <c r="O4" s="90"/>
      <c r="Q4" s="90"/>
    </row>
    <row r="5" spans="1:17">
      <c r="A5" s="47" t="s">
        <v>72</v>
      </c>
      <c r="B5" s="118">
        <v>25</v>
      </c>
      <c r="C5" s="118">
        <v>16</v>
      </c>
      <c r="D5" s="118">
        <v>17</v>
      </c>
      <c r="E5" s="90" t="s">
        <v>44</v>
      </c>
      <c r="F5" s="90"/>
      <c r="G5" s="118">
        <v>21</v>
      </c>
      <c r="H5" s="118">
        <v>25</v>
      </c>
      <c r="I5" s="118">
        <v>22</v>
      </c>
      <c r="J5" s="118" t="s">
        <v>44</v>
      </c>
      <c r="K5" s="120"/>
      <c r="L5" s="118">
        <v>46</v>
      </c>
      <c r="M5" s="118">
        <v>41</v>
      </c>
      <c r="N5" s="118">
        <v>39</v>
      </c>
      <c r="O5" s="118">
        <v>6</v>
      </c>
      <c r="Q5" s="90"/>
    </row>
    <row r="6" spans="1:17">
      <c r="A6" s="47" t="s">
        <v>20</v>
      </c>
      <c r="B6" s="118">
        <v>153</v>
      </c>
      <c r="C6" s="118">
        <v>173</v>
      </c>
      <c r="D6" s="118">
        <v>86</v>
      </c>
      <c r="E6" s="118">
        <v>41</v>
      </c>
      <c r="F6" s="90"/>
      <c r="G6" s="118">
        <v>210</v>
      </c>
      <c r="H6" s="118">
        <v>193</v>
      </c>
      <c r="I6" s="118">
        <v>58</v>
      </c>
      <c r="J6" s="118">
        <v>25</v>
      </c>
      <c r="K6" s="120"/>
      <c r="L6" s="118">
        <v>363</v>
      </c>
      <c r="M6" s="118">
        <v>366</v>
      </c>
      <c r="N6" s="118">
        <v>144</v>
      </c>
      <c r="O6" s="118">
        <v>66</v>
      </c>
      <c r="Q6" s="90"/>
    </row>
    <row r="7" spans="1:17">
      <c r="A7" s="47" t="s">
        <v>21</v>
      </c>
      <c r="B7" s="118">
        <v>704</v>
      </c>
      <c r="C7" s="118">
        <v>968</v>
      </c>
      <c r="D7" s="118">
        <v>184</v>
      </c>
      <c r="E7" s="118">
        <v>287</v>
      </c>
      <c r="F7" s="90"/>
      <c r="G7" s="118">
        <v>944</v>
      </c>
      <c r="H7" s="118">
        <v>1276</v>
      </c>
      <c r="I7" s="118">
        <v>125</v>
      </c>
      <c r="J7" s="118">
        <v>248</v>
      </c>
      <c r="K7" s="120"/>
      <c r="L7" s="118">
        <v>1648</v>
      </c>
      <c r="M7" s="118">
        <v>2244</v>
      </c>
      <c r="N7" s="118">
        <v>309</v>
      </c>
      <c r="O7" s="118">
        <v>535</v>
      </c>
      <c r="Q7" s="90"/>
    </row>
    <row r="8" spans="1:17">
      <c r="A8" s="47" t="s">
        <v>22</v>
      </c>
      <c r="B8" s="118">
        <v>961</v>
      </c>
      <c r="C8" s="118">
        <v>1693</v>
      </c>
      <c r="D8" s="118">
        <v>116</v>
      </c>
      <c r="E8" s="118">
        <v>442</v>
      </c>
      <c r="F8" s="90"/>
      <c r="G8" s="118">
        <v>1808</v>
      </c>
      <c r="H8" s="118">
        <v>3160</v>
      </c>
      <c r="I8" s="118">
        <v>102</v>
      </c>
      <c r="J8" s="118">
        <v>556</v>
      </c>
      <c r="K8" s="120"/>
      <c r="L8" s="118">
        <v>2769</v>
      </c>
      <c r="M8" s="118">
        <v>4853</v>
      </c>
      <c r="N8" s="118">
        <v>218</v>
      </c>
      <c r="O8" s="118">
        <v>998</v>
      </c>
      <c r="Q8" s="90"/>
    </row>
    <row r="9" spans="1:17">
      <c r="A9" s="47" t="s">
        <v>0</v>
      </c>
      <c r="B9" s="118">
        <v>159</v>
      </c>
      <c r="C9" s="118">
        <v>385</v>
      </c>
      <c r="D9" s="118">
        <v>5</v>
      </c>
      <c r="E9" s="118">
        <v>97</v>
      </c>
      <c r="F9" s="90"/>
      <c r="G9" s="118">
        <v>580</v>
      </c>
      <c r="H9" s="118">
        <v>1319</v>
      </c>
      <c r="I9" s="118">
        <v>11</v>
      </c>
      <c r="J9" s="118">
        <v>205</v>
      </c>
      <c r="K9" s="120"/>
      <c r="L9" s="118">
        <v>739</v>
      </c>
      <c r="M9" s="118">
        <v>1704</v>
      </c>
      <c r="N9" s="118">
        <v>16</v>
      </c>
      <c r="O9" s="118">
        <v>302</v>
      </c>
      <c r="Q9" s="90"/>
    </row>
    <row r="10" spans="1:17" s="2" customFormat="1">
      <c r="A10" s="114" t="s">
        <v>41</v>
      </c>
      <c r="B10" s="119">
        <v>1977</v>
      </c>
      <c r="C10" s="119">
        <v>3219</v>
      </c>
      <c r="D10" s="119">
        <v>391</v>
      </c>
      <c r="E10" s="119">
        <v>867</v>
      </c>
      <c r="F10" s="56"/>
      <c r="G10" s="119">
        <v>3542</v>
      </c>
      <c r="H10" s="119">
        <v>5948</v>
      </c>
      <c r="I10" s="119">
        <v>296</v>
      </c>
      <c r="J10" s="119">
        <v>1034</v>
      </c>
      <c r="K10" s="119"/>
      <c r="L10" s="119">
        <v>5519</v>
      </c>
      <c r="M10" s="119">
        <v>9167</v>
      </c>
      <c r="N10" s="119">
        <v>687</v>
      </c>
      <c r="O10" s="119">
        <v>1901</v>
      </c>
      <c r="Q10" s="56"/>
    </row>
    <row r="11" spans="1:17" s="2" customFormat="1">
      <c r="A11" s="114"/>
      <c r="B11" s="56"/>
      <c r="C11" s="56"/>
      <c r="D11" s="56"/>
      <c r="E11" s="56"/>
      <c r="F11" s="56"/>
      <c r="G11" s="56"/>
      <c r="H11" s="56"/>
      <c r="I11" s="56"/>
      <c r="J11" s="56"/>
      <c r="K11" s="56"/>
      <c r="L11" s="56"/>
      <c r="M11" s="56"/>
      <c r="N11" s="56"/>
      <c r="O11" s="56"/>
      <c r="Q11" s="56"/>
    </row>
    <row r="12" spans="1:17">
      <c r="A12" s="141" t="s">
        <v>121</v>
      </c>
      <c r="B12" s="141"/>
      <c r="C12" s="141"/>
      <c r="D12" s="141"/>
      <c r="E12" s="141"/>
      <c r="F12" s="141"/>
      <c r="G12" s="141"/>
      <c r="H12" s="141"/>
      <c r="I12" s="141"/>
      <c r="J12" s="141"/>
      <c r="K12" s="141"/>
      <c r="L12" s="141"/>
      <c r="M12" s="141"/>
      <c r="N12" s="141"/>
      <c r="O12" s="141"/>
    </row>
    <row r="13" spans="1:17">
      <c r="A13" s="1" t="s">
        <v>20</v>
      </c>
      <c r="B13" s="82">
        <v>12.830059571727579</v>
      </c>
      <c r="C13" s="82">
        <v>14.507191541888048</v>
      </c>
      <c r="D13" s="82">
        <v>7.2116674716900127</v>
      </c>
      <c r="E13" s="82">
        <v>3.4381205388289593</v>
      </c>
      <c r="F13" s="82"/>
      <c r="G13" s="82">
        <v>16.236138396843696</v>
      </c>
      <c r="H13" s="82">
        <v>14.921784336146825</v>
      </c>
      <c r="I13" s="82">
        <v>4.4842667953187343</v>
      </c>
      <c r="J13" s="82">
        <v>1.9328736186718685</v>
      </c>
      <c r="K13" s="82"/>
      <c r="L13" s="82">
        <v>14.602222192722783</v>
      </c>
      <c r="M13" s="82">
        <v>14.722901714976691</v>
      </c>
      <c r="N13" s="82">
        <v>5.7926170681875506</v>
      </c>
      <c r="O13" s="82">
        <v>2.6549494895859604</v>
      </c>
    </row>
    <row r="14" spans="1:17">
      <c r="A14" s="1" t="s">
        <v>21</v>
      </c>
      <c r="B14" s="82">
        <v>98.558442776604124</v>
      </c>
      <c r="C14" s="82">
        <v>135.51785881783067</v>
      </c>
      <c r="D14" s="82">
        <v>25.759592998430623</v>
      </c>
      <c r="E14" s="82">
        <v>40.179365166030379</v>
      </c>
      <c r="F14" s="82"/>
      <c r="G14" s="82">
        <v>118.17889329973247</v>
      </c>
      <c r="H14" s="82">
        <v>159.74180916362144</v>
      </c>
      <c r="I14" s="82">
        <v>15.648688201765422</v>
      </c>
      <c r="J14" s="82">
        <v>31.046997392302597</v>
      </c>
      <c r="K14" s="82"/>
      <c r="L14" s="82">
        <v>108.91647930124263</v>
      </c>
      <c r="M14" s="82">
        <v>148.30617691261435</v>
      </c>
      <c r="N14" s="82">
        <v>20.421839868982993</v>
      </c>
      <c r="O14" s="82">
        <v>35.358201714905832</v>
      </c>
    </row>
    <row r="15" spans="1:17">
      <c r="A15" s="1" t="s">
        <v>22</v>
      </c>
      <c r="B15" s="82">
        <v>463.17047661736143</v>
      </c>
      <c r="C15" s="82">
        <v>815.97046505014873</v>
      </c>
      <c r="D15" s="82">
        <v>55.908194888255906</v>
      </c>
      <c r="E15" s="82">
        <v>213.02950121214749</v>
      </c>
      <c r="F15" s="82"/>
      <c r="G15" s="82">
        <v>601.53177671459844</v>
      </c>
      <c r="H15" s="82">
        <v>1051.3497867356921</v>
      </c>
      <c r="I15" s="82">
        <v>33.935974128810308</v>
      </c>
      <c r="J15" s="82">
        <v>184.98432956488759</v>
      </c>
      <c r="K15" s="82"/>
      <c r="L15" s="82">
        <v>545.02616873569286</v>
      </c>
      <c r="M15" s="82">
        <v>955.22282299541973</v>
      </c>
      <c r="N15" s="82">
        <v>42.909246942716152</v>
      </c>
      <c r="O15" s="82">
        <v>196.43774517812258</v>
      </c>
    </row>
    <row r="16" spans="1:17">
      <c r="A16" s="34" t="s">
        <v>0</v>
      </c>
      <c r="B16" s="116">
        <v>1005.3110773899848</v>
      </c>
      <c r="C16" s="116">
        <v>2434.2438037430452</v>
      </c>
      <c r="D16" s="117" t="s">
        <v>44</v>
      </c>
      <c r="E16" s="116">
        <v>613.30298431967628</v>
      </c>
      <c r="F16" s="116"/>
      <c r="G16" s="116">
        <v>1559.8526208213432</v>
      </c>
      <c r="H16" s="116">
        <v>3547.3200118333648</v>
      </c>
      <c r="I16" s="116">
        <v>29.583411774197884</v>
      </c>
      <c r="J16" s="116">
        <v>551.32721942823332</v>
      </c>
      <c r="K16" s="116"/>
      <c r="L16" s="116">
        <v>1394.3659314326685</v>
      </c>
      <c r="M16" s="116">
        <v>3215.1550029245836</v>
      </c>
      <c r="N16" s="116">
        <v>30.189248853751959</v>
      </c>
      <c r="O16" s="116">
        <v>569.82207211456819</v>
      </c>
    </row>
    <row r="17" spans="1:20">
      <c r="A17" s="85" t="s">
        <v>42</v>
      </c>
    </row>
    <row r="18" spans="1:20">
      <c r="A18" t="s">
        <v>73</v>
      </c>
      <c r="G18" s="1"/>
      <c r="L18" s="1"/>
    </row>
    <row r="19" spans="1:20">
      <c r="A19" s="84" t="s">
        <v>122</v>
      </c>
    </row>
    <row r="20" spans="1:20">
      <c r="A20" t="s">
        <v>77</v>
      </c>
    </row>
    <row r="21" spans="1:20">
      <c r="A21" s="84" t="s">
        <v>83</v>
      </c>
    </row>
    <row r="22" spans="1:20">
      <c r="A22" s="84" t="s">
        <v>102</v>
      </c>
    </row>
    <row r="23" spans="1:20">
      <c r="A23" t="s">
        <v>109</v>
      </c>
    </row>
    <row r="25" spans="1:20" ht="15.6">
      <c r="A25" s="22" t="s">
        <v>94</v>
      </c>
    </row>
    <row r="26" spans="1:20">
      <c r="A26" s="46"/>
      <c r="B26" s="132" t="s">
        <v>87</v>
      </c>
      <c r="C26" s="132"/>
      <c r="D26" s="132"/>
    </row>
    <row r="27" spans="1:20" ht="43.2">
      <c r="A27" s="61" t="s">
        <v>80</v>
      </c>
      <c r="B27" s="54" t="s">
        <v>76</v>
      </c>
      <c r="C27" s="54" t="s">
        <v>85</v>
      </c>
      <c r="D27" s="54" t="s">
        <v>86</v>
      </c>
    </row>
    <row r="28" spans="1:20">
      <c r="A28" t="s">
        <v>72</v>
      </c>
      <c r="B28" s="68" t="s">
        <v>44</v>
      </c>
      <c r="C28" s="68">
        <v>16</v>
      </c>
      <c r="D28" s="68" t="s">
        <v>44</v>
      </c>
    </row>
    <row r="29" spans="1:20">
      <c r="A29" t="s">
        <v>78</v>
      </c>
      <c r="B29" s="68" t="s">
        <v>44</v>
      </c>
      <c r="C29" s="68">
        <v>464</v>
      </c>
      <c r="D29" s="68" t="s">
        <v>44</v>
      </c>
    </row>
    <row r="30" spans="1:20">
      <c r="A30" s="61" t="s">
        <v>79</v>
      </c>
      <c r="B30" s="83">
        <v>211</v>
      </c>
      <c r="C30" s="83">
        <v>480</v>
      </c>
      <c r="D30" s="83">
        <v>35</v>
      </c>
    </row>
    <row r="31" spans="1:20">
      <c r="A31" s="85" t="s">
        <v>42</v>
      </c>
      <c r="D31" s="1"/>
      <c r="G31" s="1"/>
      <c r="I31" s="1"/>
      <c r="J31" s="1"/>
      <c r="K31" s="1"/>
      <c r="L31" s="1"/>
      <c r="M31" s="1"/>
      <c r="N31" s="1"/>
      <c r="P31" s="1"/>
      <c r="Q31" s="1"/>
      <c r="R31" s="1"/>
      <c r="T31" s="1"/>
    </row>
    <row r="32" spans="1:20">
      <c r="A32" t="s">
        <v>84</v>
      </c>
      <c r="B32" s="80"/>
    </row>
    <row r="33" spans="1:4">
      <c r="A33" s="84" t="s">
        <v>99</v>
      </c>
    </row>
    <row r="34" spans="1:4">
      <c r="A34" t="s">
        <v>110</v>
      </c>
    </row>
    <row r="36" spans="1:4" ht="15.6">
      <c r="A36" s="22" t="s">
        <v>95</v>
      </c>
    </row>
    <row r="37" spans="1:4">
      <c r="A37" s="46"/>
      <c r="B37" s="132" t="s">
        <v>87</v>
      </c>
      <c r="C37" s="132"/>
      <c r="D37" s="67"/>
    </row>
    <row r="38" spans="1:4" ht="43.2">
      <c r="A38" s="61" t="s">
        <v>75</v>
      </c>
      <c r="B38" s="51" t="s">
        <v>82</v>
      </c>
      <c r="C38" s="51" t="s">
        <v>81</v>
      </c>
      <c r="D38" s="67"/>
    </row>
    <row r="39" spans="1:4">
      <c r="A39" s="46" t="s">
        <v>72</v>
      </c>
      <c r="B39" s="46">
        <v>3</v>
      </c>
      <c r="C39" s="46">
        <v>3</v>
      </c>
      <c r="D39" s="67"/>
    </row>
    <row r="40" spans="1:4">
      <c r="A40" t="s">
        <v>78</v>
      </c>
      <c r="B40">
        <v>678</v>
      </c>
      <c r="C40">
        <v>6</v>
      </c>
      <c r="D40" s="67"/>
    </row>
    <row r="41" spans="1:4">
      <c r="A41" s="61" t="s">
        <v>79</v>
      </c>
      <c r="B41" s="33">
        <v>681</v>
      </c>
      <c r="C41" s="33">
        <v>9</v>
      </c>
      <c r="D41" s="67"/>
    </row>
    <row r="42" spans="1:4">
      <c r="A42" s="85" t="s">
        <v>42</v>
      </c>
    </row>
    <row r="43" spans="1:4">
      <c r="A43" t="s">
        <v>103</v>
      </c>
    </row>
    <row r="44" spans="1:4">
      <c r="A44" t="s">
        <v>104</v>
      </c>
    </row>
    <row r="45" spans="1:4">
      <c r="A45" t="s">
        <v>105</v>
      </c>
    </row>
    <row r="46" spans="1:4">
      <c r="A46" s="66" t="s">
        <v>111</v>
      </c>
    </row>
    <row r="47" spans="1:4">
      <c r="A47" t="s">
        <v>109</v>
      </c>
    </row>
    <row r="49" spans="1:1">
      <c r="A49" s="66" t="s">
        <v>100</v>
      </c>
    </row>
  </sheetData>
  <mergeCells count="7">
    <mergeCell ref="B37:C37"/>
    <mergeCell ref="L2:O2"/>
    <mergeCell ref="A12:O12"/>
    <mergeCell ref="B26:D26"/>
    <mergeCell ref="A2:A3"/>
    <mergeCell ref="B2:E2"/>
    <mergeCell ref="G2:J2"/>
  </mergeCells>
  <hyperlinks>
    <hyperlink ref="A49" location="Contents!A1" display="Back to contents page" xr:uid="{A2CB43C7-FA74-4145-9773-570CE2A4AED6}"/>
    <hyperlink ref="A46" r:id="rId1" display="https://www.aihw.gov.au/reports/dementia/dementia-in-aus/contents/technical-notes/data-sources" xr:uid="{6F241548-6165-4063-8EE0-2E96B5B3F343}"/>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6"/>
  <sheetViews>
    <sheetView zoomScaleNormal="100" workbookViewId="0"/>
  </sheetViews>
  <sheetFormatPr defaultRowHeight="14.4"/>
  <cols>
    <col min="2" max="4" width="21.77734375" customWidth="1"/>
    <col min="5" max="5" width="3.5546875" customWidth="1"/>
    <col min="6" max="8" width="21.77734375" customWidth="1"/>
  </cols>
  <sheetData>
    <row r="1" spans="1:8" ht="15.6">
      <c r="A1" s="30" t="s">
        <v>96</v>
      </c>
      <c r="B1" s="30"/>
      <c r="C1" s="30"/>
      <c r="D1" s="30"/>
      <c r="E1" s="22"/>
      <c r="H1" s="76"/>
    </row>
    <row r="2" spans="1:8">
      <c r="A2" s="142" t="s">
        <v>23</v>
      </c>
      <c r="B2" s="132" t="s">
        <v>59</v>
      </c>
      <c r="C2" s="132"/>
      <c r="D2" s="132"/>
      <c r="E2" s="88"/>
      <c r="F2" s="132" t="s">
        <v>60</v>
      </c>
      <c r="G2" s="132"/>
      <c r="H2" s="132"/>
    </row>
    <row r="3" spans="1:8">
      <c r="A3" s="143"/>
      <c r="B3" s="52" t="s">
        <v>17</v>
      </c>
      <c r="C3" s="52" t="s">
        <v>18</v>
      </c>
      <c r="D3" s="52" t="s">
        <v>19</v>
      </c>
      <c r="E3" s="67"/>
      <c r="F3" s="52" t="s">
        <v>17</v>
      </c>
      <c r="G3" s="52" t="s">
        <v>18</v>
      </c>
      <c r="H3" s="52" t="s">
        <v>19</v>
      </c>
    </row>
    <row r="4" spans="1:8">
      <c r="A4" s="3">
        <v>2009</v>
      </c>
      <c r="B4" s="62">
        <v>9.6379691828907141</v>
      </c>
      <c r="C4" s="62">
        <v>18.55482525654806</v>
      </c>
      <c r="D4" s="62">
        <v>4.1442275831679991</v>
      </c>
      <c r="E4" s="62"/>
      <c r="F4" s="62">
        <v>11.257786578090659</v>
      </c>
      <c r="G4" s="62">
        <v>21.916264288387797</v>
      </c>
      <c r="H4" s="62">
        <v>4.8912823748379157</v>
      </c>
    </row>
    <row r="5" spans="1:8">
      <c r="A5" s="3">
        <v>2010</v>
      </c>
      <c r="B5" s="62">
        <v>10.240860696137128</v>
      </c>
      <c r="C5" s="62">
        <v>19.229493121422202</v>
      </c>
      <c r="D5" s="62">
        <v>4.2728250925584668</v>
      </c>
      <c r="E5" s="62"/>
      <c r="F5" s="62">
        <v>12.282274444835295</v>
      </c>
      <c r="G5" s="62">
        <v>23.316350267227978</v>
      </c>
      <c r="H5" s="62">
        <v>5.1607339407899966</v>
      </c>
    </row>
    <row r="6" spans="1:8">
      <c r="A6" s="3">
        <v>2011</v>
      </c>
      <c r="B6" s="62">
        <v>10.942878307364291</v>
      </c>
      <c r="C6" s="62">
        <v>20.262957170103537</v>
      </c>
      <c r="D6" s="62">
        <v>4.4072546309164924</v>
      </c>
      <c r="E6" s="62"/>
      <c r="F6" s="62">
        <v>13.370621267013858</v>
      </c>
      <c r="G6" s="62">
        <v>25.205881605140622</v>
      </c>
      <c r="H6" s="62">
        <v>5.4476217214448832</v>
      </c>
    </row>
    <row r="7" spans="1:8">
      <c r="A7" s="3">
        <v>2012</v>
      </c>
      <c r="B7" s="62">
        <v>10.708654119663187</v>
      </c>
      <c r="C7" s="62">
        <v>20.562951996731165</v>
      </c>
      <c r="D7" s="62">
        <v>4.742594488372526</v>
      </c>
      <c r="E7" s="62"/>
      <c r="F7" s="62">
        <v>13.398749376744812</v>
      </c>
      <c r="G7" s="62">
        <v>26.146476131113317</v>
      </c>
      <c r="H7" s="62">
        <v>5.9647748374477887</v>
      </c>
    </row>
    <row r="8" spans="1:8">
      <c r="A8" s="3">
        <v>2013</v>
      </c>
      <c r="B8" s="29">
        <v>11.434504234012635</v>
      </c>
      <c r="C8" s="29">
        <v>22.147611081736081</v>
      </c>
      <c r="D8" s="29">
        <v>3.3555623320331671</v>
      </c>
      <c r="E8" s="29"/>
      <c r="F8" s="29">
        <v>14.454260437582304</v>
      </c>
      <c r="G8" s="29">
        <v>28.627477821487417</v>
      </c>
      <c r="H8" s="29">
        <v>4.3107680694793773</v>
      </c>
    </row>
    <row r="9" spans="1:8">
      <c r="A9" s="3">
        <v>2014</v>
      </c>
      <c r="B9" s="29">
        <v>11.992090831432085</v>
      </c>
      <c r="C9" s="29">
        <v>23.139358187827561</v>
      </c>
      <c r="D9" s="29">
        <v>3.8545929691094671</v>
      </c>
      <c r="E9" s="29"/>
      <c r="F9" s="29">
        <v>15.535222272098885</v>
      </c>
      <c r="G9" s="29">
        <v>30.512420382518322</v>
      </c>
      <c r="H9" s="29">
        <v>5.0435160872402198</v>
      </c>
    </row>
    <row r="10" spans="1:8">
      <c r="A10" s="3">
        <v>2015</v>
      </c>
      <c r="B10" s="29">
        <v>12.261077253369598</v>
      </c>
      <c r="C10" s="29">
        <v>23.559707083369823</v>
      </c>
      <c r="D10" s="29">
        <v>3.8586705138203086</v>
      </c>
      <c r="E10" s="29"/>
      <c r="F10" s="29">
        <v>16.098424609175471</v>
      </c>
      <c r="G10" s="29">
        <v>31.80635535067924</v>
      </c>
      <c r="H10" s="29">
        <v>5.1603974555755494</v>
      </c>
    </row>
    <row r="11" spans="1:8">
      <c r="A11" s="3">
        <v>2016</v>
      </c>
      <c r="B11" s="29">
        <v>12.629892807785039</v>
      </c>
      <c r="C11" s="29">
        <v>23.876497616739101</v>
      </c>
      <c r="D11" s="29">
        <v>3.9977188267742059</v>
      </c>
      <c r="E11" s="29"/>
      <c r="F11" s="29">
        <v>16.944383275914376</v>
      </c>
      <c r="G11" s="29">
        <v>32.983467713715733</v>
      </c>
      <c r="H11" s="29">
        <v>5.3863213975399926</v>
      </c>
    </row>
    <row r="12" spans="1:8">
      <c r="A12" s="3">
        <v>2017</v>
      </c>
      <c r="B12" s="29">
        <v>13.086069645217615</v>
      </c>
      <c r="C12" s="29">
        <v>23.817624694890711</v>
      </c>
      <c r="D12" s="29">
        <v>4.1128915760780451</v>
      </c>
      <c r="E12" s="29"/>
      <c r="F12" s="29">
        <v>17.761449100029651</v>
      </c>
      <c r="G12" s="29">
        <v>33.453168897880936</v>
      </c>
      <c r="H12" s="29">
        <v>5.6561757550689666</v>
      </c>
    </row>
    <row r="13" spans="1:8">
      <c r="A13" s="3">
        <v>2018</v>
      </c>
      <c r="B13" s="29">
        <v>12.795839678682151</v>
      </c>
      <c r="C13" s="29">
        <v>23.712010310747871</v>
      </c>
      <c r="D13" s="29">
        <v>4.0129176915450486</v>
      </c>
      <c r="E13" s="29"/>
      <c r="F13" s="29">
        <v>17.629910326608812</v>
      </c>
      <c r="G13" s="29">
        <v>33.773636438000203</v>
      </c>
      <c r="H13" s="29">
        <v>5.5481540109868668</v>
      </c>
    </row>
    <row r="14" spans="1:8">
      <c r="A14" s="3">
        <v>2019</v>
      </c>
      <c r="B14" s="29">
        <v>13.058715696908751</v>
      </c>
      <c r="C14" s="29">
        <v>24.453353397985435</v>
      </c>
      <c r="D14" s="29">
        <v>4.3159975445136673</v>
      </c>
      <c r="E14" s="29"/>
      <c r="F14" s="29">
        <v>18.247609042193542</v>
      </c>
      <c r="G14" s="29">
        <v>35.476857034660512</v>
      </c>
      <c r="H14" s="29">
        <v>6.0746420756945403</v>
      </c>
    </row>
    <row r="15" spans="1:8">
      <c r="A15" s="3">
        <v>2020</v>
      </c>
      <c r="B15" s="29">
        <v>13.048769476798441</v>
      </c>
      <c r="C15" s="29">
        <v>21.648108719896566</v>
      </c>
      <c r="D15" s="29">
        <v>4.6253650521418175</v>
      </c>
      <c r="E15" s="29"/>
      <c r="F15" s="29">
        <v>18.632125199148138</v>
      </c>
      <c r="G15" s="29">
        <v>32.20367318371283</v>
      </c>
      <c r="H15" s="29">
        <v>6.6980521222298606</v>
      </c>
    </row>
    <row r="16" spans="1:8">
      <c r="A16" s="3">
        <v>2021</v>
      </c>
      <c r="B16" s="29">
        <v>14.106943580237912</v>
      </c>
      <c r="C16" s="29">
        <v>22.210342220029197</v>
      </c>
      <c r="D16" s="29">
        <v>4.692946393770006</v>
      </c>
      <c r="E16" s="29"/>
      <c r="F16" s="29">
        <v>20.844516724123405</v>
      </c>
      <c r="G16" s="29">
        <v>34.206186764689619</v>
      </c>
      <c r="H16" s="29">
        <v>7.0662678099148266</v>
      </c>
    </row>
    <row r="17" spans="1:14">
      <c r="A17" s="3">
        <v>2022</v>
      </c>
      <c r="B17" s="29">
        <v>14.352374511465564</v>
      </c>
      <c r="C17" s="29">
        <v>23.669271526245659</v>
      </c>
      <c r="D17" s="29">
        <v>4.7957568841034828</v>
      </c>
      <c r="E17" s="29"/>
      <c r="F17" s="29">
        <v>21.564980224990013</v>
      </c>
      <c r="G17" s="29">
        <v>36.99105253209963</v>
      </c>
      <c r="H17" s="29">
        <v>7.2152349166321317</v>
      </c>
    </row>
    <row r="18" spans="1:14">
      <c r="A18" s="49">
        <v>2023</v>
      </c>
      <c r="B18" s="53">
        <v>13.923447762294375</v>
      </c>
      <c r="C18" s="53">
        <v>22.280934339992768</v>
      </c>
      <c r="D18" s="53">
        <v>4.7007432633376522</v>
      </c>
      <c r="E18" s="53"/>
      <c r="F18" s="53">
        <v>20.879625413892143</v>
      </c>
      <c r="G18" s="53">
        <v>34.547994754918037</v>
      </c>
      <c r="H18" s="53">
        <v>7.1549767590821771</v>
      </c>
    </row>
    <row r="19" spans="1:14">
      <c r="A19" s="85" t="s">
        <v>42</v>
      </c>
    </row>
    <row r="20" spans="1:14" ht="15" customHeight="1">
      <c r="A20" s="84" t="s">
        <v>106</v>
      </c>
      <c r="B20" s="84"/>
      <c r="C20" s="84"/>
      <c r="D20" s="84"/>
      <c r="E20" s="84"/>
      <c r="F20" s="84"/>
      <c r="G20" s="84"/>
      <c r="H20" s="84"/>
    </row>
    <row r="21" spans="1:14">
      <c r="A21" t="s">
        <v>49</v>
      </c>
    </row>
    <row r="22" spans="1:14" ht="33" customHeight="1">
      <c r="A22" s="140" t="s">
        <v>101</v>
      </c>
      <c r="B22" s="140"/>
      <c r="C22" s="140"/>
      <c r="D22" s="140"/>
      <c r="E22" s="140"/>
      <c r="F22" s="140"/>
      <c r="G22" s="140"/>
      <c r="H22" s="140"/>
      <c r="I22" s="140"/>
      <c r="J22" s="140"/>
      <c r="K22" s="140"/>
      <c r="L22" s="140"/>
      <c r="M22" s="140"/>
      <c r="N22" s="140"/>
    </row>
    <row r="23" spans="1:14">
      <c r="A23" t="s">
        <v>110</v>
      </c>
    </row>
    <row r="25" spans="1:14">
      <c r="A25" s="66" t="s">
        <v>100</v>
      </c>
    </row>
    <row r="40" spans="2:8">
      <c r="F40" s="28"/>
      <c r="H40" s="29"/>
    </row>
    <row r="41" spans="2:8">
      <c r="B41" s="29"/>
      <c r="C41" s="29"/>
      <c r="D41" s="29"/>
      <c r="E41" s="29"/>
      <c r="F41" s="29"/>
      <c r="G41" s="29"/>
      <c r="H41" s="29"/>
    </row>
    <row r="42" spans="2:8">
      <c r="B42" s="29"/>
      <c r="C42" s="29"/>
      <c r="D42" s="29"/>
      <c r="E42" s="29"/>
      <c r="F42" s="29"/>
      <c r="G42" s="29"/>
      <c r="H42" s="29"/>
    </row>
    <row r="43" spans="2:8">
      <c r="B43" s="29"/>
      <c r="C43" s="29"/>
      <c r="D43" s="29"/>
      <c r="E43" s="29"/>
      <c r="F43" s="29"/>
      <c r="G43" s="29"/>
      <c r="H43" s="29"/>
    </row>
    <row r="44" spans="2:8">
      <c r="B44" s="29"/>
      <c r="C44" s="29"/>
      <c r="D44" s="29"/>
      <c r="E44" s="29"/>
      <c r="F44" s="29"/>
      <c r="G44" s="29"/>
      <c r="H44" s="29"/>
    </row>
    <row r="45" spans="2:8">
      <c r="B45" s="29"/>
      <c r="C45" s="29"/>
      <c r="D45" s="29"/>
      <c r="E45" s="29"/>
      <c r="F45" s="29"/>
      <c r="G45" s="29"/>
      <c r="H45" s="29"/>
    </row>
    <row r="46" spans="2:8">
      <c r="B46" s="29"/>
      <c r="C46" s="29"/>
      <c r="D46" s="29"/>
      <c r="E46" s="29"/>
      <c r="F46" s="29"/>
      <c r="G46" s="29"/>
      <c r="H46" s="29"/>
    </row>
    <row r="47" spans="2:8">
      <c r="B47" s="29"/>
      <c r="C47" s="29"/>
      <c r="D47" s="29"/>
      <c r="E47" s="29"/>
      <c r="F47" s="29"/>
      <c r="G47" s="29"/>
      <c r="H47" s="29"/>
    </row>
    <row r="48" spans="2:8">
      <c r="B48" s="29"/>
      <c r="C48" s="29"/>
      <c r="D48" s="29"/>
      <c r="E48" s="29"/>
      <c r="F48" s="29"/>
      <c r="G48" s="29"/>
      <c r="H48" s="29"/>
    </row>
    <row r="49" spans="2:8">
      <c r="B49" s="29"/>
      <c r="C49" s="29"/>
      <c r="D49" s="29"/>
      <c r="E49" s="29"/>
      <c r="F49" s="29"/>
      <c r="G49" s="29"/>
      <c r="H49" s="29"/>
    </row>
    <row r="50" spans="2:8">
      <c r="B50" s="29"/>
      <c r="C50" s="29"/>
      <c r="D50" s="29"/>
      <c r="E50" s="29"/>
      <c r="F50" s="29"/>
      <c r="G50" s="29"/>
      <c r="H50" s="29"/>
    </row>
    <row r="51" spans="2:8">
      <c r="B51" s="29"/>
      <c r="C51" s="29"/>
      <c r="D51" s="29"/>
      <c r="E51" s="29"/>
      <c r="F51" s="29"/>
      <c r="G51" s="29"/>
      <c r="H51" s="29"/>
    </row>
    <row r="52" spans="2:8">
      <c r="B52" s="29"/>
      <c r="C52" s="29"/>
      <c r="D52" s="29"/>
      <c r="E52" s="29"/>
      <c r="F52" s="29"/>
      <c r="G52" s="29"/>
      <c r="H52" s="29"/>
    </row>
    <row r="53" spans="2:8">
      <c r="B53" s="29"/>
      <c r="C53" s="29"/>
      <c r="D53" s="29"/>
      <c r="E53" s="29"/>
      <c r="F53" s="29"/>
      <c r="G53" s="29"/>
      <c r="H53" s="29"/>
    </row>
    <row r="54" spans="2:8">
      <c r="B54" s="29"/>
      <c r="C54" s="29"/>
      <c r="D54" s="29"/>
      <c r="E54" s="29"/>
      <c r="F54" s="29"/>
      <c r="G54" s="29"/>
      <c r="H54" s="29"/>
    </row>
    <row r="55" spans="2:8">
      <c r="B55" s="29"/>
      <c r="C55" s="29"/>
      <c r="D55" s="29"/>
      <c r="E55" s="29"/>
      <c r="F55" s="29"/>
      <c r="G55" s="29"/>
      <c r="H55" s="29"/>
    </row>
    <row r="56" spans="2:8">
      <c r="B56" s="29"/>
      <c r="C56" s="29"/>
      <c r="D56" s="29"/>
      <c r="E56" s="29"/>
      <c r="F56" s="29"/>
      <c r="G56" s="29"/>
      <c r="H56" s="29"/>
    </row>
  </sheetData>
  <mergeCells count="4">
    <mergeCell ref="B2:D2"/>
    <mergeCell ref="A2:A3"/>
    <mergeCell ref="F2:H2"/>
    <mergeCell ref="A22:N22"/>
  </mergeCells>
  <hyperlinks>
    <hyperlink ref="A25" location="Contents!A1" display="Back to contents page" xr:uid="{88AAE944-C256-4A41-86E7-29971192D508}"/>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5"/>
  <sheetViews>
    <sheetView zoomScaleNormal="100" workbookViewId="0"/>
  </sheetViews>
  <sheetFormatPr defaultRowHeight="14.4"/>
  <cols>
    <col min="1" max="1" width="20.77734375" customWidth="1"/>
    <col min="2" max="2" width="30" style="3" customWidth="1"/>
    <col min="3" max="8" width="11.77734375" customWidth="1"/>
  </cols>
  <sheetData>
    <row r="1" spans="1:9" ht="15.6">
      <c r="A1" s="22" t="s">
        <v>141</v>
      </c>
      <c r="B1" s="4"/>
      <c r="C1" s="2"/>
      <c r="D1" s="2"/>
      <c r="E1" s="2"/>
      <c r="I1" s="73"/>
    </row>
    <row r="2" spans="1:9" ht="31.5" customHeight="1">
      <c r="A2" s="146" t="s">
        <v>53</v>
      </c>
      <c r="B2" s="142" t="s">
        <v>54</v>
      </c>
      <c r="C2" s="137" t="s">
        <v>62</v>
      </c>
      <c r="D2" s="137"/>
      <c r="E2" s="137"/>
      <c r="F2" s="137" t="s">
        <v>61</v>
      </c>
      <c r="G2" s="137"/>
      <c r="H2" s="137"/>
    </row>
    <row r="3" spans="1:9" ht="17.25" customHeight="1">
      <c r="A3" s="147"/>
      <c r="B3" s="143"/>
      <c r="C3" s="52" t="s">
        <v>6</v>
      </c>
      <c r="D3" s="52" t="s">
        <v>5</v>
      </c>
      <c r="E3" s="52" t="s">
        <v>2</v>
      </c>
      <c r="F3" s="52" t="s">
        <v>6</v>
      </c>
      <c r="G3" s="52" t="s">
        <v>5</v>
      </c>
      <c r="H3" s="52" t="s">
        <v>2</v>
      </c>
    </row>
    <row r="4" spans="1:9">
      <c r="A4" s="48" t="s">
        <v>55</v>
      </c>
      <c r="B4" s="48" t="s">
        <v>56</v>
      </c>
      <c r="C4" s="35">
        <v>39.582045864610706</v>
      </c>
      <c r="D4" s="35">
        <v>44.918275154802096</v>
      </c>
      <c r="E4" s="35">
        <v>42.904216201126246</v>
      </c>
      <c r="F4" s="35">
        <v>49.264731998799931</v>
      </c>
      <c r="G4" s="35">
        <v>81.14641025493907</v>
      </c>
      <c r="H4" s="35">
        <v>65.317771577798439</v>
      </c>
    </row>
    <row r="5" spans="1:9">
      <c r="A5" s="145" t="s">
        <v>38</v>
      </c>
      <c r="B5" s="3" t="s">
        <v>24</v>
      </c>
      <c r="C5" s="35">
        <v>41.995036750317603</v>
      </c>
      <c r="D5" s="35">
        <v>49.227406526104993</v>
      </c>
      <c r="E5" s="35">
        <v>46.393645049787068</v>
      </c>
      <c r="F5" s="35">
        <v>47.986264868122873</v>
      </c>
      <c r="G5" s="35">
        <v>78.67736904814835</v>
      </c>
      <c r="H5" s="35">
        <v>63.486705852203769</v>
      </c>
    </row>
    <row r="6" spans="1:9">
      <c r="A6" s="145"/>
      <c r="B6" s="3" t="s">
        <v>25</v>
      </c>
      <c r="C6" s="35">
        <v>36.972124808342308</v>
      </c>
      <c r="D6" s="35">
        <v>48.408596004568949</v>
      </c>
      <c r="E6" s="35">
        <v>43.572705563051727</v>
      </c>
      <c r="F6" s="35">
        <v>58.467025973141354</v>
      </c>
      <c r="G6" s="35">
        <v>97.792900898659354</v>
      </c>
      <c r="H6" s="35">
        <v>78.298898152029238</v>
      </c>
    </row>
    <row r="7" spans="1:9">
      <c r="A7" s="145"/>
      <c r="B7" s="3" t="s">
        <v>26</v>
      </c>
      <c r="C7" s="35">
        <v>33.059248798956162</v>
      </c>
      <c r="D7" s="35">
        <v>43.072279707349146</v>
      </c>
      <c r="E7" s="35">
        <v>38.702559695690645</v>
      </c>
      <c r="F7" s="35">
        <v>46.773862700794503</v>
      </c>
      <c r="G7" s="35">
        <v>75.685323150041327</v>
      </c>
      <c r="H7" s="35">
        <v>61.054513986319108</v>
      </c>
    </row>
    <row r="8" spans="1:9">
      <c r="A8" s="145"/>
      <c r="B8" s="3" t="s">
        <v>27</v>
      </c>
      <c r="C8" s="35">
        <v>28.485994296516715</v>
      </c>
      <c r="D8" s="35">
        <v>44.839476362299195</v>
      </c>
      <c r="E8" s="35">
        <v>37.300022874161115</v>
      </c>
      <c r="F8" s="35">
        <v>27.226813108401</v>
      </c>
      <c r="G8" s="35">
        <v>51.817304436179072</v>
      </c>
      <c r="H8" s="35">
        <v>39.082572816983458</v>
      </c>
    </row>
    <row r="9" spans="1:9">
      <c r="A9" s="145"/>
      <c r="B9" s="3" t="s">
        <v>28</v>
      </c>
      <c r="C9" s="35">
        <v>35.726177139460624</v>
      </c>
      <c r="D9" s="35">
        <v>37.885311119475624</v>
      </c>
      <c r="E9" s="35">
        <v>34.961430705833237</v>
      </c>
      <c r="F9" s="35">
        <v>16.912686010048688</v>
      </c>
      <c r="G9" s="35">
        <v>24.652432144181589</v>
      </c>
      <c r="H9" s="35">
        <v>20.593678803045069</v>
      </c>
    </row>
    <row r="10" spans="1:9">
      <c r="A10" s="145" t="s">
        <v>37</v>
      </c>
      <c r="B10" s="3" t="s">
        <v>139</v>
      </c>
      <c r="C10" s="35">
        <v>39.211545734788096</v>
      </c>
      <c r="D10" s="35">
        <v>48.85372502448466</v>
      </c>
      <c r="E10" s="35">
        <v>44.906487586547179</v>
      </c>
      <c r="F10" s="35">
        <v>49.369239343743175</v>
      </c>
      <c r="G10" s="35">
        <v>84.297292179208853</v>
      </c>
      <c r="H10" s="35">
        <v>66.796139418353334</v>
      </c>
    </row>
    <row r="11" spans="1:9">
      <c r="A11" s="145"/>
      <c r="B11" s="3">
        <v>2</v>
      </c>
      <c r="C11" s="35">
        <v>39.678439188642763</v>
      </c>
      <c r="D11" s="35">
        <v>49.900726116914072</v>
      </c>
      <c r="E11" s="35">
        <v>45.681342673572516</v>
      </c>
      <c r="F11" s="35">
        <v>54.546071696114439</v>
      </c>
      <c r="G11" s="35">
        <v>92.529879930904741</v>
      </c>
      <c r="H11" s="35">
        <v>73.593015668622058</v>
      </c>
    </row>
    <row r="12" spans="1:9">
      <c r="A12" s="145"/>
      <c r="B12" s="3">
        <v>3</v>
      </c>
      <c r="C12" s="35">
        <v>41.170392754755092</v>
      </c>
      <c r="D12" s="35">
        <v>46.834696411878973</v>
      </c>
      <c r="E12" s="35">
        <v>44.603026995614186</v>
      </c>
      <c r="F12" s="35">
        <v>51.008468046863676</v>
      </c>
      <c r="G12" s="35">
        <v>77.083933001331488</v>
      </c>
      <c r="H12" s="35">
        <v>64.165483417034352</v>
      </c>
    </row>
    <row r="13" spans="1:9">
      <c r="A13" s="145"/>
      <c r="B13" s="3">
        <v>4</v>
      </c>
      <c r="C13" s="35">
        <v>41.234965387747515</v>
      </c>
      <c r="D13" s="35">
        <v>50.103298679827894</v>
      </c>
      <c r="E13" s="35">
        <v>46.616885689923556</v>
      </c>
      <c r="F13" s="35">
        <v>44.627456267435981</v>
      </c>
      <c r="G13" s="35">
        <v>74.835651036422263</v>
      </c>
      <c r="H13" s="35">
        <v>59.843494502270296</v>
      </c>
    </row>
    <row r="14" spans="1:9">
      <c r="A14" s="145"/>
      <c r="B14" s="3" t="s">
        <v>140</v>
      </c>
      <c r="C14" s="35">
        <v>37.982890810113062</v>
      </c>
      <c r="D14" s="35">
        <v>46.921614133932891</v>
      </c>
      <c r="E14" s="35">
        <v>43.250030226079225</v>
      </c>
      <c r="F14" s="35">
        <v>46.916915876699726</v>
      </c>
      <c r="G14" s="35">
        <v>78.383391789479077</v>
      </c>
      <c r="H14" s="35">
        <v>62.925058486459484</v>
      </c>
    </row>
    <row r="15" spans="1:9">
      <c r="A15" s="140" t="s">
        <v>107</v>
      </c>
      <c r="B15" s="3" t="s">
        <v>29</v>
      </c>
      <c r="C15" s="35">
        <v>38.018073683959813</v>
      </c>
      <c r="D15" s="35">
        <v>44.359221817786157</v>
      </c>
      <c r="E15" s="35">
        <v>42.005967596451349</v>
      </c>
      <c r="F15" s="35">
        <v>49.481421208609625</v>
      </c>
      <c r="G15" s="35">
        <v>85.301945270787158</v>
      </c>
      <c r="H15" s="35">
        <v>67.484302916163486</v>
      </c>
    </row>
    <row r="16" spans="1:9">
      <c r="A16" s="140"/>
      <c r="B16" s="3" t="s">
        <v>30</v>
      </c>
      <c r="C16" s="35">
        <v>34.222587252507267</v>
      </c>
      <c r="D16" s="35">
        <v>39.024160450472252</v>
      </c>
      <c r="E16" s="35">
        <v>37.156943008760699</v>
      </c>
      <c r="F16" s="35">
        <v>42.445917049821894</v>
      </c>
      <c r="G16" s="35">
        <v>70.626307007592686</v>
      </c>
      <c r="H16" s="35">
        <v>56.688136467005791</v>
      </c>
    </row>
    <row r="17" spans="1:15">
      <c r="A17" s="140"/>
      <c r="B17" s="3" t="s">
        <v>31</v>
      </c>
      <c r="C17" s="35">
        <v>44.558042981869797</v>
      </c>
      <c r="D17" s="35">
        <v>48.174310605835984</v>
      </c>
      <c r="E17" s="35">
        <v>46.887818955745644</v>
      </c>
      <c r="F17" s="35">
        <v>51.810290758907968</v>
      </c>
      <c r="G17" s="35">
        <v>79.161770451907771</v>
      </c>
      <c r="H17" s="35">
        <v>65.616978150443629</v>
      </c>
      <c r="M17" s="35"/>
      <c r="N17" s="35"/>
      <c r="O17" s="35"/>
    </row>
    <row r="18" spans="1:15">
      <c r="A18" s="140"/>
      <c r="B18" s="3" t="s">
        <v>32</v>
      </c>
      <c r="C18" s="35">
        <v>47.855836002399698</v>
      </c>
      <c r="D18" s="35">
        <v>53.922761123687032</v>
      </c>
      <c r="E18" s="35">
        <v>51.465313333540117</v>
      </c>
      <c r="F18" s="35">
        <v>73.135561675655794</v>
      </c>
      <c r="G18" s="35">
        <v>120.4015519845442</v>
      </c>
      <c r="H18" s="35">
        <v>97.033306493568176</v>
      </c>
    </row>
    <row r="19" spans="1:15">
      <c r="A19" s="140"/>
      <c r="B19" s="3" t="s">
        <v>33</v>
      </c>
      <c r="C19" s="35">
        <v>39.931915981602643</v>
      </c>
      <c r="D19" s="35">
        <v>44.59589340654756</v>
      </c>
      <c r="E19" s="35">
        <v>42.903610686033105</v>
      </c>
      <c r="F19" s="35">
        <v>45.206894120477067</v>
      </c>
      <c r="G19" s="35">
        <v>72.438555960698082</v>
      </c>
      <c r="H19" s="35">
        <v>58.777388702673797</v>
      </c>
    </row>
    <row r="20" spans="1:15">
      <c r="A20" s="140"/>
      <c r="B20" s="3" t="s">
        <v>34</v>
      </c>
      <c r="C20" s="35">
        <v>43.90159422345203</v>
      </c>
      <c r="D20" s="35">
        <v>54.872218918453378</v>
      </c>
      <c r="E20" s="35">
        <v>50.532367274146864</v>
      </c>
      <c r="F20" s="35">
        <v>64.732433411786232</v>
      </c>
      <c r="G20" s="35">
        <v>111.92057784179819</v>
      </c>
      <c r="H20" s="35">
        <v>88.542156872997779</v>
      </c>
    </row>
    <row r="21" spans="1:15">
      <c r="A21" s="140"/>
      <c r="B21" s="3" t="s">
        <v>35</v>
      </c>
      <c r="C21" s="35">
        <v>45.440133382621234</v>
      </c>
      <c r="D21" s="35">
        <v>51.86073983330602</v>
      </c>
      <c r="E21" s="35">
        <v>49.310654346649201</v>
      </c>
      <c r="F21" s="35">
        <v>43.88289783540003</v>
      </c>
      <c r="G21" s="35">
        <v>71.549231374973004</v>
      </c>
      <c r="H21" s="35">
        <v>57.895312409538576</v>
      </c>
    </row>
    <row r="22" spans="1:15">
      <c r="A22" s="144"/>
      <c r="B22" s="49" t="s">
        <v>36</v>
      </c>
      <c r="C22" s="36">
        <v>36.058015752223803</v>
      </c>
      <c r="D22" s="36">
        <v>51.103495495911403</v>
      </c>
      <c r="E22" s="36">
        <v>44.731365183497381</v>
      </c>
      <c r="F22" s="36">
        <v>19.484213889906396</v>
      </c>
      <c r="G22" s="36">
        <v>28.857021474433481</v>
      </c>
      <c r="H22" s="36">
        <v>24.104764840236779</v>
      </c>
      <c r="I22" s="55"/>
    </row>
    <row r="23" spans="1:15">
      <c r="A23" s="87" t="s">
        <v>42</v>
      </c>
      <c r="B23"/>
    </row>
    <row r="24" spans="1:15">
      <c r="A24" s="84" t="s">
        <v>132</v>
      </c>
      <c r="B24"/>
    </row>
    <row r="25" spans="1:15">
      <c r="A25" t="s">
        <v>49</v>
      </c>
      <c r="B25"/>
    </row>
    <row r="26" spans="1:15">
      <c r="A26" t="s">
        <v>110</v>
      </c>
    </row>
    <row r="27" spans="1:15">
      <c r="C27" s="35"/>
      <c r="D27" s="35"/>
      <c r="E27" s="35"/>
      <c r="F27" s="35"/>
      <c r="G27" s="35"/>
      <c r="H27" s="35"/>
    </row>
    <row r="28" spans="1:15">
      <c r="A28" s="66" t="s">
        <v>100</v>
      </c>
      <c r="C28" s="35"/>
      <c r="D28" s="35"/>
      <c r="E28" s="35"/>
      <c r="F28" s="35"/>
      <c r="G28" s="35"/>
      <c r="H28" s="35"/>
    </row>
    <row r="29" spans="1:15">
      <c r="C29" s="35"/>
      <c r="D29" s="35"/>
      <c r="E29" s="35"/>
      <c r="F29" s="35"/>
      <c r="G29" s="35"/>
      <c r="H29" s="35"/>
    </row>
    <row r="30" spans="1:15">
      <c r="C30" s="35"/>
      <c r="D30" s="35"/>
      <c r="E30" s="35"/>
      <c r="F30" s="35"/>
      <c r="G30" s="35"/>
      <c r="H30" s="35"/>
    </row>
    <row r="31" spans="1:15">
      <c r="C31" s="35"/>
      <c r="D31" s="35"/>
      <c r="E31" s="35"/>
      <c r="F31" s="35"/>
      <c r="G31" s="35"/>
      <c r="H31" s="35"/>
    </row>
    <row r="32" spans="1:15">
      <c r="C32" s="35"/>
      <c r="D32" s="35"/>
      <c r="E32" s="35"/>
      <c r="F32" s="35"/>
      <c r="G32" s="35"/>
      <c r="H32" s="35"/>
    </row>
    <row r="33" spans="3:8">
      <c r="C33" s="35"/>
      <c r="D33" s="35"/>
      <c r="E33" s="35"/>
      <c r="F33" s="35"/>
      <c r="G33" s="35"/>
      <c r="H33" s="35"/>
    </row>
    <row r="34" spans="3:8">
      <c r="C34" s="35"/>
      <c r="D34" s="35"/>
      <c r="E34" s="35"/>
      <c r="F34" s="35"/>
      <c r="G34" s="35"/>
      <c r="H34" s="35"/>
    </row>
    <row r="35" spans="3:8">
      <c r="C35" s="35"/>
      <c r="D35" s="35"/>
      <c r="E35" s="35"/>
      <c r="F35" s="35"/>
      <c r="G35" s="35"/>
      <c r="H35" s="35"/>
    </row>
    <row r="36" spans="3:8">
      <c r="C36" s="35"/>
      <c r="D36" s="35"/>
      <c r="E36" s="35"/>
      <c r="F36" s="35"/>
      <c r="G36" s="35"/>
      <c r="H36" s="35"/>
    </row>
    <row r="37" spans="3:8">
      <c r="C37" s="35"/>
      <c r="D37" s="35"/>
      <c r="E37" s="35"/>
      <c r="F37" s="35"/>
      <c r="G37" s="35"/>
      <c r="H37" s="35"/>
    </row>
    <row r="38" spans="3:8">
      <c r="C38" s="35"/>
      <c r="D38" s="35"/>
      <c r="E38" s="35"/>
      <c r="F38" s="35"/>
      <c r="G38" s="35"/>
      <c r="H38" s="35"/>
    </row>
    <row r="39" spans="3:8">
      <c r="C39" s="35"/>
      <c r="D39" s="35"/>
      <c r="E39" s="35"/>
      <c r="F39" s="35"/>
      <c r="G39" s="35"/>
      <c r="H39" s="35"/>
    </row>
    <row r="40" spans="3:8">
      <c r="C40" s="35"/>
      <c r="D40" s="35"/>
      <c r="E40" s="35"/>
      <c r="F40" s="35"/>
      <c r="G40" s="35"/>
      <c r="H40" s="35"/>
    </row>
    <row r="41" spans="3:8">
      <c r="C41" s="35"/>
      <c r="D41" s="35"/>
      <c r="E41" s="35"/>
      <c r="F41" s="35"/>
      <c r="G41" s="35"/>
      <c r="H41" s="35"/>
    </row>
    <row r="42" spans="3:8">
      <c r="C42" s="35"/>
      <c r="D42" s="35"/>
      <c r="E42" s="35"/>
      <c r="F42" s="35"/>
      <c r="G42" s="35"/>
      <c r="H42" s="35"/>
    </row>
    <row r="43" spans="3:8">
      <c r="C43" s="35"/>
      <c r="D43" s="35"/>
      <c r="E43" s="35"/>
      <c r="F43" s="35"/>
      <c r="G43" s="35"/>
      <c r="H43" s="35"/>
    </row>
    <row r="44" spans="3:8">
      <c r="C44" s="35"/>
      <c r="D44" s="35"/>
      <c r="E44" s="35"/>
      <c r="F44" s="35"/>
      <c r="G44" s="35"/>
      <c r="H44" s="35"/>
    </row>
    <row r="45" spans="3:8">
      <c r="C45" s="35"/>
      <c r="D45" s="35"/>
      <c r="E45" s="35"/>
      <c r="F45" s="35"/>
      <c r="G45" s="35"/>
      <c r="H45" s="35"/>
    </row>
  </sheetData>
  <mergeCells count="7">
    <mergeCell ref="F2:H2"/>
    <mergeCell ref="A15:A22"/>
    <mergeCell ref="A5:A9"/>
    <mergeCell ref="A10:A14"/>
    <mergeCell ref="C2:E2"/>
    <mergeCell ref="B2:B3"/>
    <mergeCell ref="A2:A3"/>
  </mergeCells>
  <hyperlinks>
    <hyperlink ref="A28" location="Contents!A1" display="Back to contents page" xr:uid="{954D7B80-9A07-4406-A18B-802F6402780F}"/>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6"/>
  <sheetViews>
    <sheetView zoomScaleNormal="100" workbookViewId="0"/>
  </sheetViews>
  <sheetFormatPr defaultRowHeight="14.4"/>
  <cols>
    <col min="1" max="1" width="50.77734375" customWidth="1"/>
    <col min="2" max="2" width="12.5546875" customWidth="1"/>
    <col min="3" max="3" width="9.44140625" customWidth="1"/>
    <col min="4" max="4" width="12.5546875" customWidth="1"/>
    <col min="5" max="5" width="8.21875" customWidth="1"/>
    <col min="6" max="6" width="37.5546875" customWidth="1"/>
  </cols>
  <sheetData>
    <row r="1" spans="1:11" ht="15.6">
      <c r="A1" s="81" t="s">
        <v>133</v>
      </c>
      <c r="B1" s="26"/>
      <c r="C1" s="26"/>
      <c r="D1" s="26"/>
      <c r="J1" s="73"/>
    </row>
    <row r="2" spans="1:11" ht="21.75" customHeight="1">
      <c r="A2" s="31"/>
      <c r="B2" s="58" t="s">
        <v>6</v>
      </c>
      <c r="C2" s="58" t="s">
        <v>5</v>
      </c>
      <c r="D2" s="58" t="s">
        <v>2</v>
      </c>
      <c r="F2" s="122"/>
    </row>
    <row r="3" spans="1:11">
      <c r="A3" s="84" t="s">
        <v>129</v>
      </c>
      <c r="B3" s="123">
        <v>6519</v>
      </c>
      <c r="C3" s="59">
        <v>10890</v>
      </c>
      <c r="D3" s="59">
        <v>17409</v>
      </c>
      <c r="E3" s="3"/>
      <c r="F3" s="112"/>
      <c r="G3" s="3"/>
      <c r="H3" s="3"/>
      <c r="I3" s="3"/>
      <c r="J3" s="3"/>
      <c r="K3" s="3"/>
    </row>
    <row r="4" spans="1:11">
      <c r="A4" s="84" t="s">
        <v>128</v>
      </c>
      <c r="B4" s="105">
        <v>6982</v>
      </c>
      <c r="C4" s="105">
        <v>8027</v>
      </c>
      <c r="D4" s="105">
        <v>15009</v>
      </c>
      <c r="E4" s="111"/>
      <c r="F4" s="112"/>
      <c r="G4" s="3"/>
      <c r="H4" s="3"/>
      <c r="I4" s="3"/>
      <c r="J4" s="3"/>
      <c r="K4" s="3"/>
    </row>
    <row r="5" spans="1:11">
      <c r="A5" s="124" t="s">
        <v>126</v>
      </c>
      <c r="B5" s="125">
        <v>13501</v>
      </c>
      <c r="C5" s="102">
        <v>18917</v>
      </c>
      <c r="D5" s="102">
        <v>32418</v>
      </c>
      <c r="E5" s="3"/>
      <c r="F5" s="3"/>
      <c r="G5" s="3"/>
      <c r="H5" s="3"/>
      <c r="I5" s="3"/>
      <c r="J5" s="3"/>
      <c r="K5" s="3"/>
    </row>
    <row r="6" spans="1:11">
      <c r="A6" s="84" t="s">
        <v>125</v>
      </c>
      <c r="B6" s="105"/>
      <c r="C6" s="113"/>
      <c r="D6" s="113"/>
      <c r="E6" s="3"/>
      <c r="F6" s="3"/>
      <c r="G6" s="3"/>
      <c r="H6" s="3"/>
      <c r="I6" s="3"/>
      <c r="J6" s="3"/>
      <c r="K6" s="3"/>
    </row>
    <row r="7" spans="1:11">
      <c r="A7" s="84" t="s">
        <v>130</v>
      </c>
      <c r="B7" s="126"/>
      <c r="C7" s="94"/>
      <c r="D7" s="94"/>
      <c r="E7" s="3"/>
      <c r="F7" s="3"/>
      <c r="G7" s="3"/>
      <c r="H7" s="3"/>
      <c r="I7" s="3"/>
      <c r="J7" s="3"/>
      <c r="K7" s="3"/>
    </row>
    <row r="8" spans="1:11">
      <c r="A8" s="84" t="s">
        <v>135</v>
      </c>
      <c r="B8" s="126"/>
      <c r="C8" s="94"/>
      <c r="D8" s="94"/>
      <c r="E8" s="3"/>
      <c r="F8" s="3"/>
      <c r="G8" s="3"/>
      <c r="H8" s="3"/>
      <c r="I8" s="3"/>
      <c r="J8" s="3"/>
      <c r="K8" s="3"/>
    </row>
    <row r="9" spans="1:11">
      <c r="A9" s="84" t="s">
        <v>127</v>
      </c>
      <c r="B9" s="126"/>
      <c r="C9" s="94"/>
      <c r="D9" s="94"/>
      <c r="E9" s="3"/>
      <c r="F9" s="3"/>
      <c r="G9" s="3"/>
      <c r="H9" s="3"/>
      <c r="I9" s="3"/>
      <c r="J9" s="3"/>
      <c r="K9" s="3"/>
    </row>
    <row r="10" spans="1:11">
      <c r="A10" s="127" t="s">
        <v>134</v>
      </c>
      <c r="B10" s="127"/>
      <c r="C10" s="3"/>
      <c r="D10" s="3"/>
      <c r="E10" s="3"/>
      <c r="F10" s="3"/>
      <c r="G10" s="3"/>
      <c r="H10" s="3"/>
      <c r="I10" s="3"/>
      <c r="J10" s="3"/>
      <c r="K10" s="3"/>
    </row>
    <row r="11" spans="1:11">
      <c r="A11" s="127"/>
      <c r="B11" s="127"/>
      <c r="C11" s="3"/>
      <c r="D11" s="3"/>
      <c r="E11" s="3"/>
      <c r="F11" s="3"/>
      <c r="G11" s="3"/>
      <c r="H11" s="3"/>
      <c r="I11" s="3"/>
      <c r="J11" s="3"/>
      <c r="K11" s="3"/>
    </row>
    <row r="12" spans="1:11">
      <c r="A12" s="66" t="s">
        <v>100</v>
      </c>
      <c r="B12" s="3"/>
      <c r="C12" s="3"/>
      <c r="D12" s="3"/>
      <c r="E12" s="3"/>
      <c r="F12" s="121"/>
      <c r="G12" s="106"/>
      <c r="H12" s="106"/>
      <c r="I12" s="106"/>
      <c r="J12" s="3"/>
      <c r="K12" s="3"/>
    </row>
    <row r="13" spans="1:11">
      <c r="A13" s="70"/>
      <c r="B13" s="70"/>
      <c r="C13" s="70"/>
      <c r="D13" s="70"/>
      <c r="E13" s="3"/>
      <c r="F13" s="112"/>
      <c r="G13" s="106"/>
      <c r="H13" s="106"/>
      <c r="I13" s="106"/>
      <c r="J13" s="3"/>
      <c r="K13" s="3"/>
    </row>
    <row r="14" spans="1:11">
      <c r="A14" s="75"/>
      <c r="B14" s="101"/>
      <c r="C14" s="101"/>
      <c r="D14" s="101"/>
      <c r="E14" s="3"/>
      <c r="F14" s="70"/>
      <c r="G14" s="106"/>
      <c r="H14" s="106"/>
      <c r="I14" s="106"/>
      <c r="J14" s="3"/>
      <c r="K14" s="3"/>
    </row>
    <row r="15" spans="1:11">
      <c r="A15" s="75"/>
      <c r="B15" s="106"/>
      <c r="D15" s="106"/>
      <c r="E15" s="3"/>
      <c r="F15" s="112"/>
      <c r="G15" s="106"/>
      <c r="H15" s="106"/>
      <c r="I15" s="106"/>
      <c r="J15" s="3"/>
      <c r="K15" s="3"/>
    </row>
    <row r="16" spans="1:11">
      <c r="A16" s="75"/>
      <c r="B16" s="101"/>
      <c r="C16" s="101"/>
      <c r="E16" s="3"/>
      <c r="F16" s="112"/>
      <c r="G16" s="106"/>
      <c r="H16" s="106"/>
      <c r="I16" s="106"/>
      <c r="J16" s="3"/>
      <c r="K16" s="3"/>
    </row>
    <row r="17" spans="1:11">
      <c r="A17" s="103"/>
      <c r="B17" s="110"/>
      <c r="C17" s="108"/>
      <c r="D17" s="107"/>
      <c r="E17" s="3"/>
      <c r="F17" s="112"/>
      <c r="G17" s="106"/>
      <c r="H17" s="106"/>
      <c r="I17" s="106"/>
      <c r="J17" s="3"/>
      <c r="K17" s="3"/>
    </row>
    <row r="18" spans="1:11">
      <c r="A18" s="70"/>
      <c r="B18" s="101"/>
      <c r="C18" s="109"/>
      <c r="D18" s="101"/>
      <c r="E18" s="3"/>
      <c r="F18" s="112"/>
      <c r="G18" s="106"/>
      <c r="H18" s="106"/>
      <c r="I18" s="106"/>
      <c r="J18" s="3"/>
      <c r="K18" s="3"/>
    </row>
    <row r="19" spans="1:11">
      <c r="A19" s="70"/>
      <c r="B19" s="101"/>
      <c r="C19" s="101"/>
      <c r="D19" s="101"/>
      <c r="E19" s="3"/>
      <c r="F19" s="112"/>
      <c r="G19" s="106"/>
      <c r="H19" s="106"/>
      <c r="I19" s="106"/>
      <c r="J19" s="3"/>
      <c r="K19" s="3"/>
    </row>
    <row r="20" spans="1:11">
      <c r="E20" s="3"/>
      <c r="F20" s="112"/>
      <c r="G20" s="106"/>
      <c r="H20" s="106"/>
      <c r="I20" s="106"/>
      <c r="J20" s="3"/>
      <c r="K20" s="3"/>
    </row>
    <row r="21" spans="1:11">
      <c r="A21" s="3"/>
      <c r="E21" s="3"/>
      <c r="F21" s="112"/>
      <c r="G21" s="106"/>
      <c r="H21" s="106"/>
      <c r="I21" s="106"/>
      <c r="J21" s="3"/>
      <c r="K21" s="3"/>
    </row>
    <row r="22" spans="1:11">
      <c r="A22" s="3"/>
      <c r="B22" s="101"/>
      <c r="C22" s="101"/>
      <c r="D22" s="101"/>
      <c r="E22" s="3"/>
      <c r="F22" s="70"/>
      <c r="G22" s="106"/>
      <c r="H22" s="106"/>
      <c r="I22" s="106"/>
      <c r="J22" s="3"/>
      <c r="K22" s="3"/>
    </row>
    <row r="23" spans="1:11">
      <c r="A23" s="103"/>
      <c r="B23" s="101"/>
      <c r="C23" s="101"/>
      <c r="D23" s="101"/>
      <c r="E23" s="3"/>
      <c r="F23" s="70"/>
      <c r="G23" s="106"/>
      <c r="H23" s="106"/>
      <c r="I23" s="106"/>
    </row>
    <row r="24" spans="1:11">
      <c r="E24" s="3"/>
      <c r="F24" s="70"/>
      <c r="G24" s="106"/>
      <c r="H24" s="106"/>
      <c r="I24" s="106"/>
    </row>
    <row r="25" spans="1:11">
      <c r="A25" s="70"/>
      <c r="B25" s="101"/>
      <c r="C25" s="101"/>
      <c r="D25" s="101"/>
      <c r="E25" s="3"/>
      <c r="F25" s="75"/>
      <c r="G25" s="75"/>
      <c r="H25" s="75"/>
      <c r="I25" s="75"/>
    </row>
    <row r="26" spans="1:11">
      <c r="F26" s="75"/>
      <c r="G26" s="75"/>
      <c r="H26" s="75"/>
      <c r="I26" s="75"/>
    </row>
    <row r="27" spans="1:11">
      <c r="F27" s="75"/>
      <c r="G27" s="75"/>
      <c r="H27" s="75"/>
      <c r="I27" s="75"/>
    </row>
    <row r="28" spans="1:11">
      <c r="F28" s="75"/>
      <c r="G28" s="75"/>
      <c r="H28" s="75"/>
      <c r="I28" s="75"/>
    </row>
    <row r="29" spans="1:11">
      <c r="F29" s="75"/>
      <c r="G29" s="75"/>
      <c r="H29" s="75"/>
      <c r="I29" s="75"/>
    </row>
    <row r="30" spans="1:11">
      <c r="F30" s="75"/>
      <c r="G30" s="75"/>
      <c r="H30" s="75"/>
      <c r="I30" s="75"/>
    </row>
    <row r="32" spans="1:11">
      <c r="I32" s="1"/>
    </row>
    <row r="33" spans="9:9">
      <c r="I33" s="1"/>
    </row>
    <row r="34" spans="9:9">
      <c r="I34" s="1"/>
    </row>
    <row r="35" spans="9:9">
      <c r="I35" s="1"/>
    </row>
    <row r="36" spans="9:9">
      <c r="I36" s="1"/>
    </row>
  </sheetData>
  <hyperlinks>
    <hyperlink ref="A12" location="Contents!A1" display="Back to contents page" xr:uid="{23C5FE85-CC2A-40DE-97F9-273BC32A4AEA}"/>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04"/>
  <sheetViews>
    <sheetView zoomScaleNormal="100" workbookViewId="0"/>
  </sheetViews>
  <sheetFormatPr defaultColWidth="9.21875" defaultRowHeight="15.6"/>
  <cols>
    <col min="1" max="1" width="13.5546875" style="23" customWidth="1"/>
    <col min="2" max="2" width="34" style="23" customWidth="1"/>
    <col min="3" max="3" width="9.21875" style="23"/>
    <col min="4" max="4" width="36.21875" style="23" bestFit="1" customWidth="1"/>
    <col min="5" max="5" width="9.21875" style="23"/>
    <col min="6" max="6" width="29.77734375" style="23" customWidth="1"/>
    <col min="7" max="7" width="11.5546875" style="23" bestFit="1" customWidth="1"/>
    <col min="8" max="16384" width="9.21875" style="23"/>
  </cols>
  <sheetData>
    <row r="1" spans="1:11">
      <c r="A1" s="81" t="s">
        <v>136</v>
      </c>
      <c r="F1" s="73"/>
    </row>
    <row r="2" spans="1:11">
      <c r="A2" s="142" t="s">
        <v>7</v>
      </c>
      <c r="B2" s="132" t="s">
        <v>6</v>
      </c>
      <c r="C2" s="132"/>
      <c r="D2" s="132" t="s">
        <v>5</v>
      </c>
      <c r="E2" s="132"/>
      <c r="F2" s="132" t="s">
        <v>2</v>
      </c>
      <c r="G2" s="132"/>
      <c r="H2"/>
    </row>
    <row r="3" spans="1:11" ht="28.8">
      <c r="A3" s="143"/>
      <c r="B3" s="32" t="s">
        <v>3</v>
      </c>
      <c r="C3" s="32" t="s">
        <v>4</v>
      </c>
      <c r="D3" s="32" t="s">
        <v>3</v>
      </c>
      <c r="E3" s="32" t="s">
        <v>4</v>
      </c>
      <c r="F3" s="32" t="s">
        <v>3</v>
      </c>
      <c r="G3" s="32" t="s">
        <v>4</v>
      </c>
      <c r="H3"/>
    </row>
    <row r="4" spans="1:11" ht="62.25" customHeight="1">
      <c r="A4" s="148" t="s">
        <v>117</v>
      </c>
      <c r="B4" s="99" t="s">
        <v>118</v>
      </c>
      <c r="C4" s="100">
        <v>27</v>
      </c>
      <c r="D4" s="99" t="s">
        <v>118</v>
      </c>
      <c r="E4" s="100">
        <v>26</v>
      </c>
      <c r="F4" s="99" t="s">
        <v>118</v>
      </c>
      <c r="G4" s="100">
        <v>53</v>
      </c>
      <c r="H4"/>
    </row>
    <row r="5" spans="1:11">
      <c r="A5" s="145"/>
      <c r="B5" s="47" t="s">
        <v>63</v>
      </c>
      <c r="C5" s="90">
        <v>10</v>
      </c>
      <c r="D5" s="47" t="s">
        <v>65</v>
      </c>
      <c r="E5" s="90">
        <v>6</v>
      </c>
      <c r="F5" s="47" t="s">
        <v>63</v>
      </c>
      <c r="G5" s="90">
        <v>13</v>
      </c>
      <c r="H5"/>
    </row>
    <row r="6" spans="1:11">
      <c r="A6" s="145"/>
      <c r="B6" s="47" t="s">
        <v>64</v>
      </c>
      <c r="C6" s="90">
        <v>9</v>
      </c>
      <c r="D6" s="47" t="s">
        <v>113</v>
      </c>
      <c r="E6" s="90">
        <v>5</v>
      </c>
      <c r="F6" s="47" t="s">
        <v>64</v>
      </c>
      <c r="G6" s="90">
        <v>13</v>
      </c>
      <c r="H6"/>
    </row>
    <row r="7" spans="1:11">
      <c r="A7" s="145"/>
      <c r="B7" s="47" t="s">
        <v>114</v>
      </c>
      <c r="C7" s="90">
        <v>7</v>
      </c>
      <c r="D7" s="47" t="s">
        <v>68</v>
      </c>
      <c r="E7" s="90">
        <v>5</v>
      </c>
      <c r="F7" s="47" t="s">
        <v>65</v>
      </c>
      <c r="G7" s="90">
        <v>12</v>
      </c>
      <c r="H7"/>
    </row>
    <row r="8" spans="1:11" s="98" customFormat="1" ht="28.8">
      <c r="A8" s="145"/>
      <c r="B8" s="95" t="s">
        <v>65</v>
      </c>
      <c r="C8" s="96">
        <v>6</v>
      </c>
      <c r="D8" s="95" t="s">
        <v>115</v>
      </c>
      <c r="E8" s="96">
        <v>4</v>
      </c>
      <c r="F8" s="95" t="s">
        <v>114</v>
      </c>
      <c r="G8" s="96">
        <v>11</v>
      </c>
      <c r="H8" s="97"/>
    </row>
    <row r="9" spans="1:11">
      <c r="A9" s="145"/>
      <c r="B9" s="47"/>
      <c r="C9" s="90"/>
      <c r="D9" s="47" t="s">
        <v>114</v>
      </c>
      <c r="E9" s="90">
        <v>4</v>
      </c>
      <c r="F9" s="47" t="s">
        <v>113</v>
      </c>
      <c r="G9" s="90">
        <v>10</v>
      </c>
      <c r="H9"/>
    </row>
    <row r="10" spans="1:11">
      <c r="A10" s="145"/>
      <c r="B10" s="47"/>
      <c r="C10" s="90"/>
      <c r="D10" s="47" t="s">
        <v>64</v>
      </c>
      <c r="E10" s="90">
        <v>4</v>
      </c>
      <c r="F10" s="47" t="s">
        <v>68</v>
      </c>
      <c r="G10" s="90">
        <v>10</v>
      </c>
      <c r="H10"/>
    </row>
    <row r="11" spans="1:11">
      <c r="A11" s="149"/>
      <c r="B11" s="91"/>
      <c r="C11" s="92"/>
      <c r="D11" s="91" t="s">
        <v>63</v>
      </c>
      <c r="E11" s="92">
        <v>3</v>
      </c>
      <c r="F11" s="91"/>
      <c r="G11" s="92"/>
      <c r="H11"/>
    </row>
    <row r="12" spans="1:11">
      <c r="A12" s="148" t="s">
        <v>20</v>
      </c>
      <c r="B12" s="46" t="s">
        <v>67</v>
      </c>
      <c r="C12" s="93">
        <v>73</v>
      </c>
      <c r="D12" s="46" t="s">
        <v>65</v>
      </c>
      <c r="E12" s="93">
        <v>33</v>
      </c>
      <c r="F12" s="46" t="s">
        <v>67</v>
      </c>
      <c r="G12" s="93">
        <v>96</v>
      </c>
      <c r="H12"/>
      <c r="K12"/>
    </row>
    <row r="13" spans="1:11">
      <c r="A13" s="145"/>
      <c r="B13" t="s">
        <v>64</v>
      </c>
      <c r="C13" s="94">
        <v>59</v>
      </c>
      <c r="D13" t="s">
        <v>68</v>
      </c>
      <c r="E13" s="94">
        <v>33</v>
      </c>
      <c r="F13" t="s">
        <v>64</v>
      </c>
      <c r="G13" s="94">
        <v>89</v>
      </c>
      <c r="H13"/>
      <c r="K13"/>
    </row>
    <row r="14" spans="1:11">
      <c r="A14" s="145"/>
      <c r="B14" t="s">
        <v>65</v>
      </c>
      <c r="C14" s="94">
        <v>42</v>
      </c>
      <c r="D14" t="s">
        <v>64</v>
      </c>
      <c r="E14" s="94">
        <v>30</v>
      </c>
      <c r="F14" t="s">
        <v>65</v>
      </c>
      <c r="G14" s="94">
        <v>75</v>
      </c>
      <c r="H14"/>
      <c r="K14"/>
    </row>
    <row r="15" spans="1:11">
      <c r="A15" s="145"/>
      <c r="B15" t="s">
        <v>68</v>
      </c>
      <c r="C15" s="94">
        <v>39</v>
      </c>
      <c r="D15" t="s">
        <v>67</v>
      </c>
      <c r="E15" s="94">
        <v>23</v>
      </c>
      <c r="F15" t="s">
        <v>68</v>
      </c>
      <c r="G15" s="94">
        <v>72</v>
      </c>
      <c r="H15"/>
      <c r="K15"/>
    </row>
    <row r="16" spans="1:11">
      <c r="A16" s="145"/>
      <c r="B16" t="s">
        <v>63</v>
      </c>
      <c r="C16" s="94">
        <v>33</v>
      </c>
      <c r="D16" t="s">
        <v>70</v>
      </c>
      <c r="E16" s="94">
        <v>17</v>
      </c>
      <c r="F16" t="s">
        <v>63</v>
      </c>
      <c r="G16" s="94">
        <v>50</v>
      </c>
      <c r="H16"/>
      <c r="K16"/>
    </row>
    <row r="17" spans="1:11">
      <c r="A17" s="145"/>
      <c r="B17"/>
      <c r="C17" s="94"/>
      <c r="D17" t="s">
        <v>63</v>
      </c>
      <c r="E17" s="94">
        <v>17</v>
      </c>
      <c r="F17"/>
      <c r="G17" s="94"/>
      <c r="H17"/>
      <c r="K17"/>
    </row>
    <row r="18" spans="1:11">
      <c r="A18" s="145"/>
      <c r="B18"/>
      <c r="C18" s="94"/>
      <c r="D18" t="s">
        <v>69</v>
      </c>
      <c r="E18" s="94">
        <v>16</v>
      </c>
      <c r="F18"/>
      <c r="G18" s="94"/>
      <c r="H18"/>
      <c r="K18"/>
    </row>
    <row r="19" spans="1:11">
      <c r="A19" s="149"/>
      <c r="B19" s="33"/>
      <c r="C19" s="57"/>
      <c r="D19" s="33" t="s">
        <v>66</v>
      </c>
      <c r="E19" s="57">
        <v>16</v>
      </c>
      <c r="F19" s="33"/>
      <c r="G19" s="57"/>
      <c r="H19"/>
      <c r="K19"/>
    </row>
    <row r="20" spans="1:11">
      <c r="A20" s="148" t="s">
        <v>21</v>
      </c>
      <c r="B20" s="46" t="s">
        <v>67</v>
      </c>
      <c r="C20" s="59">
        <v>256</v>
      </c>
      <c r="D20" s="46" t="s">
        <v>65</v>
      </c>
      <c r="E20" s="59">
        <v>208</v>
      </c>
      <c r="F20" s="46" t="s">
        <v>64</v>
      </c>
      <c r="G20" s="59">
        <v>433</v>
      </c>
      <c r="H20"/>
      <c r="K20"/>
    </row>
    <row r="21" spans="1:11">
      <c r="A21" s="145" t="s">
        <v>21</v>
      </c>
      <c r="B21" t="s">
        <v>64</v>
      </c>
      <c r="C21" s="94">
        <v>255</v>
      </c>
      <c r="D21" t="s">
        <v>64</v>
      </c>
      <c r="E21" s="94">
        <v>178</v>
      </c>
      <c r="F21" t="s">
        <v>65</v>
      </c>
      <c r="G21" s="94">
        <v>424</v>
      </c>
      <c r="H21"/>
      <c r="K21"/>
    </row>
    <row r="22" spans="1:11">
      <c r="A22" s="145" t="s">
        <v>21</v>
      </c>
      <c r="B22" t="s">
        <v>65</v>
      </c>
      <c r="C22" s="94">
        <v>216</v>
      </c>
      <c r="D22" t="s">
        <v>63</v>
      </c>
      <c r="E22" s="94">
        <v>154</v>
      </c>
      <c r="F22" t="s">
        <v>67</v>
      </c>
      <c r="G22" s="94">
        <v>381</v>
      </c>
      <c r="H22"/>
      <c r="K22"/>
    </row>
    <row r="23" spans="1:11">
      <c r="A23" s="145" t="s">
        <v>21</v>
      </c>
      <c r="B23" t="s">
        <v>63</v>
      </c>
      <c r="C23" s="94">
        <v>215</v>
      </c>
      <c r="D23" t="s">
        <v>68</v>
      </c>
      <c r="E23" s="94">
        <v>147</v>
      </c>
      <c r="F23" t="s">
        <v>63</v>
      </c>
      <c r="G23" s="94">
        <v>369</v>
      </c>
      <c r="H23"/>
      <c r="K23"/>
    </row>
    <row r="24" spans="1:11">
      <c r="A24" s="149"/>
      <c r="B24" s="33" t="s">
        <v>68</v>
      </c>
      <c r="C24" s="57">
        <v>191</v>
      </c>
      <c r="D24" s="33" t="s">
        <v>70</v>
      </c>
      <c r="E24" s="57">
        <v>133</v>
      </c>
      <c r="F24" s="33" t="s">
        <v>68</v>
      </c>
      <c r="G24" s="57">
        <v>338</v>
      </c>
      <c r="H24"/>
      <c r="K24"/>
    </row>
    <row r="25" spans="1:11">
      <c r="A25" s="148" t="s">
        <v>22</v>
      </c>
      <c r="B25" s="46" t="s">
        <v>64</v>
      </c>
      <c r="C25" s="59">
        <v>499</v>
      </c>
      <c r="D25" s="46" t="s">
        <v>64</v>
      </c>
      <c r="E25" s="59">
        <v>566</v>
      </c>
      <c r="F25" s="46" t="s">
        <v>64</v>
      </c>
      <c r="G25" s="59">
        <v>1065</v>
      </c>
      <c r="H25"/>
      <c r="K25"/>
    </row>
    <row r="26" spans="1:11">
      <c r="A26" s="145" t="s">
        <v>22</v>
      </c>
      <c r="B26" t="s">
        <v>65</v>
      </c>
      <c r="C26" s="94">
        <v>278</v>
      </c>
      <c r="D26" t="s">
        <v>65</v>
      </c>
      <c r="E26" s="94">
        <v>461</v>
      </c>
      <c r="F26" t="s">
        <v>65</v>
      </c>
      <c r="G26" s="94">
        <v>739</v>
      </c>
      <c r="H26"/>
      <c r="K26"/>
    </row>
    <row r="27" spans="1:11">
      <c r="A27" s="145" t="s">
        <v>22</v>
      </c>
      <c r="B27" t="s">
        <v>63</v>
      </c>
      <c r="C27" s="94">
        <v>276</v>
      </c>
      <c r="D27" t="s">
        <v>70</v>
      </c>
      <c r="E27" s="94">
        <v>330</v>
      </c>
      <c r="F27" t="s">
        <v>70</v>
      </c>
      <c r="G27" s="94">
        <v>601</v>
      </c>
      <c r="H27"/>
      <c r="K27"/>
    </row>
    <row r="28" spans="1:11">
      <c r="A28" s="145" t="s">
        <v>22</v>
      </c>
      <c r="B28" t="s">
        <v>70</v>
      </c>
      <c r="C28" s="94">
        <v>271</v>
      </c>
      <c r="D28" t="s">
        <v>63</v>
      </c>
      <c r="E28" s="94">
        <v>310</v>
      </c>
      <c r="F28" t="s">
        <v>63</v>
      </c>
      <c r="G28" s="94">
        <v>586</v>
      </c>
      <c r="H28"/>
      <c r="K28"/>
    </row>
    <row r="29" spans="1:11">
      <c r="A29" s="149" t="s">
        <v>22</v>
      </c>
      <c r="B29" s="33" t="s">
        <v>68</v>
      </c>
      <c r="C29" s="57">
        <v>229</v>
      </c>
      <c r="D29" s="33" t="s">
        <v>68</v>
      </c>
      <c r="E29" s="57">
        <v>269</v>
      </c>
      <c r="F29" s="33" t="s">
        <v>68</v>
      </c>
      <c r="G29" s="57">
        <v>498</v>
      </c>
      <c r="H29"/>
      <c r="K29"/>
    </row>
    <row r="30" spans="1:11">
      <c r="A30" s="148" t="s">
        <v>0</v>
      </c>
      <c r="B30" s="46" t="s">
        <v>64</v>
      </c>
      <c r="C30" s="59">
        <v>106</v>
      </c>
      <c r="D30" s="46" t="s">
        <v>64</v>
      </c>
      <c r="E30" s="59">
        <v>221</v>
      </c>
      <c r="F30" s="46" t="s">
        <v>64</v>
      </c>
      <c r="G30" s="59">
        <v>327</v>
      </c>
      <c r="H30"/>
      <c r="K30"/>
    </row>
    <row r="31" spans="1:11">
      <c r="A31" s="145" t="s">
        <v>0</v>
      </c>
      <c r="B31" t="s">
        <v>63</v>
      </c>
      <c r="C31" s="94">
        <v>65</v>
      </c>
      <c r="D31" t="s">
        <v>65</v>
      </c>
      <c r="E31" s="94">
        <v>186</v>
      </c>
      <c r="F31" t="s">
        <v>65</v>
      </c>
      <c r="G31" s="94">
        <v>221</v>
      </c>
      <c r="H31"/>
      <c r="K31"/>
    </row>
    <row r="32" spans="1:11">
      <c r="A32" s="145" t="s">
        <v>0</v>
      </c>
      <c r="B32" t="s">
        <v>70</v>
      </c>
      <c r="C32" s="94">
        <v>61</v>
      </c>
      <c r="D32" t="s">
        <v>63</v>
      </c>
      <c r="E32" s="94">
        <v>121</v>
      </c>
      <c r="F32" t="s">
        <v>63</v>
      </c>
      <c r="G32" s="94">
        <v>186</v>
      </c>
      <c r="H32"/>
      <c r="K32"/>
    </row>
    <row r="33" spans="1:15">
      <c r="A33" s="145" t="s">
        <v>0</v>
      </c>
      <c r="B33" t="s">
        <v>65</v>
      </c>
      <c r="C33" s="94">
        <v>35</v>
      </c>
      <c r="D33" t="s">
        <v>70</v>
      </c>
      <c r="E33" s="94">
        <v>96</v>
      </c>
      <c r="F33" t="s">
        <v>70</v>
      </c>
      <c r="G33" s="94">
        <v>157</v>
      </c>
      <c r="H33"/>
      <c r="K33"/>
    </row>
    <row r="34" spans="1:15">
      <c r="A34" s="149"/>
      <c r="B34" s="33" t="s">
        <v>71</v>
      </c>
      <c r="C34" s="57">
        <v>27</v>
      </c>
      <c r="D34" s="33" t="s">
        <v>71</v>
      </c>
      <c r="E34" s="57">
        <v>95</v>
      </c>
      <c r="F34" s="33" t="s">
        <v>71</v>
      </c>
      <c r="G34" s="57">
        <v>122</v>
      </c>
      <c r="H34"/>
      <c r="K34"/>
    </row>
    <row r="35" spans="1:15">
      <c r="A35" s="145" t="s">
        <v>1</v>
      </c>
      <c r="B35" t="s">
        <v>64</v>
      </c>
      <c r="C35" s="60">
        <v>928</v>
      </c>
      <c r="D35" t="s">
        <v>64</v>
      </c>
      <c r="E35" s="60">
        <v>999</v>
      </c>
      <c r="F35" t="s">
        <v>64</v>
      </c>
      <c r="G35" s="60">
        <v>1927</v>
      </c>
      <c r="H35"/>
      <c r="K35"/>
    </row>
    <row r="36" spans="1:15">
      <c r="A36" s="145"/>
      <c r="B36" t="s">
        <v>63</v>
      </c>
      <c r="C36" s="60">
        <v>599</v>
      </c>
      <c r="D36" t="s">
        <v>65</v>
      </c>
      <c r="E36" s="60">
        <v>894</v>
      </c>
      <c r="F36" t="s">
        <v>65</v>
      </c>
      <c r="G36" s="60">
        <v>1471</v>
      </c>
      <c r="H36"/>
      <c r="K36"/>
    </row>
    <row r="37" spans="1:15">
      <c r="A37" s="145"/>
      <c r="B37" t="s">
        <v>65</v>
      </c>
      <c r="C37" s="60">
        <v>577</v>
      </c>
      <c r="D37" t="s">
        <v>63</v>
      </c>
      <c r="E37" s="60">
        <v>605</v>
      </c>
      <c r="F37" t="s">
        <v>63</v>
      </c>
      <c r="G37" s="60">
        <v>1204</v>
      </c>
      <c r="H37"/>
      <c r="K37"/>
      <c r="O37" s="24"/>
    </row>
    <row r="38" spans="1:15">
      <c r="A38" s="145"/>
      <c r="B38" t="s">
        <v>67</v>
      </c>
      <c r="C38" s="60">
        <v>537</v>
      </c>
      <c r="D38" t="s">
        <v>70</v>
      </c>
      <c r="E38" s="60">
        <v>576</v>
      </c>
      <c r="F38" t="s">
        <v>70</v>
      </c>
      <c r="G38" s="60">
        <v>1081</v>
      </c>
      <c r="H38"/>
      <c r="K38"/>
      <c r="N38" s="24"/>
    </row>
    <row r="39" spans="1:15">
      <c r="A39" s="149"/>
      <c r="B39" s="33" t="s">
        <v>70</v>
      </c>
      <c r="C39" s="57">
        <v>505</v>
      </c>
      <c r="D39" s="33" t="s">
        <v>68</v>
      </c>
      <c r="E39" s="57">
        <v>516</v>
      </c>
      <c r="F39" s="33" t="s">
        <v>68</v>
      </c>
      <c r="G39" s="57">
        <v>1003</v>
      </c>
      <c r="H39"/>
      <c r="K39"/>
      <c r="N39" s="24"/>
    </row>
    <row r="40" spans="1:15">
      <c r="A40" t="s">
        <v>119</v>
      </c>
      <c r="B40"/>
      <c r="C40"/>
      <c r="D40"/>
      <c r="E40"/>
      <c r="F40"/>
      <c r="G40"/>
      <c r="H40"/>
    </row>
    <row r="41" spans="1:15">
      <c r="A41" s="84" t="s">
        <v>116</v>
      </c>
      <c r="B41"/>
      <c r="C41"/>
      <c r="D41"/>
      <c r="E41"/>
      <c r="F41"/>
      <c r="G41"/>
      <c r="H41"/>
    </row>
    <row r="42" spans="1:15">
      <c r="A42" t="s">
        <v>58</v>
      </c>
      <c r="B42"/>
      <c r="C42"/>
      <c r="D42"/>
      <c r="E42"/>
      <c r="F42"/>
      <c r="G42"/>
      <c r="H42"/>
    </row>
    <row r="43" spans="1:15">
      <c r="A43"/>
      <c r="B43"/>
      <c r="C43"/>
      <c r="D43"/>
      <c r="E43"/>
      <c r="F43"/>
      <c r="G43"/>
      <c r="H43"/>
    </row>
    <row r="44" spans="1:15">
      <c r="A44" s="66" t="s">
        <v>100</v>
      </c>
      <c r="B44"/>
      <c r="C44"/>
      <c r="D44"/>
      <c r="E44"/>
      <c r="F44"/>
      <c r="G44"/>
    </row>
    <row r="45" spans="1:15">
      <c r="A45"/>
      <c r="B45"/>
      <c r="C45"/>
      <c r="D45"/>
      <c r="E45"/>
      <c r="F45"/>
      <c r="G45"/>
    </row>
    <row r="46" spans="1:15">
      <c r="A46"/>
      <c r="B46"/>
      <c r="C46"/>
      <c r="D46"/>
      <c r="E46"/>
      <c r="F46"/>
      <c r="G46"/>
    </row>
    <row r="47" spans="1:15">
      <c r="A47"/>
      <c r="B47"/>
      <c r="C47"/>
      <c r="D47"/>
      <c r="E47"/>
      <c r="F47"/>
      <c r="G47"/>
    </row>
    <row r="48" spans="1:15">
      <c r="A48"/>
      <c r="B48"/>
      <c r="C48"/>
      <c r="D48"/>
      <c r="E48"/>
      <c r="F48"/>
      <c r="G48"/>
    </row>
    <row r="49" spans="1:7">
      <c r="A49"/>
      <c r="B49"/>
      <c r="C49"/>
      <c r="D49"/>
      <c r="E49"/>
      <c r="F49"/>
      <c r="G49"/>
    </row>
    <row r="50" spans="1:7">
      <c r="A50"/>
      <c r="B50"/>
      <c r="C50"/>
      <c r="D50"/>
      <c r="E50"/>
      <c r="F50"/>
      <c r="G50"/>
    </row>
    <row r="51" spans="1:7">
      <c r="A51"/>
      <c r="B51"/>
      <c r="C51"/>
      <c r="D51"/>
      <c r="E51"/>
      <c r="F51"/>
      <c r="G51"/>
    </row>
    <row r="52" spans="1:7">
      <c r="A52"/>
      <c r="B52"/>
      <c r="C52"/>
      <c r="D52"/>
      <c r="E52"/>
      <c r="F52"/>
      <c r="G52"/>
    </row>
    <row r="53" spans="1:7">
      <c r="A53"/>
      <c r="B53"/>
      <c r="C53"/>
      <c r="D53"/>
      <c r="E53"/>
      <c r="F53"/>
      <c r="G53"/>
    </row>
    <row r="54" spans="1:7">
      <c r="A54"/>
      <c r="B54"/>
      <c r="C54"/>
      <c r="D54"/>
      <c r="E54"/>
      <c r="F54"/>
      <c r="G54"/>
    </row>
    <row r="55" spans="1:7">
      <c r="A55"/>
      <c r="B55"/>
      <c r="C55"/>
      <c r="D55"/>
      <c r="E55"/>
      <c r="F55"/>
      <c r="G55"/>
    </row>
    <row r="56" spans="1:7">
      <c r="A56"/>
      <c r="B56"/>
      <c r="C56"/>
      <c r="D56"/>
      <c r="E56"/>
      <c r="F56"/>
      <c r="G56"/>
    </row>
    <row r="57" spans="1:7">
      <c r="A57"/>
      <c r="B57"/>
      <c r="C57"/>
      <c r="D57"/>
      <c r="E57"/>
      <c r="F57"/>
      <c r="G57"/>
    </row>
    <row r="58" spans="1:7">
      <c r="A58"/>
      <c r="B58"/>
      <c r="C58"/>
      <c r="D58"/>
      <c r="E58"/>
      <c r="F58"/>
      <c r="G58"/>
    </row>
    <row r="59" spans="1:7">
      <c r="A59"/>
      <c r="B59"/>
      <c r="C59"/>
      <c r="D59"/>
      <c r="E59"/>
      <c r="F59"/>
      <c r="G59"/>
    </row>
    <row r="60" spans="1:7">
      <c r="A60"/>
      <c r="B60"/>
      <c r="C60"/>
      <c r="D60"/>
      <c r="E60"/>
      <c r="F60"/>
      <c r="G60"/>
    </row>
    <row r="61" spans="1:7">
      <c r="A61"/>
      <c r="B61"/>
      <c r="C61"/>
      <c r="D61"/>
      <c r="E61"/>
      <c r="F61"/>
      <c r="G61"/>
    </row>
    <row r="62" spans="1:7">
      <c r="A62"/>
      <c r="B62"/>
      <c r="C62"/>
      <c r="D62"/>
      <c r="E62"/>
      <c r="F62"/>
      <c r="G62"/>
    </row>
    <row r="63" spans="1:7">
      <c r="A63"/>
      <c r="B63"/>
      <c r="C63"/>
      <c r="D63"/>
      <c r="E63"/>
      <c r="F63"/>
      <c r="G63"/>
    </row>
    <row r="64" spans="1:7">
      <c r="A64"/>
      <c r="B64"/>
      <c r="C64"/>
      <c r="D64"/>
      <c r="E64"/>
      <c r="F64"/>
      <c r="G64"/>
    </row>
    <row r="65" spans="1:7">
      <c r="A65"/>
      <c r="B65"/>
      <c r="C65"/>
      <c r="D65"/>
      <c r="E65"/>
      <c r="F65"/>
      <c r="G65"/>
    </row>
    <row r="66" spans="1:7">
      <c r="A66"/>
      <c r="B66"/>
      <c r="C66"/>
      <c r="D66"/>
      <c r="E66"/>
      <c r="F66"/>
      <c r="G66"/>
    </row>
    <row r="67" spans="1:7">
      <c r="A67"/>
      <c r="B67"/>
      <c r="C67"/>
      <c r="D67"/>
      <c r="E67"/>
      <c r="F67"/>
      <c r="G67"/>
    </row>
    <row r="68" spans="1:7">
      <c r="A68"/>
      <c r="B68"/>
      <c r="C68"/>
      <c r="D68"/>
      <c r="E68"/>
      <c r="F68"/>
      <c r="G68"/>
    </row>
    <row r="69" spans="1:7">
      <c r="A69"/>
      <c r="B69"/>
      <c r="C69"/>
      <c r="D69"/>
      <c r="E69"/>
      <c r="F69"/>
      <c r="G69"/>
    </row>
    <row r="70" spans="1:7">
      <c r="A70"/>
      <c r="B70"/>
      <c r="C70"/>
      <c r="D70"/>
      <c r="E70"/>
      <c r="F70"/>
      <c r="G70"/>
    </row>
    <row r="71" spans="1:7">
      <c r="A71"/>
      <c r="B71"/>
      <c r="C71"/>
      <c r="D71"/>
      <c r="E71"/>
      <c r="F71"/>
      <c r="G71"/>
    </row>
    <row r="72" spans="1:7">
      <c r="A72"/>
      <c r="B72"/>
      <c r="C72"/>
      <c r="D72"/>
      <c r="E72"/>
      <c r="F72"/>
      <c r="G72"/>
    </row>
    <row r="73" spans="1:7">
      <c r="A73"/>
      <c r="B73"/>
      <c r="C73"/>
      <c r="D73"/>
      <c r="E73"/>
      <c r="F73"/>
      <c r="G73"/>
    </row>
    <row r="74" spans="1:7">
      <c r="A74"/>
      <c r="B74"/>
      <c r="C74"/>
      <c r="D74"/>
      <c r="E74"/>
      <c r="F74"/>
      <c r="G74"/>
    </row>
    <row r="75" spans="1:7">
      <c r="A75"/>
      <c r="B75"/>
      <c r="C75"/>
      <c r="D75"/>
      <c r="E75"/>
      <c r="F75"/>
      <c r="G75"/>
    </row>
    <row r="76" spans="1:7">
      <c r="A76"/>
      <c r="B76"/>
      <c r="C76"/>
      <c r="D76"/>
      <c r="E76"/>
      <c r="F76"/>
      <c r="G76"/>
    </row>
    <row r="77" spans="1:7">
      <c r="A77"/>
      <c r="B77"/>
      <c r="C77"/>
      <c r="D77"/>
      <c r="E77"/>
      <c r="F77"/>
      <c r="G77"/>
    </row>
    <row r="78" spans="1:7">
      <c r="A78"/>
      <c r="B78"/>
      <c r="C78"/>
      <c r="D78"/>
      <c r="E78"/>
      <c r="F78"/>
      <c r="G78"/>
    </row>
    <row r="79" spans="1:7">
      <c r="A79"/>
      <c r="B79"/>
      <c r="C79"/>
      <c r="D79"/>
      <c r="E79"/>
      <c r="F79"/>
      <c r="G79"/>
    </row>
    <row r="80" spans="1:7">
      <c r="A80"/>
      <c r="B80"/>
      <c r="C80"/>
      <c r="D80"/>
      <c r="E80"/>
      <c r="F80"/>
      <c r="G80"/>
    </row>
    <row r="81" spans="1:7">
      <c r="A81"/>
      <c r="B81"/>
      <c r="C81"/>
      <c r="D81"/>
      <c r="E81"/>
      <c r="F81"/>
      <c r="G81"/>
    </row>
    <row r="82" spans="1:7">
      <c r="A82"/>
      <c r="B82"/>
      <c r="C82"/>
      <c r="D82"/>
      <c r="E82"/>
      <c r="F82"/>
      <c r="G82"/>
    </row>
    <row r="83" spans="1:7">
      <c r="A83"/>
      <c r="B83"/>
      <c r="C83"/>
      <c r="D83"/>
      <c r="E83"/>
      <c r="F83"/>
      <c r="G83"/>
    </row>
    <row r="84" spans="1:7">
      <c r="A84"/>
      <c r="B84"/>
      <c r="C84"/>
      <c r="D84"/>
      <c r="E84"/>
      <c r="F84"/>
      <c r="G84"/>
    </row>
    <row r="85" spans="1:7">
      <c r="A85"/>
      <c r="B85"/>
      <c r="C85"/>
      <c r="D85"/>
      <c r="E85"/>
      <c r="F85"/>
      <c r="G85"/>
    </row>
    <row r="86" spans="1:7">
      <c r="A86"/>
      <c r="B86"/>
      <c r="C86"/>
      <c r="D86"/>
      <c r="E86"/>
      <c r="F86"/>
      <c r="G86"/>
    </row>
    <row r="87" spans="1:7">
      <c r="A87"/>
      <c r="B87"/>
      <c r="C87"/>
      <c r="D87"/>
      <c r="E87"/>
      <c r="F87"/>
      <c r="G87"/>
    </row>
    <row r="88" spans="1:7">
      <c r="A88"/>
      <c r="B88"/>
      <c r="C88"/>
      <c r="D88"/>
      <c r="E88"/>
      <c r="F88"/>
      <c r="G88"/>
    </row>
    <row r="89" spans="1:7">
      <c r="A89"/>
      <c r="B89"/>
      <c r="C89"/>
      <c r="D89"/>
      <c r="E89"/>
      <c r="F89"/>
      <c r="G89"/>
    </row>
    <row r="90" spans="1:7">
      <c r="A90"/>
      <c r="B90"/>
      <c r="C90"/>
      <c r="D90"/>
      <c r="E90"/>
      <c r="F90"/>
      <c r="G90"/>
    </row>
    <row r="91" spans="1:7">
      <c r="A91"/>
      <c r="B91"/>
      <c r="C91"/>
      <c r="D91"/>
      <c r="E91"/>
      <c r="F91"/>
      <c r="G91"/>
    </row>
    <row r="92" spans="1:7">
      <c r="A92"/>
      <c r="B92"/>
      <c r="C92"/>
      <c r="D92"/>
      <c r="E92"/>
      <c r="F92"/>
      <c r="G92"/>
    </row>
    <row r="93" spans="1:7">
      <c r="A93"/>
      <c r="B93"/>
      <c r="C93"/>
      <c r="D93"/>
      <c r="E93"/>
      <c r="F93"/>
      <c r="G93"/>
    </row>
    <row r="94" spans="1:7">
      <c r="A94"/>
      <c r="B94"/>
      <c r="C94"/>
      <c r="D94"/>
      <c r="E94"/>
      <c r="F94"/>
      <c r="G94"/>
    </row>
    <row r="95" spans="1:7">
      <c r="A95"/>
      <c r="B95"/>
      <c r="C95"/>
      <c r="D95"/>
      <c r="E95"/>
      <c r="F95"/>
      <c r="G95"/>
    </row>
    <row r="96" spans="1:7">
      <c r="A96"/>
      <c r="B96"/>
      <c r="C96"/>
      <c r="D96"/>
      <c r="E96"/>
      <c r="F96"/>
      <c r="G96"/>
    </row>
    <row r="97" spans="1:7">
      <c r="A97"/>
      <c r="B97"/>
      <c r="C97"/>
      <c r="D97"/>
      <c r="E97"/>
      <c r="F97"/>
      <c r="G97"/>
    </row>
    <row r="98" spans="1:7">
      <c r="A98"/>
      <c r="B98"/>
      <c r="C98"/>
      <c r="D98"/>
      <c r="E98"/>
      <c r="F98"/>
      <c r="G98"/>
    </row>
    <row r="99" spans="1:7">
      <c r="A99"/>
      <c r="B99"/>
      <c r="C99"/>
      <c r="D99"/>
      <c r="E99"/>
      <c r="F99"/>
      <c r="G99"/>
    </row>
    <row r="100" spans="1:7">
      <c r="A100"/>
      <c r="B100"/>
      <c r="C100"/>
      <c r="D100"/>
      <c r="E100"/>
      <c r="F100"/>
      <c r="G100"/>
    </row>
    <row r="101" spans="1:7">
      <c r="A101"/>
      <c r="B101"/>
      <c r="C101"/>
      <c r="D101"/>
      <c r="E101"/>
      <c r="F101"/>
      <c r="G101"/>
    </row>
    <row r="102" spans="1:7">
      <c r="A102"/>
      <c r="B102"/>
      <c r="C102"/>
      <c r="D102"/>
      <c r="E102"/>
      <c r="F102"/>
      <c r="G102"/>
    </row>
    <row r="103" spans="1:7">
      <c r="A103"/>
      <c r="B103"/>
      <c r="C103"/>
      <c r="D103"/>
      <c r="E103"/>
      <c r="F103"/>
      <c r="G103"/>
    </row>
    <row r="104" spans="1:7">
      <c r="A104"/>
      <c r="B104"/>
      <c r="C104"/>
      <c r="D104"/>
      <c r="E104"/>
      <c r="F104"/>
      <c r="G104"/>
    </row>
  </sheetData>
  <mergeCells count="10">
    <mergeCell ref="A20:A24"/>
    <mergeCell ref="A25:A29"/>
    <mergeCell ref="A30:A34"/>
    <mergeCell ref="A35:A39"/>
    <mergeCell ref="B2:C2"/>
    <mergeCell ref="D2:E2"/>
    <mergeCell ref="A2:A3"/>
    <mergeCell ref="A12:A19"/>
    <mergeCell ref="A4:A11"/>
    <mergeCell ref="F2:G2"/>
  </mergeCells>
  <hyperlinks>
    <hyperlink ref="A44" location="Contents!A1" display="Back to contents page" xr:uid="{103A7E7C-0D3E-4BB4-9343-86EE25930C8F}"/>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0"/>
  <sheetViews>
    <sheetView zoomScaleNormal="100" workbookViewId="0"/>
  </sheetViews>
  <sheetFormatPr defaultColWidth="9.21875" defaultRowHeight="15.6"/>
  <cols>
    <col min="1" max="1" width="15.77734375" style="23" customWidth="1"/>
    <col min="2" max="4" width="20.77734375" style="23" customWidth="1"/>
    <col min="5" max="5" width="2.77734375" style="23" customWidth="1"/>
    <col min="6" max="8" width="20.77734375" style="23" customWidth="1"/>
    <col min="9" max="9" width="9.21875" style="23"/>
    <col min="10" max="10" width="10.44140625" style="23" customWidth="1"/>
    <col min="11" max="11" width="9.44140625" style="23" customWidth="1"/>
    <col min="12" max="16384" width="9.21875" style="23"/>
  </cols>
  <sheetData>
    <row r="1" spans="1:15">
      <c r="A1" s="22" t="s">
        <v>97</v>
      </c>
      <c r="B1" s="22"/>
      <c r="C1" s="22"/>
      <c r="F1" s="22"/>
      <c r="G1" s="76"/>
      <c r="H1" s="22"/>
      <c r="J1" s="74"/>
    </row>
    <row r="2" spans="1:15">
      <c r="A2" s="135" t="s">
        <v>23</v>
      </c>
      <c r="B2" s="150" t="s">
        <v>129</v>
      </c>
      <c r="C2" s="150"/>
      <c r="D2" s="152"/>
      <c r="E2" s="89"/>
      <c r="F2" s="150" t="s">
        <v>128</v>
      </c>
      <c r="G2" s="150"/>
      <c r="H2" s="151"/>
      <c r="I2"/>
      <c r="J2"/>
      <c r="K2"/>
      <c r="L2"/>
      <c r="M2"/>
      <c r="N2"/>
    </row>
    <row r="3" spans="1:15" ht="28.5" customHeight="1">
      <c r="A3" s="136"/>
      <c r="B3" s="54" t="s">
        <v>59</v>
      </c>
      <c r="C3" s="54" t="s">
        <v>60</v>
      </c>
      <c r="D3" s="54" t="s">
        <v>39</v>
      </c>
      <c r="E3" s="56"/>
      <c r="F3" s="54" t="s">
        <v>59</v>
      </c>
      <c r="G3" s="54" t="s">
        <v>60</v>
      </c>
      <c r="H3" s="54" t="s">
        <v>39</v>
      </c>
      <c r="I3"/>
      <c r="J3"/>
      <c r="K3"/>
      <c r="L3"/>
      <c r="M3"/>
      <c r="N3"/>
      <c r="O3"/>
    </row>
    <row r="4" spans="1:15">
      <c r="A4" s="3">
        <v>2014</v>
      </c>
      <c r="B4" s="1">
        <v>40.578444701000002</v>
      </c>
      <c r="C4" s="35">
        <v>52.935620284000002</v>
      </c>
      <c r="D4" s="1">
        <v>12427</v>
      </c>
      <c r="E4" s="1"/>
      <c r="F4" s="82">
        <v>40.492438352847792</v>
      </c>
      <c r="G4" s="128">
        <v>52.467050377143401</v>
      </c>
      <c r="H4" s="82">
        <v>12317</v>
      </c>
      <c r="I4" s="80"/>
      <c r="J4"/>
      <c r="K4"/>
      <c r="L4"/>
      <c r="M4"/>
      <c r="N4"/>
      <c r="O4"/>
    </row>
    <row r="5" spans="1:15">
      <c r="A5" s="3">
        <v>2015</v>
      </c>
      <c r="B5" s="1">
        <v>41.280219103999997</v>
      </c>
      <c r="C5" s="35">
        <v>54.933669578</v>
      </c>
      <c r="D5" s="1">
        <v>13083</v>
      </c>
      <c r="E5" s="1"/>
      <c r="F5" s="82">
        <v>40.689015314511316</v>
      </c>
      <c r="G5" s="128">
        <v>53.611029058412214</v>
      </c>
      <c r="H5" s="82">
        <v>12768</v>
      </c>
      <c r="I5"/>
      <c r="J5"/>
      <c r="K5"/>
      <c r="L5"/>
      <c r="M5"/>
      <c r="N5"/>
      <c r="O5"/>
    </row>
    <row r="6" spans="1:15">
      <c r="A6" s="3">
        <v>2016</v>
      </c>
      <c r="B6" s="1">
        <v>42.261782580999999</v>
      </c>
      <c r="C6" s="35">
        <v>57.410001203999997</v>
      </c>
      <c r="D6" s="1">
        <v>13888</v>
      </c>
      <c r="E6" s="1"/>
      <c r="F6" s="82">
        <v>41.108592706974392</v>
      </c>
      <c r="G6" s="128">
        <v>54.99587096920343</v>
      </c>
      <c r="H6" s="82">
        <v>13304</v>
      </c>
      <c r="I6"/>
      <c r="J6"/>
      <c r="K6"/>
      <c r="L6"/>
      <c r="M6"/>
      <c r="N6"/>
      <c r="O6"/>
    </row>
    <row r="7" spans="1:15">
      <c r="A7" s="3">
        <v>2017</v>
      </c>
      <c r="B7" s="1">
        <v>42.882071732</v>
      </c>
      <c r="C7" s="35">
        <v>59.123505016999999</v>
      </c>
      <c r="D7" s="1">
        <v>14540</v>
      </c>
      <c r="E7" s="1"/>
      <c r="F7" s="82">
        <v>40.669789685331963</v>
      </c>
      <c r="G7" s="128">
        <v>55.061305463255842</v>
      </c>
      <c r="H7" s="82">
        <v>13541</v>
      </c>
      <c r="I7"/>
      <c r="J7"/>
      <c r="K7"/>
      <c r="L7"/>
      <c r="M7"/>
      <c r="N7"/>
      <c r="O7"/>
    </row>
    <row r="8" spans="1:15">
      <c r="A8" s="3">
        <v>2018</v>
      </c>
      <c r="B8" s="1">
        <v>42.138905080999997</v>
      </c>
      <c r="C8" s="35">
        <v>58.954644461999997</v>
      </c>
      <c r="D8" s="1">
        <v>14717</v>
      </c>
      <c r="E8" s="1"/>
      <c r="F8" s="82">
        <v>36.327993632274577</v>
      </c>
      <c r="G8" s="128">
        <v>49.885315450411163</v>
      </c>
      <c r="H8" s="82">
        <v>12453</v>
      </c>
      <c r="I8"/>
      <c r="J8"/>
      <c r="K8"/>
      <c r="L8"/>
      <c r="M8"/>
      <c r="N8"/>
      <c r="O8"/>
    </row>
    <row r="9" spans="1:15">
      <c r="A9" s="3">
        <v>2019</v>
      </c>
      <c r="B9" s="1">
        <v>43.799227414999997</v>
      </c>
      <c r="C9" s="35">
        <v>62.270015196000003</v>
      </c>
      <c r="D9" s="1">
        <v>15776</v>
      </c>
      <c r="E9" s="1"/>
      <c r="F9" s="82">
        <v>36.838458462144608</v>
      </c>
      <c r="G9" s="128">
        <v>51.328554614900455</v>
      </c>
      <c r="H9" s="82">
        <v>13004</v>
      </c>
      <c r="I9"/>
      <c r="J9"/>
      <c r="K9"/>
      <c r="L9"/>
      <c r="M9"/>
      <c r="N9"/>
      <c r="O9"/>
    </row>
    <row r="10" spans="1:15">
      <c r="A10" s="3">
        <v>2020</v>
      </c>
      <c r="B10" s="1">
        <v>41.134143436999999</v>
      </c>
      <c r="C10" s="35">
        <v>59.892594121999998</v>
      </c>
      <c r="D10" s="1">
        <v>15362</v>
      </c>
      <c r="E10" s="1"/>
      <c r="F10" s="82">
        <v>34.839438264382849</v>
      </c>
      <c r="G10" s="128">
        <v>49.627185951026711</v>
      </c>
      <c r="H10" s="82">
        <v>12729</v>
      </c>
      <c r="I10"/>
      <c r="J10"/>
      <c r="K10"/>
      <c r="L10"/>
      <c r="M10"/>
      <c r="N10"/>
      <c r="O10"/>
    </row>
    <row r="11" spans="1:15">
      <c r="A11" s="3">
        <v>2021</v>
      </c>
      <c r="B11" s="1">
        <v>43.100606501000001</v>
      </c>
      <c r="C11" s="35">
        <v>64.904545818000003</v>
      </c>
      <c r="D11" s="1">
        <v>16671</v>
      </c>
      <c r="E11" s="1"/>
      <c r="F11" s="82">
        <v>37.026456600718369</v>
      </c>
      <c r="G11" s="128">
        <v>54.622444833666677</v>
      </c>
      <c r="H11" s="82">
        <v>14030</v>
      </c>
      <c r="I11"/>
      <c r="J11"/>
      <c r="K11"/>
      <c r="L11"/>
      <c r="M11"/>
      <c r="N11"/>
      <c r="O11"/>
    </row>
    <row r="12" spans="1:15">
      <c r="A12" s="3">
        <v>2022</v>
      </c>
      <c r="B12" s="1">
        <v>44.858348655999997</v>
      </c>
      <c r="C12" s="35">
        <v>68.531277621000001</v>
      </c>
      <c r="D12" s="1">
        <v>17828</v>
      </c>
      <c r="E12" s="1"/>
      <c r="F12" s="82">
        <v>43.384668723044243</v>
      </c>
      <c r="G12" s="128">
        <v>65.248480274328074</v>
      </c>
      <c r="H12" s="82">
        <v>16974</v>
      </c>
      <c r="I12"/>
      <c r="J12"/>
      <c r="K12"/>
      <c r="L12"/>
      <c r="M12"/>
      <c r="N12"/>
      <c r="O12"/>
    </row>
    <row r="13" spans="1:15">
      <c r="A13" s="49">
        <v>2023</v>
      </c>
      <c r="B13" s="34">
        <v>42.904216200999997</v>
      </c>
      <c r="C13" s="36">
        <v>65.317771578000006</v>
      </c>
      <c r="D13" s="34">
        <v>17409</v>
      </c>
      <c r="E13" s="34"/>
      <c r="F13" s="116">
        <v>37.596710125517944</v>
      </c>
      <c r="G13" s="129">
        <v>56.313081372346304</v>
      </c>
      <c r="H13" s="116">
        <v>15009</v>
      </c>
      <c r="I13"/>
      <c r="J13"/>
      <c r="K13"/>
      <c r="L13"/>
      <c r="M13"/>
      <c r="N13"/>
      <c r="O13"/>
    </row>
    <row r="14" spans="1:15">
      <c r="A14" s="85" t="s">
        <v>42</v>
      </c>
      <c r="B14"/>
      <c r="C14"/>
      <c r="D14"/>
      <c r="E14"/>
      <c r="F14"/>
      <c r="G14"/>
      <c r="H14"/>
      <c r="I14"/>
      <c r="J14"/>
      <c r="K14"/>
      <c r="L14"/>
      <c r="M14"/>
      <c r="N14"/>
    </row>
    <row r="15" spans="1:15">
      <c r="A15" s="84" t="s">
        <v>112</v>
      </c>
      <c r="B15"/>
      <c r="C15"/>
      <c r="D15"/>
      <c r="E15"/>
      <c r="F15"/>
      <c r="G15" s="1"/>
      <c r="H15" s="1"/>
      <c r="I15"/>
      <c r="J15"/>
      <c r="K15"/>
      <c r="L15"/>
      <c r="M15"/>
      <c r="N15"/>
    </row>
    <row r="16" spans="1:15">
      <c r="A16" s="84" t="s">
        <v>137</v>
      </c>
      <c r="B16"/>
      <c r="C16"/>
      <c r="D16"/>
      <c r="E16"/>
      <c r="F16"/>
      <c r="G16" s="1"/>
      <c r="H16" s="1"/>
      <c r="I16"/>
      <c r="J16"/>
      <c r="K16"/>
      <c r="L16"/>
      <c r="M16"/>
      <c r="N16"/>
    </row>
    <row r="17" spans="1:21">
      <c r="A17" s="84" t="s">
        <v>138</v>
      </c>
      <c r="B17"/>
      <c r="C17"/>
      <c r="D17"/>
      <c r="E17"/>
      <c r="F17"/>
      <c r="G17"/>
      <c r="H17"/>
      <c r="I17"/>
      <c r="J17"/>
      <c r="K17"/>
      <c r="L17"/>
      <c r="M17"/>
      <c r="N17"/>
    </row>
    <row r="18" spans="1:21" ht="32.25" customHeight="1">
      <c r="A18" s="140" t="s">
        <v>131</v>
      </c>
      <c r="B18" s="140"/>
      <c r="C18" s="140"/>
      <c r="D18" s="140"/>
      <c r="E18" s="140"/>
      <c r="F18" s="140"/>
      <c r="G18" s="140"/>
      <c r="H18" s="140"/>
      <c r="I18" s="140"/>
      <c r="J18" s="140"/>
      <c r="K18" s="140"/>
      <c r="L18" s="140"/>
      <c r="M18" s="140"/>
      <c r="N18" s="140"/>
      <c r="O18" s="140"/>
      <c r="P18" s="140"/>
    </row>
    <row r="19" spans="1:21">
      <c r="A19" t="s">
        <v>109</v>
      </c>
      <c r="B19"/>
      <c r="C19"/>
      <c r="D19"/>
      <c r="E19"/>
      <c r="F19"/>
      <c r="G19"/>
      <c r="H19"/>
      <c r="I19"/>
      <c r="J19"/>
      <c r="K19"/>
      <c r="L19"/>
      <c r="M19"/>
      <c r="N19"/>
    </row>
    <row r="20" spans="1:21">
      <c r="A20"/>
      <c r="B20"/>
      <c r="C20"/>
      <c r="D20"/>
      <c r="E20"/>
      <c r="F20"/>
      <c r="G20"/>
      <c r="H20"/>
      <c r="I20"/>
      <c r="J20"/>
      <c r="K20"/>
      <c r="L20"/>
      <c r="M20"/>
      <c r="N20"/>
    </row>
    <row r="21" spans="1:21">
      <c r="A21" s="66" t="s">
        <v>100</v>
      </c>
      <c r="B21"/>
      <c r="C21"/>
      <c r="D21"/>
      <c r="E21"/>
      <c r="F21"/>
      <c r="G21"/>
      <c r="H21"/>
      <c r="I21"/>
      <c r="J21" s="1"/>
      <c r="K21" s="1"/>
      <c r="L21" s="1"/>
      <c r="M21" s="1"/>
      <c r="N21" s="1"/>
      <c r="O21" s="1"/>
      <c r="P21" s="1"/>
      <c r="Q21" s="1"/>
      <c r="R21" s="1"/>
      <c r="S21" s="1"/>
      <c r="T21" s="1"/>
      <c r="U21" s="1"/>
    </row>
    <row r="22" spans="1:21">
      <c r="A22"/>
      <c r="B22"/>
      <c r="C22"/>
      <c r="D22"/>
      <c r="E22"/>
      <c r="F22"/>
      <c r="G22"/>
      <c r="H22"/>
      <c r="I22"/>
      <c r="J22" s="1"/>
      <c r="K22" s="1"/>
      <c r="L22" s="1"/>
      <c r="M22" s="1"/>
      <c r="N22" s="1"/>
      <c r="O22" s="1"/>
      <c r="P22" s="1"/>
      <c r="Q22" s="1"/>
      <c r="R22" s="1"/>
      <c r="S22" s="1"/>
      <c r="T22" s="1"/>
      <c r="U22" s="1"/>
    </row>
    <row r="23" spans="1:21">
      <c r="A23"/>
      <c r="B23"/>
      <c r="C23"/>
      <c r="D23"/>
      <c r="E23"/>
      <c r="F23"/>
      <c r="G23"/>
      <c r="H23"/>
      <c r="I23"/>
      <c r="J23" s="1"/>
      <c r="K23" s="1"/>
      <c r="L23" s="1"/>
      <c r="M23" s="1"/>
      <c r="N23" s="1"/>
      <c r="O23" s="1"/>
      <c r="P23" s="1"/>
      <c r="Q23" s="1"/>
      <c r="R23" s="1"/>
      <c r="S23" s="1"/>
      <c r="T23" s="1"/>
      <c r="U23" s="1"/>
    </row>
    <row r="24" spans="1:21">
      <c r="A24"/>
      <c r="B24"/>
      <c r="C24"/>
      <c r="D24"/>
      <c r="E24"/>
      <c r="F24"/>
      <c r="G24"/>
      <c r="H24"/>
      <c r="I24"/>
      <c r="J24" s="1"/>
      <c r="K24" s="1"/>
      <c r="L24" s="1"/>
      <c r="M24" s="1"/>
      <c r="N24" s="1"/>
      <c r="O24" s="1"/>
      <c r="P24" s="1"/>
      <c r="Q24" s="1"/>
      <c r="R24" s="1"/>
      <c r="S24" s="1"/>
      <c r="T24" s="1"/>
      <c r="U24" s="1"/>
    </row>
    <row r="25" spans="1:21">
      <c r="A25"/>
      <c r="B25"/>
      <c r="C25"/>
      <c r="D25"/>
      <c r="E25"/>
      <c r="F25"/>
      <c r="G25"/>
      <c r="H25"/>
      <c r="I25"/>
      <c r="J25" s="1"/>
      <c r="K25" s="1"/>
      <c r="L25" s="1"/>
      <c r="M25" s="1"/>
      <c r="N25" s="1"/>
      <c r="O25" s="1"/>
      <c r="P25" s="1"/>
      <c r="Q25" s="1"/>
      <c r="R25" s="1"/>
      <c r="S25" s="1"/>
      <c r="T25" s="1"/>
      <c r="U25" s="1"/>
    </row>
    <row r="26" spans="1:21">
      <c r="A26"/>
      <c r="B26"/>
      <c r="C26"/>
      <c r="D26"/>
      <c r="E26"/>
      <c r="F26"/>
      <c r="G26"/>
      <c r="H26"/>
      <c r="I26"/>
      <c r="J26" s="1"/>
      <c r="K26" s="1"/>
      <c r="L26" s="1"/>
      <c r="M26" s="1"/>
      <c r="N26" s="1"/>
      <c r="O26" s="1"/>
      <c r="P26" s="1"/>
      <c r="Q26" s="1"/>
      <c r="R26" s="1"/>
      <c r="S26" s="1"/>
      <c r="T26" s="1"/>
      <c r="U26" s="1"/>
    </row>
    <row r="27" spans="1:21">
      <c r="B27"/>
      <c r="C27"/>
      <c r="D27"/>
      <c r="E27"/>
      <c r="F27"/>
      <c r="G27"/>
      <c r="H27"/>
      <c r="J27" s="1"/>
      <c r="K27" s="1"/>
      <c r="L27" s="1"/>
      <c r="M27" s="1"/>
      <c r="N27" s="1"/>
      <c r="O27" s="1"/>
      <c r="P27" s="1"/>
      <c r="Q27" s="1"/>
      <c r="R27" s="1"/>
      <c r="S27" s="1"/>
      <c r="T27" s="1"/>
      <c r="U27" s="1"/>
    </row>
    <row r="28" spans="1:21">
      <c r="B28"/>
      <c r="C28"/>
      <c r="D28"/>
      <c r="E28"/>
      <c r="F28"/>
      <c r="G28"/>
      <c r="H28"/>
      <c r="J28" s="1"/>
      <c r="K28" s="1"/>
      <c r="L28" s="1"/>
      <c r="M28" s="1"/>
      <c r="N28" s="1"/>
      <c r="O28" s="1"/>
      <c r="P28" s="1"/>
      <c r="Q28" s="1"/>
      <c r="R28" s="1"/>
      <c r="S28" s="1"/>
      <c r="T28" s="1"/>
      <c r="U28" s="1"/>
    </row>
    <row r="29" spans="1:21">
      <c r="B29"/>
      <c r="C29"/>
      <c r="D29"/>
      <c r="E29"/>
      <c r="F29"/>
      <c r="G29"/>
      <c r="H29"/>
      <c r="J29" s="1"/>
      <c r="K29" s="1"/>
      <c r="L29" s="1"/>
      <c r="M29" s="1"/>
      <c r="N29" s="1"/>
      <c r="O29" s="1"/>
      <c r="P29" s="1"/>
      <c r="Q29" s="1"/>
      <c r="R29" s="1"/>
      <c r="S29" s="1"/>
      <c r="T29" s="1"/>
      <c r="U29" s="1"/>
    </row>
    <row r="30" spans="1:21">
      <c r="B30"/>
      <c r="C30"/>
      <c r="D30"/>
      <c r="E30"/>
      <c r="F30"/>
      <c r="G30"/>
      <c r="H30"/>
      <c r="J30" s="1"/>
      <c r="K30" s="1"/>
      <c r="L30" s="1"/>
      <c r="M30" s="1"/>
      <c r="N30" s="1"/>
      <c r="O30" s="1"/>
      <c r="P30" s="1"/>
      <c r="Q30" s="1"/>
      <c r="R30" s="1"/>
      <c r="S30" s="1"/>
      <c r="T30" s="1"/>
      <c r="U30" s="1"/>
    </row>
  </sheetData>
  <mergeCells count="4">
    <mergeCell ref="A2:A3"/>
    <mergeCell ref="F2:H2"/>
    <mergeCell ref="B2:D2"/>
    <mergeCell ref="A18:P18"/>
  </mergeCells>
  <hyperlinks>
    <hyperlink ref="A21" location="Contents!A1" display="Back to contents page" xr:uid="{8DFFE5C2-6983-4E37-8F67-98C13560B316}"/>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acfdfa7e-238e-49af-913a-b8791cd4736d">
      <Value>1</Value>
    </AIHW_PPR_ProjectCategoryLookup>
  </documentManagement>
</p:properties>
</file>

<file path=customXml/item3.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6CBCD5A370A1DB47BF624D28629D6BEE" ma:contentTypeVersion="1" ma:contentTypeDescription="AIHW Project Document" ma:contentTypeScope="" ma:versionID="3063d816580368ebd2d901324795a608">
  <xsd:schema xmlns:xsd="http://www.w3.org/2001/XMLSchema" xmlns:xs="http://www.w3.org/2001/XMLSchema" xmlns:p="http://schemas.microsoft.com/office/2006/metadata/properties" xmlns:ns2="acfdfa7e-238e-49af-913a-b8791cd4736d" targetNamespace="http://schemas.microsoft.com/office/2006/metadata/properties" ma:root="true" ma:fieldsID="40cce4b24ccf6edd0b6ee5c7c49e0305" ns2:_="">
    <xsd:import namespace="acfdfa7e-238e-49af-913a-b8791cd4736d"/>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fdfa7e-238e-49af-913a-b8791cd4736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de03ce94-ec67-4e6b-bd2a-a939ad580cf9}" ma:internalName="AIHW_PPR_ProjectCategoryLookup" ma:showField="Title" ma:web="{acfdfa7e-238e-49af-913a-b8791cd473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3243E1-6D45-4770-8C35-D3FC415B34B5}">
  <ds:schemaRefs>
    <ds:schemaRef ds:uri="http://schemas.microsoft.com/sharepoint/v3/contenttype/forms"/>
  </ds:schemaRefs>
</ds:datastoreItem>
</file>

<file path=customXml/itemProps2.xml><?xml version="1.0" encoding="utf-8"?>
<ds:datastoreItem xmlns:ds="http://schemas.openxmlformats.org/officeDocument/2006/customXml" ds:itemID="{5F438D62-42B8-4CEA-93AC-88A0B391FE82}">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acfdfa7e-238e-49af-913a-b8791cd4736d"/>
    <ds:schemaRef ds:uri="http://www.w3.org/XML/1998/namespace"/>
  </ds:schemaRefs>
</ds:datastoreItem>
</file>

<file path=customXml/itemProps3.xml><?xml version="1.0" encoding="utf-8"?>
<ds:datastoreItem xmlns:ds="http://schemas.openxmlformats.org/officeDocument/2006/customXml" ds:itemID="{87544CE7-0B52-462E-8690-FD6ECDF9C4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fdfa7e-238e-49af-913a-b8791cd473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S3.1</vt:lpstr>
      <vt:lpstr>S3.2</vt:lpstr>
      <vt:lpstr>S3.3</vt:lpstr>
      <vt:lpstr>S3.4</vt:lpstr>
      <vt:lpstr>S3.5</vt:lpstr>
      <vt:lpstr>S3.6</vt:lpstr>
      <vt:lpstr>S3.7</vt:lpstr>
      <vt:lpstr>S3.8</vt:lpstr>
      <vt:lpstr>S3.9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Dementia in Australia, deaths due to dementia – data tables</dc:title>
  <dc:creator/>
  <cp:lastModifiedBy/>
  <dcterms:created xsi:type="dcterms:W3CDTF">2025-08-26T05:40:46Z</dcterms:created>
  <dcterms:modified xsi:type="dcterms:W3CDTF">2026-03-26T00:44:28Z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13300</vt:r8>
  </property>
  <property fmtid="{D5CDD505-2E9C-101B-9397-08002B2CF9AE}" pid="3" name="URL">
    <vt:lpwstr/>
  </property>
  <property fmtid="{D5CDD505-2E9C-101B-9397-08002B2CF9AE}" pid="4" name="xd_ProgID">
    <vt:lpwstr/>
  </property>
  <property fmtid="{D5CDD505-2E9C-101B-9397-08002B2CF9AE}" pid="5" name="DocumentSetDescription">
    <vt:lpwstr/>
  </property>
  <property fmtid="{D5CDD505-2E9C-101B-9397-08002B2CF9AE}" pid="6" name="_CopySource">
    <vt:lpwstr>http://projects.aihw.gov.au/PRJ02441/Web Content/RM 2023/Tranche 1/Data tables/aihw-DiA-S3-mortality.xlsx</vt:lpwstr>
  </property>
  <property fmtid="{D5CDD505-2E9C-101B-9397-08002B2CF9AE}" pid="7" name="ContentTypeId">
    <vt:lpwstr>0x010100B4A1F787F0C441AC878A307E051D262E006CBCD5A370A1DB47BF624D28629D6BEE</vt:lpwstr>
  </property>
  <property fmtid="{D5CDD505-2E9C-101B-9397-08002B2CF9AE}" pid="8" name="TemplateUrl">
    <vt:lpwstr/>
  </property>
</Properties>
</file>