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mc:AlternateContent xmlns:mc="http://schemas.openxmlformats.org/markup-compatibility/2006">
    <mc:Choice Requires="x15">
      <x15ac:absPath xmlns:x15ac="http://schemas.microsoft.com/office/spreadsheetml/2010/11/ac" url="http://projects.aihw.gov.au/PRJ01437/Authoring/2025 Deaths in Australia/"/>
    </mc:Choice>
  </mc:AlternateContent>
  <xr:revisionPtr revIDLastSave="0" documentId="13_ncr:1_{B60F3CBD-6D47-4BA3-BB9B-40883186A591}" xr6:coauthVersionLast="47" xr6:coauthVersionMax="47" xr10:uidLastSave="{00000000-0000-0000-0000-000000000000}"/>
  <bookViews>
    <workbookView xWindow="-28920" yWindow="-120" windowWidth="29040" windowHeight="15840" tabRatio="937" xr2:uid="{00000000-000D-0000-FFFF-FFFF00000000}"/>
  </bookViews>
  <sheets>
    <sheet name="Contents" sheetId="335" r:id="rId1"/>
    <sheet name="Table S2.1" sheetId="341" r:id="rId2"/>
    <sheet name="Table S2.2" sheetId="342" r:id="rId3"/>
    <sheet name="Table S2.3" sheetId="347" r:id="rId4"/>
    <sheet name="Table S3.1" sheetId="344" r:id="rId5"/>
    <sheet name="Table S3.2" sheetId="346" r:id="rId6"/>
    <sheet name="Table S4.1" sheetId="348" r:id="rId7"/>
    <sheet name="Table S5.1" sheetId="352" r:id="rId8"/>
    <sheet name="Table S5.2" sheetId="393" r:id="rId9"/>
    <sheet name="Table S5.3" sheetId="392" r:id="rId10"/>
    <sheet name="Table S6.1" sheetId="354" r:id="rId11"/>
    <sheet name="Table S6.2" sheetId="356" r:id="rId12"/>
    <sheet name="Table S6.3" sheetId="361" r:id="rId13"/>
    <sheet name="Table S6.4" sheetId="362" r:id="rId14"/>
    <sheet name="Table S7.1" sheetId="383" r:id="rId15"/>
    <sheet name="Table S7.2" sheetId="396" r:id="rId16"/>
    <sheet name="Table S7.3" sheetId="389" r:id="rId17"/>
    <sheet name="Table S7.4" sheetId="367" r:id="rId18"/>
    <sheet name="Table S7.5" sheetId="390" r:id="rId19"/>
    <sheet name="Table S7.6" sheetId="366" r:id="rId20"/>
    <sheet name="Table S7.7" sheetId="391" r:id="rId21"/>
    <sheet name="Table S8.1" sheetId="369" r:id="rId22"/>
    <sheet name="Table S8.2" sheetId="368" r:id="rId23"/>
    <sheet name="Table S8.3" sheetId="374" r:id="rId24"/>
    <sheet name="Table S8.4" sheetId="385" r:id="rId25"/>
    <sheet name="Table S8.5" sheetId="371" r:id="rId26"/>
    <sheet name="Table S8.6" sheetId="372" r:id="rId27"/>
    <sheet name="Table S8.7" sheetId="380" r:id="rId28"/>
    <sheet name="Table S8.8" sheetId="379" r:id="rId29"/>
    <sheet name="Table S8.9" sheetId="386" r:id="rId30"/>
    <sheet name="Table S8.10" sheetId="375" r:id="rId31"/>
    <sheet name="Table S8.11" sheetId="388" r:id="rId32"/>
    <sheet name="Table S8.12" sheetId="394" r:id="rId33"/>
    <sheet name="Table S9.1" sheetId="357" r:id="rId34"/>
    <sheet name="Table S9.2" sheetId="358" r:id="rId35"/>
  </sheets>
  <definedNames>
    <definedName name="_AMO_UniqueIdentifier" localSheetId="5" hidden="1">"'9731e83b-5350-4d58-880b-4812b28b1303'"</definedName>
    <definedName name="_AMO_UniqueIdentifier" localSheetId="8" hidden="1">"'9731e83b-5350-4d58-880b-4812b28b1303'"</definedName>
    <definedName name="_AMO_UniqueIdentifier" localSheetId="9" hidden="1">"'9731e83b-5350-4d58-880b-4812b28b1303'"</definedName>
    <definedName name="_AMO_UniqueIdentifier" localSheetId="13" hidden="1">"'9731e83b-5350-4d58-880b-4812b28b1303'"</definedName>
    <definedName name="_AMO_UniqueIdentifier" localSheetId="14" hidden="1">"'9731e83b-5350-4d58-880b-4812b28b1303'"</definedName>
    <definedName name="_AMO_UniqueIdentifier" localSheetId="15" hidden="1">"'9731e83b-5350-4d58-880b-4812b28b1303'"</definedName>
    <definedName name="_AMO_UniqueIdentifier" localSheetId="16" hidden="1">"'9731e83b-5350-4d58-880b-4812b28b1303'"</definedName>
    <definedName name="_AMO_UniqueIdentifier" localSheetId="17" hidden="1">"'9731e83b-5350-4d58-880b-4812b28b1303'"</definedName>
    <definedName name="_AMO_UniqueIdentifier" localSheetId="26" hidden="1">"'9731e83b-5350-4d58-880b-4812b28b1303'"</definedName>
    <definedName name="_xlnm._FilterDatabase" localSheetId="5" hidden="1">'Table S3.2'!$B$1:$B$143</definedName>
    <definedName name="_xlnm._FilterDatabase" localSheetId="24" hidden="1">'Table S8.4'!$A$5:$Q$5</definedName>
    <definedName name="_xlnm._FilterDatabase" localSheetId="26" hidden="1">'Table S8.6'!$A$4:$S$16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335" l="1"/>
  <c r="B15" i="335"/>
  <c r="B28" i="335"/>
  <c r="B26" i="335"/>
  <c r="B30" i="335"/>
  <c r="B29" i="335"/>
  <c r="B27" i="335"/>
  <c r="B25" i="335"/>
  <c r="B24" i="335"/>
  <c r="B22" i="335"/>
  <c r="B21" i="335"/>
  <c r="B20" i="335"/>
  <c r="B19" i="335"/>
  <c r="B18" i="335"/>
  <c r="B17" i="335"/>
  <c r="B14" i="335"/>
  <c r="B13" i="335"/>
  <c r="B12" i="335"/>
  <c r="B11" i="335"/>
  <c r="B10" i="335"/>
  <c r="B9" i="335"/>
  <c r="B42" i="335"/>
  <c r="B41" i="335"/>
  <c r="B39" i="335"/>
  <c r="B38" i="335"/>
  <c r="B37" i="335"/>
  <c r="B36" i="335"/>
  <c r="B35" i="335"/>
  <c r="B34" i="335"/>
  <c r="B33" i="335"/>
  <c r="B32" i="335"/>
  <c r="B31" i="335"/>
</calcChain>
</file>

<file path=xl/sharedStrings.xml><?xml version="1.0" encoding="utf-8"?>
<sst xmlns="http://schemas.openxmlformats.org/spreadsheetml/2006/main" count="5230" uniqueCount="668">
  <si>
    <t>Males</t>
  </si>
  <si>
    <t>Females</t>
  </si>
  <si>
    <t>Persons</t>
  </si>
  <si>
    <t>All ages</t>
  </si>
  <si>
    <t>Notes</t>
  </si>
  <si>
    <t>Age group</t>
  </si>
  <si>
    <t>5–9</t>
  </si>
  <si>
    <t>10–14</t>
  </si>
  <si>
    <t>15–19</t>
  </si>
  <si>
    <t>20–24</t>
  </si>
  <si>
    <t>25–29</t>
  </si>
  <si>
    <t>30–34</t>
  </si>
  <si>
    <t>35–39</t>
  </si>
  <si>
    <t>40–44</t>
  </si>
  <si>
    <t>45–49</t>
  </si>
  <si>
    <t>50–54</t>
  </si>
  <si>
    <t>55–59</t>
  </si>
  <si>
    <t>60–64</t>
  </si>
  <si>
    <t>65–69</t>
  </si>
  <si>
    <t>70–74</t>
  </si>
  <si>
    <t>75–79</t>
  </si>
  <si>
    <t>80–84</t>
  </si>
  <si>
    <t>85–89</t>
  </si>
  <si>
    <t>90–94</t>
  </si>
  <si>
    <t>95–99</t>
  </si>
  <si>
    <t>100+</t>
  </si>
  <si>
    <t>Year</t>
  </si>
  <si>
    <t>3. Rates are calculated using the sum of estimated resident populations at 30 June for each year. Rates are expressed as deaths per 100,000 population.</t>
  </si>
  <si>
    <t>Contents</t>
  </si>
  <si>
    <t>Median age at death</t>
  </si>
  <si>
    <t>Deaths in Australia web report</t>
  </si>
  <si>
    <t>Supplementary tables</t>
  </si>
  <si>
    <t>Released 09 April 2025</t>
  </si>
  <si>
    <t>Table S2.1: Deaths by sex and age group, 2023</t>
  </si>
  <si>
    <t>0–4</t>
  </si>
  <si>
    <t>1. Year refers to year of registration of death. Deaths registered in 2020 and earlier are based on the final version of cause of death data; deaths registered in 2021 are based on the revised version; deaths registered in 2022 and 2023 are based on the preliminary version. Revised and preliminary versions are subject to further revision by the Australian Bureau of Statistics.</t>
  </si>
  <si>
    <t>2. Data is presented by year of registration of death. Prior to the 2022 data release, data was presented by the reference year in which the death was received and processed by the Australian Bureau of Statistics. As a result, data in this table may not equal previously published data for these years. For more detail, refer to Data collection: Presentation of mortality data in Causes of death, Australia, methodology, 2022 (https://www.abs.gov.au/methodologies/causes-death-australia-methodology/2022#data-collection)</t>
  </si>
  <si>
    <r>
      <t>Source:</t>
    </r>
    <r>
      <rPr>
        <sz val="10"/>
        <rFont val="Arial"/>
        <family val="2"/>
        <scheme val="minor"/>
      </rPr>
      <t xml:space="preserve"> AIHW National Mortality Database.</t>
    </r>
  </si>
  <si>
    <t>Per cent</t>
  </si>
  <si>
    <t>Rank</t>
  </si>
  <si>
    <t>Cause of death</t>
  </si>
  <si>
    <t>Number</t>
  </si>
  <si>
    <t>Coronary heart disease (I20–I25)</t>
  </si>
  <si>
    <t>Dementia including Alzheimer's disease (F01, F03, G30)</t>
  </si>
  <si>
    <t>Lung cancer (C33, C34)</t>
  </si>
  <si>
    <t>Cerebrovascular disease (I60–I69)</t>
  </si>
  <si>
    <t>Chronic obstructive pulmonary disease (COPD) (J40–J44)</t>
  </si>
  <si>
    <t>Prostate cancer (C61)</t>
  </si>
  <si>
    <t>Breast cancer (C50)</t>
  </si>
  <si>
    <t>Diabetes (E10–E14)</t>
  </si>
  <si>
    <t>Colorectal cancer (C18–C20, C26.0)</t>
  </si>
  <si>
    <t>COVID-19 (U07.1, U07.2, U10.9)</t>
  </si>
  <si>
    <t>Accidental falls (W00–W19)</t>
  </si>
  <si>
    <t>Suicide (X60–X84, Y87.0)</t>
  </si>
  <si>
    <t>Heart failure and complications and ill-defined heart disease (I50–I51)</t>
  </si>
  <si>
    <t>Other ill-defined causes (R00–R94, R96–R99, I46.9, I95.9, I99, J96.0, J96.9, P28.5)</t>
  </si>
  <si>
    <t>Pancreatic cancer (C25)</t>
  </si>
  <si>
    <t>Cardiac arrhythmias (I47–I49)</t>
  </si>
  <si>
    <t>Cancer of unknown or ill-defined primary site (C26, C39, C76–C80 excl. C26.0)</t>
  </si>
  <si>
    <t>Hypertensive disease (I10–I15)</t>
  </si>
  <si>
    <t>Liver disease (K70–K76)</t>
  </si>
  <si>
    <t>Influenza and pneumonia (J09–J18)</t>
  </si>
  <si>
    <t>Parkinson disease (G20)</t>
  </si>
  <si>
    <t>Kidney failure (N17–N19)</t>
  </si>
  <si>
    <t>Liver cancer (C22)</t>
  </si>
  <si>
    <t>Diseases of the musculoskeletal system and connective tissue (M00–M99)</t>
  </si>
  <si>
    <t>Ovarian cancer (C56)</t>
  </si>
  <si>
    <t>All causes</t>
  </si>
  <si>
    <t>ASR</t>
  </si>
  <si>
    <t>age-standardised rate</t>
  </si>
  <si>
    <t>..</t>
  </si>
  <si>
    <t>not applicable</t>
  </si>
  <si>
    <t>2. Leading causes of death are based on underlying causes of death and classified using an AIHW-modified version of Becker R, Sivli J, Ma Fat, L'Hours A, Laurenti R (2006). A method for deriving leading causes of death. Bulletin of the World Health Organization 84: 297–304. International Statistical Classification of Diseases and Related Health Problems, 10th revision (ICD-10) codes are presented in parentheses.</t>
  </si>
  <si>
    <t>3. Rates are expressed as deaths per 100,000 population. Age-standardised rates are directly standardised to the Australian estimated resident population at 30 June 2001.</t>
  </si>
  <si>
    <t>Age group and rank</t>
  </si>
  <si>
    <t xml:space="preserve">Number </t>
  </si>
  <si>
    <t>Under 1</t>
  </si>
  <si>
    <t>Certain conditions originating in the perinatal period, congenital malformations, deformations and chromosomal abnormalities (P00–P96, Q00–Q99 excl. P28.5)</t>
  </si>
  <si>
    <t>Sudden infant death syndrome (SIDS) (R95)</t>
  </si>
  <si>
    <t>Selected metabolic disorders excl. dehydration (E70–E89 excl. E86, E87)</t>
  </si>
  <si>
    <t>Accidental threats to breathing (W75–W84)</t>
  </si>
  <si>
    <t>1–14</t>
  </si>
  <si>
    <t>Brain cancer (C71)</t>
  </si>
  <si>
    <t>Leukaemia (C91–C95)</t>
  </si>
  <si>
    <t>Accidental drowning and submersion (W65–W74)</t>
  </si>
  <si>
    <t>Cerebral palsy and other paralytic syndromes (G80–G83)</t>
  </si>
  <si>
    <t>Malignant neoplasms of bone and articular cartilage (C40–C41)</t>
  </si>
  <si>
    <t>Epilepsy and status epilepticus (G40, G41)</t>
  </si>
  <si>
    <t>15–24</t>
  </si>
  <si>
    <t>Accidental poisoning (X40–X49)</t>
  </si>
  <si>
    <t>25–44</t>
  </si>
  <si>
    <t>Uterine cancer (C53–C55)</t>
  </si>
  <si>
    <t>45–64</t>
  </si>
  <si>
    <t>65–74</t>
  </si>
  <si>
    <t>75–84</t>
  </si>
  <si>
    <t>85–94</t>
  </si>
  <si>
    <t>95+</t>
  </si>
  <si>
    <t>2. Age-specific rates are calculated using the sum of estimated resident populations at 30 June for each year, sex and age group. Rates are expressed as deaths per 100,000 population.</t>
  </si>
  <si>
    <t>3. Leading causes of death are based on underlying causes of death and classified using an AIHW-modified version of Becker R, Sivli J, Ma Fat, L'Hours A, Laurenti R. 2006. A method for deriving leading causes of death. Bulletin of the World Health Organization 84: 297–304. International Statistical Classification of Diseases and Related Health Problems, 10th revision (ICD-10) codes are presented in parentheses.</t>
  </si>
  <si>
    <r>
      <rPr>
        <i/>
        <sz val="10"/>
        <rFont val="Arial"/>
        <family val="2"/>
      </rPr>
      <t xml:space="preserve">Source: </t>
    </r>
    <r>
      <rPr>
        <sz val="10"/>
        <rFont val="Arial"/>
        <family val="2"/>
      </rPr>
      <t>AIHW National Mortality Database.</t>
    </r>
  </si>
  <si>
    <t>Land transport accidents (V01–V89, Y85)</t>
  </si>
  <si>
    <t>Assault (X85–Y09, Y87.1)</t>
  </si>
  <si>
    <t>Event of undetermined intent (Y10–Y34, Y87.2)</t>
  </si>
  <si>
    <t>1. Year refers to year of registration of death. Deaths registered in 2023 are based on the preliminary version of cause of death data and are subject to further revision by the Australian Bureau of Statistics (ABS).</t>
  </si>
  <si>
    <t>5. Per cents have been calculated using the total number of deaths in age group as the denominator.</t>
  </si>
  <si>
    <t>2. Potential years of life lost represents the total number of years not lived by an individual before an arbitrary upper limit to life, in this table age 75 years. From 1964 onward, PYLL is calculated based on age at death in single years. Prior to 1964, age at death in years is estimated using the midpoint of the 5 year age group (e.g. all persons age 0 to 4 are treated as age=2.5 years). PYLL is presented here in person-years.</t>
  </si>
  <si>
    <t>3. Data is presented by year of registration of death. Prior to the 2022 data release, data was presented by the reference year in which the death was received and processed by the Australian Bureau of Statistics. As a result, data in this table may not equal previously published data for these years. For more detail, refer to Data collection: Presentation of mortality data in Causes of death, Australia, methodology, 2022 (https://www.abs.gov.au/methodologies/causes-death-australia-methodology/2022#data-collection)</t>
  </si>
  <si>
    <t>4. Rates are calculated using the sum of estimated resident populations at 30 June for each year. PYLL is presented here as a rate of person-years per 1,000 population under age 75 years.</t>
  </si>
  <si>
    <t>85+</t>
  </si>
  <si>
    <t>n.a.</t>
  </si>
  <si>
    <t>2. Deaths from COVID-19 are coded to ICD-10 codes U07.1 (COVID-19, virus identified), U07.2 (COVID-19, virus not identified) or U10.9 (Multisystem inflammatory syndrome associated with COVID-19, unspecified). In this table, only deaths where COVID-19 was the underlying cause of death are included.</t>
  </si>
  <si>
    <t>3. Age-specific rates are calculated using the sum of estimated resident populations at 30 June for each year, sex and age group. Rates are expressed as deaths per 100,000 population.</t>
  </si>
  <si>
    <t>Selected invasive infections</t>
  </si>
  <si>
    <t>HIV/AIDS</t>
  </si>
  <si>
    <t>Cancer</t>
  </si>
  <si>
    <t>Cancer of the colon, sigmoid, rectum and anus</t>
  </si>
  <si>
    <t>Skin</t>
  </si>
  <si>
    <t>Diabetes</t>
  </si>
  <si>
    <t>Rheumatic and other valvular heart disease</t>
  </si>
  <si>
    <t>Hypertensive heart and renal disease</t>
  </si>
  <si>
    <t>Cerebrovascular diseases</t>
  </si>
  <si>
    <t>Heart failure</t>
  </si>
  <si>
    <t>Pulmonary embolism</t>
  </si>
  <si>
    <t>Renal failure</t>
  </si>
  <si>
    <t>Asthma</t>
  </si>
  <si>
    <t>Falls</t>
  </si>
  <si>
    <t>Suicide and self-inflicted injuries</t>
  </si>
  <si>
    <t>Other external causes</t>
  </si>
  <si>
    <t>Transport accidents</t>
  </si>
  <si>
    <t>Accidental drowning and submersion</t>
  </si>
  <si>
    <t>Accidental poisoning</t>
  </si>
  <si>
    <t>Assault</t>
  </si>
  <si>
    <t>Complications of the perinatal period</t>
  </si>
  <si>
    <t xml:space="preserve">4. Potentially avoidable deaths are deaths from conditions that are potentially preventable through individualised care and/or treatable through existing primary or hospital care. They are classified using nationally agreed definitions based on cause of death for people aged less than 75 (AIHW 2021. National Healthcare Agreement: PI 16—Potentially avoidable deaths, 2022. Viewed 07 January 2025, &lt;https://meteor.aihw.gov.au/content/index.phtml/itemId/740864&gt;). </t>
  </si>
  <si>
    <t>Crude rate (per 100,000)</t>
  </si>
  <si>
    <t>Total potentially avoidable deaths</t>
  </si>
  <si>
    <t>ASR 
(per 100,000)</t>
  </si>
  <si>
    <r>
      <t>Source:</t>
    </r>
    <r>
      <rPr>
        <sz val="10"/>
        <rFont val="Arial"/>
        <family val="2"/>
        <scheme val="minor"/>
      </rPr>
      <t xml:space="preserve"> AIHW General Record of Incidence of Mortality (GRIM) books &lt;http://www.aihw.gov.au/deaths/grim-books/&gt;.</t>
    </r>
  </si>
  <si>
    <t>Cardiovascular diseases</t>
  </si>
  <si>
    <t>Cancers (all neoplasms)</t>
  </si>
  <si>
    <t>Respiratory diseases</t>
  </si>
  <si>
    <t>Infectious diseases</t>
  </si>
  <si>
    <t>Injury and poisoning</t>
  </si>
  <si>
    <t>Other</t>
  </si>
  <si>
    <t>4. Rates are calculated using the sum of estimated resident populations at 30 June for each year. Rates are expressed as deaths per 100,000 population.</t>
  </si>
  <si>
    <t>0 (birth)</t>
  </si>
  <si>
    <t>1881–1890</t>
  </si>
  <si>
    <t>1891–1900</t>
  </si>
  <si>
    <t>1901–1910</t>
  </si>
  <si>
    <t>1920–1922</t>
  </si>
  <si>
    <t>1932–1934</t>
  </si>
  <si>
    <t>1946–1948</t>
  </si>
  <si>
    <t>1953–1955</t>
  </si>
  <si>
    <t>1960–1962</t>
  </si>
  <si>
    <t>1965–1967</t>
  </si>
  <si>
    <t>1970–1972</t>
  </si>
  <si>
    <t>1975–1977</t>
  </si>
  <si>
    <t>1980–1982</t>
  </si>
  <si>
    <t>1985–1987</t>
  </si>
  <si>
    <t>1990–1992</t>
  </si>
  <si>
    <t>1993–1995</t>
  </si>
  <si>
    <t>1994–1996</t>
  </si>
  <si>
    <t>1995–1997</t>
  </si>
  <si>
    <t>1996–1998</t>
  </si>
  <si>
    <t>1997–1999</t>
  </si>
  <si>
    <t>1998–2000</t>
  </si>
  <si>
    <t>1999–2001</t>
  </si>
  <si>
    <t>2000–2002</t>
  </si>
  <si>
    <t>2001–2003</t>
  </si>
  <si>
    <t>2002–2004</t>
  </si>
  <si>
    <t>2003–2005</t>
  </si>
  <si>
    <t>2004–2006</t>
  </si>
  <si>
    <t>2005–2007</t>
  </si>
  <si>
    <t>2006–2008</t>
  </si>
  <si>
    <t>2007–2009</t>
  </si>
  <si>
    <t>2008–2010</t>
  </si>
  <si>
    <t>2009–2011</t>
  </si>
  <si>
    <t>2010–2012</t>
  </si>
  <si>
    <t>2011–2013</t>
  </si>
  <si>
    <t>2012–2014</t>
  </si>
  <si>
    <t>2013–2015</t>
  </si>
  <si>
    <t>2014–2016</t>
  </si>
  <si>
    <t>2015–2017</t>
  </si>
  <si>
    <t>2016–2018</t>
  </si>
  <si>
    <t>2017–2019</t>
  </si>
  <si>
    <t>2018–2020</t>
  </si>
  <si>
    <t>2019–2021</t>
  </si>
  <si>
    <t>2020-2022</t>
  </si>
  <si>
    <t>2021-2023</t>
  </si>
  <si>
    <t>Table S9.1: Life expectancy (expected age at death in years) at different ages by sex, 1881–1890 to 2021–2023</t>
  </si>
  <si>
    <t>Country</t>
  </si>
  <si>
    <t>Life expectancy</t>
  </si>
  <si>
    <t>Table S9.2: Life expectancy (years) at birth by sex, OECD countries, 2023 (or nearest available year)</t>
  </si>
  <si>
    <t>Switzerland</t>
  </si>
  <si>
    <t>Japan</t>
  </si>
  <si>
    <t>Spain</t>
  </si>
  <si>
    <t>Italy</t>
  </si>
  <si>
    <t>Luxembourg</t>
  </si>
  <si>
    <t>Sweden</t>
  </si>
  <si>
    <t>Australia</t>
  </si>
  <si>
    <t>France</t>
  </si>
  <si>
    <t>Israel</t>
  </si>
  <si>
    <t>Korea</t>
  </si>
  <si>
    <t>Iceland</t>
  </si>
  <si>
    <t>Ireland</t>
  </si>
  <si>
    <t>Norway</t>
  </si>
  <si>
    <t>Belgium</t>
  </si>
  <si>
    <t>Portugal</t>
  </si>
  <si>
    <t>Netherlands</t>
  </si>
  <si>
    <t>New Zealand</t>
  </si>
  <si>
    <t>Slovenia</t>
  </si>
  <si>
    <t>Denmark</t>
  </si>
  <si>
    <t>Finland</t>
  </si>
  <si>
    <t>Austria</t>
  </si>
  <si>
    <t>Canada</t>
  </si>
  <si>
    <t>Greece</t>
  </si>
  <si>
    <t>Chile</t>
  </si>
  <si>
    <t>Costa Rica</t>
  </si>
  <si>
    <t>United Kingdom</t>
  </si>
  <si>
    <t>Germany</t>
  </si>
  <si>
    <t>Czechia</t>
  </si>
  <si>
    <t>Estonia</t>
  </si>
  <si>
    <t>Poland</t>
  </si>
  <si>
    <t>Slovak Republic</t>
  </si>
  <si>
    <t>Lithuania</t>
  </si>
  <si>
    <t>Türkiye</t>
  </si>
  <si>
    <t>Colombia</t>
  </si>
  <si>
    <t>Hungary</t>
  </si>
  <si>
    <t>United States</t>
  </si>
  <si>
    <t>Latvia</t>
  </si>
  <si>
    <t>Mexico</t>
  </si>
  <si>
    <t>5</t>
  </si>
  <si>
    <t>11</t>
  </si>
  <si>
    <t xml:space="preserve">2. Norway's life expectancy value is provisional. Japan and United Kingdom's life expectancy value is estimated. </t>
  </si>
  <si>
    <t>First Nations</t>
  </si>
  <si>
    <t>Indigenous status and rank</t>
  </si>
  <si>
    <t>Non-Indigenous</t>
  </si>
  <si>
    <t>Malignant neoplasms of lip, oral cavity and pharynx (C00–C14)</t>
  </si>
  <si>
    <t>ASR age-standardised rate</t>
  </si>
  <si>
    <t>..   not applicable</t>
  </si>
  <si>
    <t xml:space="preserve">1. Mortality data by Indigenous status are restricted to those 5 states and territories where information on Indigenous status is considered of sufficient quality and completeness of reporting: New South Wales, Queensland, Western Australia, South Australia and the Northern Territory. </t>
  </si>
  <si>
    <t>2. Deaths are counted according to year of registration of death, and state or territory of usual residence.</t>
  </si>
  <si>
    <t>3. Deaths registered in 2021 are based on the revised version of cause of death data; deaths registered in 2022 and 2023 are based on the preliminary version. Revised and preliminary versions are subject to further revision by the Australian Bureau of Statistics.</t>
  </si>
  <si>
    <t xml:space="preserve">4. Rates are expressed as deaths per 100,000 population. Crude rates are calculated using the sum of estimated resident populations at 30 June for each year. Age-standardised rates are directly standardised to the Australian estimated resident population at 30 June 2001, by 5-year age groups up to 75+. </t>
  </si>
  <si>
    <t>5. Leading causes of death are based on underlying causes of death and classified using an AIHW-modified version of Becker R, Sivli J, Ma Fat, L'Hours A, Laurenti R. 2006. A method for deriving leading causes of death. Bulletin of the World Health Organization 84: 297–304. International Statistical Classification of Diseases and Related Health Problems, 10th revision (ICD-10) codes are presented in parentheses.</t>
  </si>
  <si>
    <t>6. Rates use Aboriginal and Torres Strait Islander population estimates and projections based on the 2021 Census</t>
  </si>
  <si>
    <t>Melanoma of the skin (C43)</t>
  </si>
  <si>
    <t>Septicaemia (A40–A41)</t>
  </si>
  <si>
    <t>1. Year refers to year of registration of death. Deaths registered in 2013 are based on the final version of cause of death data.</t>
  </si>
  <si>
    <t>Cause of death and year</t>
  </si>
  <si>
    <t>1. Year refers to year of registration of death. Deaths registered in 2020 and earlier are based on the final version of cause of death data; deaths registered in 2021 are based on the revised version; deaths registered in 2022 and 2023 are based on the preliminary version. Revised and preliminary versions are subject to further revision by the Australian Bureau of Statistics (ABS).</t>
  </si>
  <si>
    <t>2. Rates are expressed as deaths per 100,000 population. Age-standardised rates are directly standardised to the Australian estimated resident population at 30 June 2001.</t>
  </si>
  <si>
    <t>Other causes of death</t>
  </si>
  <si>
    <t>Total potentially avoidable</t>
  </si>
  <si>
    <t>n.p.   not published</t>
  </si>
  <si>
    <t>Total all causes of death</t>
  </si>
  <si>
    <t>4. Diseases of the digestive system and Other conditions are not published due to small numbers and risk of re-identification of individuals.</t>
  </si>
  <si>
    <t xml:space="preserve">5. Potentially avoidable deaths are deaths from conditions that are potentially preventable through individualised care and/or treatable through existing primary or hospital care. They are classified using nationally agreed definitions based on cause of death for people aged less than 75 (AIHW 2021. National Healthcare Agreement: PI 16—Potentially avoidable deaths, 2022. Viewed 07 January 2025, &lt;https://meteor.aihw.gov.au/content/index.phtml/itemId/740864&gt;). </t>
  </si>
  <si>
    <t>Remote Australia</t>
  </si>
  <si>
    <t>Remoteness Area and rank</t>
  </si>
  <si>
    <t>Coronavirus disease 2019 (COVID-19) (U07.1, U07.2, U10.9)</t>
  </si>
  <si>
    <t>Quintile 2</t>
  </si>
  <si>
    <t>Quintile 3</t>
  </si>
  <si>
    <t>Quintile 4</t>
  </si>
  <si>
    <t>Exposure to smoke, fire and flames (X00–X09)</t>
  </si>
  <si>
    <t>Malignant neoplasms of thyroid and other endocrine glands (C73–C75)</t>
  </si>
  <si>
    <t>4. Geography is based on area of usual residence—Statistical Local Area Level 2 (SA2)—classified into population-based quintiles by using the Socio-Economic Indexes for Areas (SEIFA) 2021 Index of Relative Socio-Economic Disadvantage (IRSD). Correspondence files are sourced from Socio-Economic Indexes for Areas (SEIFA), Australia, 2021 (ABS 2021). Unknown/missing includes deaths where place of usual residence was overseas, no fixed abode, offshore and migratory, and undefined.</t>
  </si>
  <si>
    <t>1. Year refers to year of registration of death. Deaths registered in 2021 are based on the revised version of cause of death data; deaths registered in 2022 and 2023 are based on the preliminary version. Revised and preliminary versions are subject to further revision by the Australian Bureau of Statistics (ABS).</t>
  </si>
  <si>
    <t>Sex and age group (years)</t>
  </si>
  <si>
    <t>Number of deaths</t>
  </si>
  <si>
    <t>Number of causes</t>
  </si>
  <si>
    <t xml:space="preserve">Average number of causes per death </t>
  </si>
  <si>
    <t>0–14</t>
  </si>
  <si>
    <t>15-24</t>
  </si>
  <si>
    <t>25-44</t>
  </si>
  <si>
    <t>45–54</t>
  </si>
  <si>
    <t>55–64</t>
  </si>
  <si>
    <t>Missing</t>
  </si>
  <si>
    <t>Source: AIHW National Mortality Database.</t>
  </si>
  <si>
    <t>Per cent of deaths</t>
  </si>
  <si>
    <t>One cause</t>
  </si>
  <si>
    <t>Two causes</t>
  </si>
  <si>
    <t>Three causes</t>
  </si>
  <si>
    <t>Four causes</t>
  </si>
  <si>
    <t>Five or more causes</t>
  </si>
  <si>
    <t>Total deaths</t>
  </si>
  <si>
    <t>1. The year refers to year of registration of death. Deaths registered in 2023 are based on the preliminary version and are subject to further revision by the Australian Bureau of Statistics (ABS).</t>
  </si>
  <si>
    <t>Chronic liver disease</t>
  </si>
  <si>
    <t>Senility</t>
  </si>
  <si>
    <t>Parkinson disease</t>
  </si>
  <si>
    <t>Peripheral vascular disease</t>
  </si>
  <si>
    <t>Acute renal failure</t>
  </si>
  <si>
    <t>Atrial fibrillation</t>
  </si>
  <si>
    <t>Respiratory failure</t>
  </si>
  <si>
    <t>Non-rheumatic valvular disease</t>
  </si>
  <si>
    <t>Medical events (external)</t>
  </si>
  <si>
    <t>Other cardiovascular diseases</t>
  </si>
  <si>
    <t>Cancer of secondary site</t>
  </si>
  <si>
    <t>Drug use disorders</t>
  </si>
  <si>
    <t>Frailty</t>
  </si>
  <si>
    <t>Alcohol use disorders</t>
  </si>
  <si>
    <t>Lower respiratory infections</t>
  </si>
  <si>
    <t>Pneumonitis</t>
  </si>
  <si>
    <t>Other neurological conditions</t>
  </si>
  <si>
    <t>Dementia including Alzheimer's disease</t>
  </si>
  <si>
    <t>Cancer unknown primary</t>
  </si>
  <si>
    <t>Lung cancer</t>
  </si>
  <si>
    <t>Heart failure (unspecified)</t>
  </si>
  <si>
    <t>Chronic kidney disease</t>
  </si>
  <si>
    <t>Suicide</t>
  </si>
  <si>
    <t>Cardiac/respiratory arrest</t>
  </si>
  <si>
    <t>Depressive disorders</t>
  </si>
  <si>
    <t>Multiple-organ failure</t>
  </si>
  <si>
    <t>Breast cancer</t>
  </si>
  <si>
    <t>High cholesterol</t>
  </si>
  <si>
    <t>Coronary heart disease</t>
  </si>
  <si>
    <t>Pancreatic cancer</t>
  </si>
  <si>
    <t>Heart failure (specified)</t>
  </si>
  <si>
    <t>Prostate cancer</t>
  </si>
  <si>
    <t>Sepsis</t>
  </si>
  <si>
    <t>Hypertension</t>
  </si>
  <si>
    <t>COVID-19</t>
  </si>
  <si>
    <t>COPD</t>
  </si>
  <si>
    <t>Colorectal cancer</t>
  </si>
  <si>
    <t>Contributory</t>
  </si>
  <si>
    <t>Direct</t>
  </si>
  <si>
    <t xml:space="preserve">Underlying </t>
  </si>
  <si>
    <t>Multiple</t>
  </si>
  <si>
    <t>3. Each death can involve one or more multiple, direct or contributory cause. As a result, the sum of the number and percent deaths over all causes involved, can sum to more than the total.</t>
  </si>
  <si>
    <t>Total number of deaths</t>
  </si>
  <si>
    <t>Unspecified/undetermined</t>
  </si>
  <si>
    <t>Other malignant cancers</t>
  </si>
  <si>
    <t>Ovarian cancer</t>
  </si>
  <si>
    <t>Osteoarthritis</t>
  </si>
  <si>
    <t>Osteoporosis</t>
  </si>
  <si>
    <t>Asphyxiation</t>
  </si>
  <si>
    <t>Tobacco use disorders</t>
  </si>
  <si>
    <t>Liver cancer</t>
  </si>
  <si>
    <t>Sex and rank</t>
  </si>
  <si>
    <t>Underlying</t>
  </si>
  <si>
    <t>Infant &amp; congenital (excluding SIDS)</t>
  </si>
  <si>
    <t>Childhood events</t>
  </si>
  <si>
    <t>Brain cancer</t>
  </si>
  <si>
    <t>Other mental &amp; behavioural disorders</t>
  </si>
  <si>
    <t>Other infectious diseases</t>
  </si>
  <si>
    <t>Other blood &amp; metabolic disorders</t>
  </si>
  <si>
    <t>Support systems</t>
  </si>
  <si>
    <t>Road traffic injuries</t>
  </si>
  <si>
    <t>Multiple (unspecified) injuries</t>
  </si>
  <si>
    <t>All other ill-defined</t>
  </si>
  <si>
    <t>Epilepsy</t>
  </si>
  <si>
    <t>Other unintentional injuries</t>
  </si>
  <si>
    <t>Individual health status</t>
  </si>
  <si>
    <t>Drowning/submersion injuries</t>
  </si>
  <si>
    <t>Personal history self-harm</t>
  </si>
  <si>
    <t>Spinal cord injuries</t>
  </si>
  <si>
    <t>Drowning</t>
  </si>
  <si>
    <t>Suicide ideation</t>
  </si>
  <si>
    <t>Other injuries</t>
  </si>
  <si>
    <t>Other respiratory diseases</t>
  </si>
  <si>
    <t>Influenza</t>
  </si>
  <si>
    <t>Anxiety disorders</t>
  </si>
  <si>
    <t>Sudden infant death syndrome (SIDS)</t>
  </si>
  <si>
    <t>Acute lymphoblastic leukaemia</t>
  </si>
  <si>
    <t>Substances &amp; drugs</t>
  </si>
  <si>
    <t>Other respiratory infections</t>
  </si>
  <si>
    <t>Homicide &amp; violence</t>
  </si>
  <si>
    <t>Foreign body - respiratory tract</t>
  </si>
  <si>
    <t>Convulsions</t>
  </si>
  <si>
    <t>Housing</t>
  </si>
  <si>
    <t>Undetermined intent</t>
  </si>
  <si>
    <t>Intimate partner</t>
  </si>
  <si>
    <t>Traumatic brain injury</t>
  </si>
  <si>
    <t>Policing &amp; justice</t>
  </si>
  <si>
    <t>Employment</t>
  </si>
  <si>
    <t>Economic &amp; education</t>
  </si>
  <si>
    <t>Acute myeloid leukaemia</t>
  </si>
  <si>
    <t>Other community &amp; safety issues</t>
  </si>
  <si>
    <t>Burn injuries</t>
  </si>
  <si>
    <t>Schizophrenia</t>
  </si>
  <si>
    <t>Cardiomyopathy</t>
  </si>
  <si>
    <t>Internal &amp; crush injury</t>
  </si>
  <si>
    <t>Obesity</t>
  </si>
  <si>
    <t>Arrythmias</t>
  </si>
  <si>
    <t>Melanoma of the skin</t>
  </si>
  <si>
    <t>Gastrointestinal haemorrhage (unspecified)</t>
  </si>
  <si>
    <t>Oral cancers</t>
  </si>
  <si>
    <t>Oesophageal cancer</t>
  </si>
  <si>
    <t>Non-Hodgkin lymphoma</t>
  </si>
  <si>
    <t>Interstitial lung disease</t>
  </si>
  <si>
    <t>Urinary tract infections</t>
  </si>
  <si>
    <t>Disorientation/amnesia</t>
  </si>
  <si>
    <t>Hip fracture</t>
  </si>
  <si>
    <t>Hearing &amp; vision diseases</t>
  </si>
  <si>
    <t>3. Each death can involve one or more multiple, direct or contributory cause. As a result, the sum of the number and percent deaths over all causes was involved, can sum to more than the total.</t>
  </si>
  <si>
    <t>Average number of causes</t>
  </si>
  <si>
    <t>Cause group</t>
  </si>
  <si>
    <t>Infectious</t>
  </si>
  <si>
    <t>Infant &amp; congenital</t>
  </si>
  <si>
    <t>Cardiovascular</t>
  </si>
  <si>
    <t>Respiratory</t>
  </si>
  <si>
    <t>Gastrointestinal</t>
  </si>
  <si>
    <t>Neurological</t>
  </si>
  <si>
    <t>Mental &amp; behavioural</t>
  </si>
  <si>
    <t>Endocrine</t>
  </si>
  <si>
    <t>Kidney &amp; urinary</t>
  </si>
  <si>
    <t>Reproductive &amp; maternal</t>
  </si>
  <si>
    <t>Musculoskeletal</t>
  </si>
  <si>
    <t>Hearing &amp; vision</t>
  </si>
  <si>
    <t>Oral</t>
  </si>
  <si>
    <t>Blood &amp; metabolic</t>
  </si>
  <si>
    <t>External</t>
  </si>
  <si>
    <t>Ill-defined</t>
  </si>
  <si>
    <t>Role of cause (per cent)</t>
  </si>
  <si>
    <t>Cause group and cause name</t>
  </si>
  <si>
    <t>Tuberculosis</t>
  </si>
  <si>
    <t>Hepatitis</t>
  </si>
  <si>
    <t>Gastrointestinal infections</t>
  </si>
  <si>
    <t>Laryngeal cancer</t>
  </si>
  <si>
    <t>Stomach cancer</t>
  </si>
  <si>
    <t>Gallbladder cancer</t>
  </si>
  <si>
    <t>Mesothelioma</t>
  </si>
  <si>
    <t>Non-melanoma skin cancer</t>
  </si>
  <si>
    <t>Cervical cancer</t>
  </si>
  <si>
    <t>Uterine cancer</t>
  </si>
  <si>
    <t>Bladder cancer</t>
  </si>
  <si>
    <t>Kidney cancer</t>
  </si>
  <si>
    <t>Thyroid cancer</t>
  </si>
  <si>
    <t>Hodgkin lymphoma</t>
  </si>
  <si>
    <t>Myeloma</t>
  </si>
  <si>
    <t>Other blood cancers</t>
  </si>
  <si>
    <t>Benign/uncertain brain tumour</t>
  </si>
  <si>
    <t>Chronic myeloid leukaemia</t>
  </si>
  <si>
    <t>Chronic lymphocytic leukaemia</t>
  </si>
  <si>
    <t>Other leukaemias</t>
  </si>
  <si>
    <t>Other benign cancers</t>
  </si>
  <si>
    <t>Rheumatic heart disease</t>
  </si>
  <si>
    <t>Inflammatory heart disease</t>
  </si>
  <si>
    <t>Aortic aneurysm</t>
  </si>
  <si>
    <t>Cardiomegaly</t>
  </si>
  <si>
    <t>Upper respiratory conditions</t>
  </si>
  <si>
    <t>Asbestosis</t>
  </si>
  <si>
    <t>Pulmonary oedema</t>
  </si>
  <si>
    <t>Pleural effusion</t>
  </si>
  <si>
    <t>Gastroduodenal disorders</t>
  </si>
  <si>
    <t>Abdominal wall hernia</t>
  </si>
  <si>
    <t>Vascular disorders of intestine</t>
  </si>
  <si>
    <t>Inflammatory bowel disease</t>
  </si>
  <si>
    <t>Diverticulitis</t>
  </si>
  <si>
    <t>Gallbladder diseases</t>
  </si>
  <si>
    <t>Pancreatitis</t>
  </si>
  <si>
    <t>Gastro-oesophageal reflux</t>
  </si>
  <si>
    <t>Peritonitis</t>
  </si>
  <si>
    <t>Other gastrointestinal disorders</t>
  </si>
  <si>
    <t>Dementia including Alzheimer's
disease</t>
  </si>
  <si>
    <t>Multiple sclerosis</t>
  </si>
  <si>
    <t>Motor neurone disease</t>
  </si>
  <si>
    <t>Bipolar affective disorder</t>
  </si>
  <si>
    <t>Intellectual disability</t>
  </si>
  <si>
    <t>Delirium</t>
  </si>
  <si>
    <t>Volume depletion</t>
  </si>
  <si>
    <t>Hypothyroidism (unspecified)</t>
  </si>
  <si>
    <t>Hyperthyroidism</t>
  </si>
  <si>
    <t>Other endocrine disorders</t>
  </si>
  <si>
    <t>Enlarged prostate</t>
  </si>
  <si>
    <t>Kidney stones</t>
  </si>
  <si>
    <t>Interstitial nephritis</t>
  </si>
  <si>
    <t>Other kidney &amp; urinary diseases</t>
  </si>
  <si>
    <t>Gout</t>
  </si>
  <si>
    <t>Rheumatoid arthritis</t>
  </si>
  <si>
    <t>Back pain &amp; problems</t>
  </si>
  <si>
    <t>Other arthropathies</t>
  </si>
  <si>
    <t>Other osteopathies</t>
  </si>
  <si>
    <t>Other musculoskeletal conditions</t>
  </si>
  <si>
    <t>Ulcers</t>
  </si>
  <si>
    <t>Skin infections</t>
  </si>
  <si>
    <t>Other skin disorders</t>
  </si>
  <si>
    <t>Oral disorders</t>
  </si>
  <si>
    <t>Haemolytic anaemias</t>
  </si>
  <si>
    <t>Iron-deficiency anaemia</t>
  </si>
  <si>
    <t>Protein-energy deficiency</t>
  </si>
  <si>
    <t>Acquired &amp; other anaemia</t>
  </si>
  <si>
    <t>Unspecified external factors</t>
  </si>
  <si>
    <t>Inhalation &amp; choking</t>
  </si>
  <si>
    <t>Injury</t>
  </si>
  <si>
    <t>Other fractures</t>
  </si>
  <si>
    <t>Medical events (complications)</t>
  </si>
  <si>
    <t>Gangrene</t>
  </si>
  <si>
    <t>Asphyxia</t>
  </si>
  <si>
    <t>Dysphagia</t>
  </si>
  <si>
    <t>Somnolence, stupor &amp; coma</t>
  </si>
  <si>
    <t>Ill-defined pain</t>
  </si>
  <si>
    <t>Septic shock</t>
  </si>
  <si>
    <t>Haemorrhage</t>
  </si>
  <si>
    <t>Food/fluid intake issues</t>
  </si>
  <si>
    <t>Cachexia</t>
  </si>
  <si>
    <t>Immobility/bed-bound</t>
  </si>
  <si>
    <t>Tendency to fall</t>
  </si>
  <si>
    <t>Ill-defined urinary</t>
  </si>
  <si>
    <t>Cardiogenic shock</t>
  </si>
  <si>
    <t>Psychosocial</t>
  </si>
  <si>
    <t>Experience of violence/trauma</t>
  </si>
  <si>
    <t>Environment</t>
  </si>
  <si>
    <t>Care needs</t>
  </si>
  <si>
    <t>Personal</t>
  </si>
  <si>
    <t>6. Includes coroner-referred deaths only. Psychosocial factors are coded by the Australian Bureau of Statistics (ABS) as part of the annual causes of death collection. For more information see Mortality Coding in Causes of Death, Australia methodology available on the ABS website.</t>
  </si>
  <si>
    <t>5. Each death can involve one or more psychosocial factors. As a result, the sum of the number and per cent of factors involved can sum to more than the number of deaths by the underlying cause.</t>
  </si>
  <si>
    <r>
      <t>4. For examples of factors and circumstances included in each psychosocial group, see 'Psychosocial factors contribute to death'</t>
    </r>
    <r>
      <rPr>
        <i/>
        <sz val="10"/>
        <rFont val="Arial"/>
        <family val="2"/>
      </rPr>
      <t xml:space="preserve"> in What do Australians die from?</t>
    </r>
  </si>
  <si>
    <t>3. For underlying causes of death with less than 5 factors in the table, this does not indicate the absence of other psychosocial factors for these causes. Due to the sensitivity and confidentiality surrounding these circumstances, psychosocial factors with a count of less than 10 are not published.</t>
  </si>
  <si>
    <t>Deaths involved</t>
  </si>
  <si>
    <t>5. Includes coroner-referred deaths only. Psychosocial factors are coded by the Australian Bureau of Statistics (ABS) as part of the annual causes of death collection. For more information see Mortality Coding in Causes of Death, Australia methodology available on the ABS website.</t>
  </si>
  <si>
    <t>4. Each death can involve one or more psychosocial factors. As a result, the sum of the number and per cent of factors involved can sum to more than the number of deaths with a psychosocial factor.</t>
  </si>
  <si>
    <r>
      <t>3. For examples of factors and circumstances included in each psychosocial group, see 'Psychosocial factors contribute to death' in</t>
    </r>
    <r>
      <rPr>
        <i/>
        <sz val="10"/>
        <rFont val="Arial"/>
        <family val="2"/>
      </rPr>
      <t xml:space="preserve"> What do Australians die from?</t>
    </r>
  </si>
  <si>
    <t>Average number of psychosocial factors captured per death</t>
  </si>
  <si>
    <t>Number of deaths involving 1 or more psychosocial factors</t>
  </si>
  <si>
    <t>Psychosocial factor</t>
  </si>
  <si>
    <t>Notes:</t>
  </si>
  <si>
    <t>1. Deaths are counted according to year of registration of death, and state or territory of usual residence.</t>
  </si>
  <si>
    <t>2. Deaths registered in 2021 are based on the revised version of cause of death data; deaths registered in 2022 and 2023 are based on the preliminary version. Revised and preliminary versions are subject to further revision by the Australian Bureau of Statistics.</t>
  </si>
  <si>
    <t>5. Geography is based on area of usual residence—Statistical Local Area Level 2 (SA2)—classified according to Remoteness Area 2021. Correspondence files are sourced from Australian Statistical Geography Standard (ASGS) Edition 3: Remoteness Structure (ABS 2021). Unknown/missing includes deaths where place of usual residence was overseas, no fixed abode, offshore and migratory, and undefined.</t>
  </si>
  <si>
    <t>ASR  age-standardised death rate</t>
  </si>
  <si>
    <t>Per cent of total deaths (all ages)</t>
  </si>
  <si>
    <t>3. Deaths registered in 2020 and earlier are based on the final version of cause of death data; deaths registered in 2021 are based on the revised version; and deaths registered in 2022 and 2023 are based on the preliminary version. Revised and preliminary versions are subject to further revision by the Australian Bureau of Statistics.</t>
  </si>
  <si>
    <t>Table S8.1: Number of deaths and number of causes recorded per death (%), 2015, 2019 and 2023</t>
  </si>
  <si>
    <t>Table S8.3: Average number of causes per death, by cause group of the underlying cause, 2023</t>
  </si>
  <si>
    <t>Hypertensive heart &amp; renal disease</t>
  </si>
  <si>
    <t>Intestinal obstruction without hernia</t>
  </si>
  <si>
    <t>Reproductive &amp; maternal conditions</t>
  </si>
  <si>
    <t xml:space="preserve">3. The sum of the percentage involvement of  each cause type (underlying, direct and contributory) may not sum to the 100 due to rounding. </t>
  </si>
  <si>
    <t>Table S8.4: Cause of death, per cent involvement by cause type, cause group and specific causes, 2023</t>
  </si>
  <si>
    <t>Other degenerative neurological diseases</t>
  </si>
  <si>
    <t>Table S8.2: Number of deaths, number of causes, and average number of causes per death, by sex and age group, for years 2015, 2019 and 2023</t>
  </si>
  <si>
    <t>Age group 
and rank</t>
  </si>
  <si>
    <t>4. Each death can involve one or more psychosocial factors. As a result, the sum of the number and per cent of factors involved can sum to more than the number of deaths in each sex and age group.</t>
  </si>
  <si>
    <t>6. Cells with a number of deaths less than 10 have been suppressed.</t>
  </si>
  <si>
    <t>Personal history
self-harm</t>
  </si>
  <si>
    <t>Other community &amp; safety
issues</t>
  </si>
  <si>
    <t>Number of deaths due to Coronary heart
disease involving 1 or more psychosocial factors</t>
  </si>
  <si>
    <t>Number of deaths due to Accidental
poisoning involving 1 or more psychosocial factors</t>
  </si>
  <si>
    <t>Number of deaths due to Falls involving 1 or more psychosocial factors</t>
  </si>
  <si>
    <t>Number of deaths due to Suicide involving 1 or more psychosocial factors</t>
  </si>
  <si>
    <t>Number of deaths due to Road traffic injuries involving 1 or more psychosocial factors</t>
  </si>
  <si>
    <t>Skin cancer</t>
  </si>
  <si>
    <t>6. Leading 10 causes of potentially avoidable deaths. Deaths with counts less than 20 were excluded from the table. Any causes of death with sex breakdowns resulting in the re-identification of small numbers were also excluded.</t>
  </si>
  <si>
    <t>1. Deaths are counted according to year of registration of death.</t>
  </si>
  <si>
    <t xml:space="preserve">3. Potentially avoidable deaths are deaths from conditions that are potentially preventable through individualised care and/or treatable through existing primary or hospital care. They are classified using nationally agreed definitions based on cause of death for people aged less than 75 (AIHW 2021. National Healthcare Agreement: PI 16—Potentially avoidable deaths, 2022. Viewed 07 January 2025, &lt;https://meteor.aihw.gov.au/content/index.phtml/itemId/740864&gt;). </t>
  </si>
  <si>
    <t>4. Leading 20 causes of potentially avoidable deaths. Deaths with counts less than 20 were excluded from the table. Any causes of death with sex breakdowns resulting in the re-identification of small numbers were also excluded.</t>
  </si>
  <si>
    <t>Ischaemic/Coronary heart disease</t>
  </si>
  <si>
    <t>Table S8.5: Most common causes of death, number and per cent of deaths, by cause type and sex, 2023</t>
  </si>
  <si>
    <t>Table S8.6: Most common causes of death, number and per cent of deaths, by cause type and age group, 2023</t>
  </si>
  <si>
    <t>Number of deaths due to Homicide &amp; violence involving 1 or more psychosocial factors</t>
  </si>
  <si>
    <t xml:space="preserve">2. Cause groups and specific causes are based on the cause list used for reporting on multiple causes of death as described in the Technical notes. </t>
  </si>
  <si>
    <t>n.p.</t>
  </si>
  <si>
    <r>
      <rPr>
        <i/>
        <sz val="10"/>
        <rFont val="Arial"/>
        <family val="2"/>
      </rPr>
      <t>Source:</t>
    </r>
    <r>
      <rPr>
        <sz val="10"/>
        <rFont val="Arial"/>
        <family val="2"/>
      </rPr>
      <t xml:space="preserve"> AIHW National Mortality Database.</t>
    </r>
  </si>
  <si>
    <r>
      <t>Source:</t>
    </r>
    <r>
      <rPr>
        <sz val="10"/>
        <rFont val="Arial"/>
        <family val="2"/>
      </rPr>
      <t xml:space="preserve"> AIHW National Mortality Database.</t>
    </r>
  </si>
  <si>
    <r>
      <t xml:space="preserve">Source: </t>
    </r>
    <r>
      <rPr>
        <sz val="10"/>
        <rFont val="Arial"/>
        <family val="2"/>
      </rPr>
      <t>AIHW National Mortality Database.</t>
    </r>
  </si>
  <si>
    <r>
      <rPr>
        <i/>
        <sz val="10"/>
        <rFont val="Arial"/>
        <family val="2"/>
      </rPr>
      <t>Sources:</t>
    </r>
    <r>
      <rPr>
        <sz val="10"/>
        <rFont val="Arial"/>
        <family val="2"/>
      </rPr>
      <t xml:space="preserve"> ABS (2014a) Australian Historical Population Statistics, 2014, ABS cat. no. 3105.0.65.001, ABS, Australian Government. ABS (2014b) Life Tables, States, Territories and Australia, 2011–2013, ABS cat. no. 3302.0.55.001, ABS, Australian Government. ABS (2015) Life Tables, States, Territories and Australia, 2012–2014, ABS cat. no. 3302.0.55.001, ABS, Australian Government. ABS (2016) Life Tables, States, Territories and Australia, 2013–2015, ABS cat. no. 3302.0.55.001, ABS, Australian Government. ABS (2017) Life Tables, States, Territories and Australia, 2014–2016, ABS cat. no. 3302.0.55.001, ABS, Australian Government. ABS (2018a) Life Tables, States, Territories and Australia, 2015–2017, ABS cat. no. 3302.0.55.001, ABS, Australian Government. ABS (2019) Life Tables, States, Territories and Australia, 2016–2018, ABS cat. no. 3302.0.55.001, ABS, Australian Government. ABS (2020) Life Tables, States, Territories and Australia, 2017–2019, ABS cat. no. 3302.0.55.001, ABS, Australian Government. ABS (2021) Life Tables, States, Territories and Australia, 2018–2020, ABS cat. no. 3302.0.55.001, ABS, Australian Government. ABS (2022) Life Tables, States, Territories and Australia, 2019–2021, ABS cat. no. 3302.0.55.001, ABS, Australian Government.  ABS (2023) Life tables, states, territories and Australia - 2020-2022, ABS, Australian Government. ABS (2024) Life tables, age and sex by state and territory of usual residence, 2021-2023, ABS, Australian Government.</t>
    </r>
  </si>
  <si>
    <t xml:space="preserve">1. The life expectancy values for Australia, Colombia, Ireland, Israel, Japan, Korea, New Zealand, Norway, Türkiye and the United Kingdom are for 2022. The life expectancy values for Canada and the United States are for 2021. The 2023 life expectancy values for these countries were not available at time of publication. </t>
  </si>
  <si>
    <r>
      <t xml:space="preserve">Source: </t>
    </r>
    <r>
      <rPr>
        <sz val="10"/>
        <rFont val="Arial"/>
        <family val="2"/>
      </rPr>
      <t>OECD (Organisation of Economic Cooperation and Development) (2025), "Health status", OECD Health Statistics (database), https://doi.org/10.1787/data-00540-en (accessed on 13 January 2025).</t>
    </r>
  </si>
  <si>
    <t>3. Per cent of total deaths (all ages), described in table Table S6.1: Deaths by sex, number and rates (deaths per 100,000 population), 1907–2023.</t>
  </si>
  <si>
    <t>ASR (deaths per 100,000)</t>
  </si>
  <si>
    <t>Leading 10 causes combined</t>
  </si>
  <si>
    <t>Leading 5 causes combined</t>
  </si>
  <si>
    <t>4. The leading 5 causes of death for deaths under 1 year are reported due to maintain sensitivity around small numbers.</t>
  </si>
  <si>
    <t>Age-specific rates (deaths per 100,000)</t>
  </si>
  <si>
    <t>Crude rate (deaths per 100,000)</t>
  </si>
  <si>
    <t>Rate (deaths per 100,000)</t>
  </si>
  <si>
    <t>3. Data is presented by year of registration of death. Prior to the 2022 data release, data was presented by the reference year in which the death was received and processed by the Australian Bureau of Statistics. As a result, data in this table may not equal previously published data for these years. For more detail, refer to Data collection: Presentation of mortality data in Causes of death, Australia, methodology, 2022 (https://www.abs.gov.au/methodologies/causes-death-australia-methodology/2022#data-collection).</t>
  </si>
  <si>
    <t>Chronic obstructive pulmonary disease</t>
  </si>
  <si>
    <t>Leading 20 causes combined</t>
  </si>
  <si>
    <t>Chronic obstructive pulmonary disease (J40–J44)</t>
  </si>
  <si>
    <t>ASR     age-standardised rate</t>
  </si>
  <si>
    <t>4. Data is presented by year of registration of death. Prior to the 2022 data release, data was presented by the reference year in which the death was received and processed by the Australian Bureau of Statistics. As a result, data in this table may not equal previously published data for these years. For more detail, refer to Data collection: Presentation of mortality data in Causes of death, Australia, methodology, 2022 (https://www.abs.gov.au/methodologies/causes-death-australia-methodology/2022#data-collection).</t>
  </si>
  <si>
    <t>4. Geography is based on area of usual residence—Statistical Local Area Level 2 (SA2)—classified according to Remoteness Area 2021. Correspondence files are sourced from Australian Statistical Geography Standard (ASGS) 
Edition 3: Remoteness Structure (ABS 2021). Unknown/missing includes deaths where place of usual residence was overseas, no fixed abode, offshore and migratory, and undefined.</t>
  </si>
  <si>
    <t xml:space="preserve">All other deaths less than age 75 </t>
  </si>
  <si>
    <t>Total deaths less than age 75</t>
  </si>
  <si>
    <t>Socio- economic Area and rank</t>
  </si>
  <si>
    <t>Crude rate
(deaths per 100,000)</t>
  </si>
  <si>
    <t>ASR 
(deaths per 100,000)</t>
  </si>
  <si>
    <t>1. Year refers to year of registration of death.</t>
  </si>
  <si>
    <t>Note: Year refers to year of registration of death.</t>
  </si>
  <si>
    <t>Coronary (ischaemic) heart disease</t>
  </si>
  <si>
    <t>3. Deaths registered in 2021 are based on the revised version; and deaths registered in 2022 and 2023 are based on the preliminary version. Revised and preliminary versions are subject to further revision by the Australian Bureau of Statistics.</t>
  </si>
  <si>
    <t>Psychosocial factors involved</t>
  </si>
  <si>
    <t>COPD (J40–J44)</t>
  </si>
  <si>
    <t>Back to contents</t>
  </si>
  <si>
    <t>2. Comparisons of potentially avoidable deaths to years which include deaths that are not in final verison (2021, 2022, 2023) should be interpreted with caution.</t>
  </si>
  <si>
    <t>Table S6.3: Leading underlying causes of death, number, per cent of all deaths and age-standardised death rates, by sex, 2013</t>
  </si>
  <si>
    <t>Table S7.1: Leading underlying causes of death, number, per cent of all deaths and rates, Aboriginal and Torres Strait Islander (First Nations) people, NSW, Qld, WA, SA and NT, 2021-2023</t>
  </si>
  <si>
    <t>Table S7.2: Leading underlying causes of death, number, per cent of all deaths and rates, non-Indigenous people, NSW, Qld, WA, SA and NT, 2021-2023</t>
  </si>
  <si>
    <t>Table S2.3: Potential years of life lost before age 75, number and rate, by sex, 1907–2023</t>
  </si>
  <si>
    <t>Table S2.2: Child deaths (aged 0–4), number, per cent of all deaths and rates (per 100,000 population), by sex, 1907–2023</t>
  </si>
  <si>
    <t>Table S3.2: Leading underlying causes of death, number, per cent of all deaths and age-specific rates, by sex and age group, 2023</t>
  </si>
  <si>
    <t>Table S4.1: Deaths due to COVID-19, number and age-specific rates, by age and sex, 2023</t>
  </si>
  <si>
    <t>Table S5.1: Potentially avoidable deaths (among people aged under 75), numbers, per cent and rates, by sex, 1997–2023</t>
  </si>
  <si>
    <t>Table S6.1: Deaths, number and rates, by sex, 1907–2023</t>
  </si>
  <si>
    <t>Table S6.2: Deaths by broad cause of death, number and rates, 1907–2023</t>
  </si>
  <si>
    <r>
      <t>Table S6.4: Leading underlying causes of death, number, per cent of all deaths and age-standardised death rates, by sex, 2013</t>
    </r>
    <r>
      <rPr>
        <b/>
        <sz val="11"/>
        <rFont val="Aptos Narrow"/>
        <family val="2"/>
      </rPr>
      <t>–</t>
    </r>
    <r>
      <rPr>
        <b/>
        <sz val="11"/>
        <rFont val="Arial"/>
        <family val="2"/>
        <scheme val="minor"/>
      </rPr>
      <t>2023</t>
    </r>
  </si>
  <si>
    <t>Table S7.3: Leading potentially avoidable cause of death (among people aged under 75), number, per cent and rates, by Indigenous status and sex, NSW, Qld, WA, SA and NT, 2021-2023</t>
  </si>
  <si>
    <t>Quintile 1 (lowest socioeconomic area)</t>
  </si>
  <si>
    <t>Quintile 5 (highest socioeconomic area)</t>
  </si>
  <si>
    <t>Other accidental threats to breathing</t>
  </si>
  <si>
    <t>Viral pneumonia and influenza</t>
  </si>
  <si>
    <r>
      <t>Source:</t>
    </r>
    <r>
      <rPr>
        <sz val="10"/>
        <rFont val="Arial"/>
        <family val="2"/>
      </rPr>
      <t xml:space="preserve"> AIHW (2025) General Record of Incidence of Mortality (GRIM) books (2023): All causes combined, AIHW, Australian Government.</t>
    </r>
    <r>
      <rPr>
        <i/>
        <sz val="10"/>
        <rFont val="Arial"/>
        <family val="2"/>
      </rPr>
      <t xml:space="preserve"> https://www.aihw.gov.au/reports/life-expectancy-deaths/grim-books/contents/grim-excel-workbooks</t>
    </r>
  </si>
  <si>
    <r>
      <t>Source:</t>
    </r>
    <r>
      <rPr>
        <sz val="10"/>
        <rFont val="Arial"/>
        <family val="2"/>
      </rPr>
      <t xml:space="preserve"> AIHW (2025) General Record of Incidence of Mortality (GRIM) books (2023): Coronavirus disease 2019 (COVID-19), AIHW, Australian Government</t>
    </r>
    <r>
      <rPr>
        <i/>
        <sz val="10"/>
        <rFont val="Arial"/>
        <family val="2"/>
      </rPr>
      <t>. https://www.aihw.gov.au/reports/life-expectancy-deaths/grim-books/contents/grim-excel-workbooks</t>
    </r>
  </si>
  <si>
    <t>6. Rates are expressed as deaths per 100,000 population. Crude rates are calculated using the estimated resident population at 30 June for each year. Age-standardised rates are directly standardised to the Australian estimated resident population at 30 June 2001.</t>
  </si>
  <si>
    <t>5. Per cent of all deaths of people aged under 75 years.</t>
  </si>
  <si>
    <t>2. Deaths registered in 2023 are based on the preliminary versionand are subject to further revision by the Australian Bureau of Statistics.</t>
  </si>
  <si>
    <t>3. Broad causes of death are based on underlying cause of death and classified according International Statistical Classification of Diseases and Related Health Problems, 10th revision (ICD-10) chapters: cardiovascular diseases (I00–I99), cancers (C00–D48), respiratory diseases (J00–J48), infectious diseases (A00–B99), injury and poisoning (V01–Y98). Data for chapter-level causes of death are collated from the AIHW General Record of Incidence of Mortality (GRIM) books: GRIM0100 All certain infectious and parasitic diseases (A00–B99), GRIM0200 All neoplasms (C00-D48), GRIM0900 All diseases of the circulatory system (I00–I99), GRIM1000 All diseases of the respiratory system (J00–J99), and GRIM2000 All external causes of morbidity and mortality (V01–Y98)</t>
  </si>
  <si>
    <r>
      <t>Source:</t>
    </r>
    <r>
      <rPr>
        <sz val="10"/>
        <rFont val="Arial"/>
        <family val="2"/>
      </rPr>
      <t xml:space="preserve"> AIHW General Record of Incidence of Mortality (GRIM) books, https://www.aihw.gov.au/reports/life-expectancy-deaths/grim-books/contents/about; AIHW</t>
    </r>
    <r>
      <rPr>
        <i/>
        <sz val="10"/>
        <rFont val="Arial"/>
        <family val="2"/>
      </rPr>
      <t xml:space="preserve"> National Mortality Database</t>
    </r>
  </si>
  <si>
    <t>5. Rates are calculated using the sum of estimated resident populations at 30 June for each year. Rates are expressed as deaths per 100,000 population.</t>
  </si>
  <si>
    <t>2. Analysis includes only coroner-referred deaths.</t>
  </si>
  <si>
    <t xml:space="preserve">3. Cause groups and specific causes are based on the cause list used for reporting on multiple causes of death as described in the Technical notes. </t>
  </si>
  <si>
    <t>4. Each death can involve more than 1 psychocosial factor. As a result, the sum of the number and the sum of the per cent of factors, can be more than the total.</t>
  </si>
  <si>
    <t>5. Geography is based on area of usual residence—Statistical Local Area Level 2 (SA2)—classified into population-based quintiles by using the Socio-Economic Indexes for Areas (SEIFA) 2021 Index of Relative Socio-Economic Disadvantage (IRSD). Correspondence files are sourced from Socio-Economic Indexes for Areas (SEIFA), Australia, 2021 (ABS 2021). Unknown/missing includes deaths where place of usual residence was overseas, no fixed abode, offshore and migratory, and undefined.</t>
  </si>
  <si>
    <t>COPD      Chronic obstructive pulmonary disease</t>
  </si>
  <si>
    <t xml:space="preserve">COPD      </t>
  </si>
  <si>
    <t>..   </t>
  </si>
  <si>
    <t>Table S8.10: Most common causes of death, number and per cent of deaths, by cause type and Socioeconomic area, 2021–2023</t>
  </si>
  <si>
    <t>Table S8.7: Most commonly involved psychosocial factors, coroner-referred deaths, number and per cent , by sex, 2023</t>
  </si>
  <si>
    <r>
      <t>4. For deaths aged 0</t>
    </r>
    <r>
      <rPr>
        <sz val="10"/>
        <rFont val="Aptos Narrow"/>
        <family val="2"/>
      </rPr>
      <t>–</t>
    </r>
    <r>
      <rPr>
        <sz val="10"/>
        <rFont val="Arial"/>
        <family val="2"/>
      </rPr>
      <t>14 years, the most common 10 causes by cause type are reported due to maintain sensitivity around small numbers.</t>
    </r>
  </si>
  <si>
    <t>..  </t>
  </si>
  <si>
    <t>..  not applicable</t>
  </si>
  <si>
    <t xml:space="preserve">1. Year refers to year of registration of death. Deaths registered in 2023 are based on the preliminary version and are subject to further revision by the Australian Bureau of Statistics (ABS). Deaths registered in 2015 and 2019 are based on final versions. </t>
  </si>
  <si>
    <t>Table S7.6: Leading underlying causes of death, number, per cent and rates, by sex and Socioeconomic area, 2021-2023</t>
  </si>
  <si>
    <t>Table S7.5: Leading potentially avoidable cause of death (among people aged under 75), number, per cent and rates, by sex and Remoteness area, 2021–2023</t>
  </si>
  <si>
    <t>Inner regional Australia</t>
  </si>
  <si>
    <t>Major cities of Australia</t>
  </si>
  <si>
    <t>Outer regional Australia</t>
  </si>
  <si>
    <t>Very remote Australia</t>
  </si>
  <si>
    <t>Table S7.4: Leading underlying causes of death, number, per cent and rates, by sex and Remoteness area, 2021-2023</t>
  </si>
  <si>
    <t>4. The broad cause group 'Other' includes deaths that are not included in one of the specified broad causes in this table.</t>
  </si>
  <si>
    <t>Number
(person-years)</t>
  </si>
  <si>
    <t>Rate 
(person-years per 1,000)</t>
  </si>
  <si>
    <t>Table S7.7: Leading potentially avoidable cause of death (among people aged under 75), number, per cent and rates, by sex, by sex and Socioeconomic area, 2021–2023</t>
  </si>
  <si>
    <t>Infections</t>
  </si>
  <si>
    <t>Diseases of the circulatory system</t>
  </si>
  <si>
    <t>Diseases of the genitourinary system</t>
  </si>
  <si>
    <t>Diseases of the respiratory system</t>
  </si>
  <si>
    <t>Diseases of the digestive system</t>
  </si>
  <si>
    <t>Maternal &amp; infant causes</t>
  </si>
  <si>
    <t>External causes</t>
  </si>
  <si>
    <t>Other conditions</t>
  </si>
  <si>
    <t>4. Other conditions includes complications of pregnancy, labour or the puerperium.</t>
  </si>
  <si>
    <t>Broad cause of death group</t>
  </si>
  <si>
    <t>5. Per cent of total deaths less than age 75.</t>
  </si>
  <si>
    <t>ASR    age-standardised rate</t>
  </si>
  <si>
    <t>COPD    Chronic obstructive pulmonary disease</t>
  </si>
  <si>
    <t>Table S5.3: Leading potentially avoidable deaths (among people aged under 75), number, per cent and rates (deaths per 100,000 population), by sex, 2023</t>
  </si>
  <si>
    <t>..     not applicable</t>
  </si>
  <si>
    <t>Table S5.2: Potentially avoidable causes of death (among people aged under 75), number, per cent and rates (deaths per 100,000 population), by sex and broad cause groups, 2023</t>
  </si>
  <si>
    <t>Table S8.8: Most common psychosocial factors, coroner-referred deaths, number and per cent of deaths, by underlying cause and sex, 2023</t>
  </si>
  <si>
    <t>Table S8.11: Most commonly recorded psychosocial factors, coroner-referred deaths, number and per cent of deaths, by sex and Socioeconomic area (quintile), 2021–2023</t>
  </si>
  <si>
    <t>Table S8.9: Most common psychosocial factors, coroner-referred deaths, number and per cent of deaths, by sex and age group, 2023</t>
  </si>
  <si>
    <t>6. Leading 20 causes of potentially avoidable deaths. Deaths with counts less than 20 were excluded from the table (n.p.). Any causes of death with sex breakdowns resulting in the re-identification of small numbers were suppressed (n.p.).</t>
  </si>
  <si>
    <t>n.p.      not published.</t>
  </si>
  <si>
    <t>7. Due to the small counts the name of the psychosocial factor has been suppressed (n.p.). The rows have been maintained to indicate that there were other factors present in the list, however due to the small counts and sensitivity of the data, cell contents are suppresed.</t>
  </si>
  <si>
    <t>Table S3.1: Leading underlying causes of death, number, per cent of all deaths and age-standardised death rates, by sex, 2023</t>
  </si>
  <si>
    <t>1. Year refers to year of registration of death. Deaths registered in 2023 are based on the preliminary version and are subject to further revision by the Australian Bureau of Statistics.</t>
  </si>
  <si>
    <t>Table S8.12: Coroner-referred deaths, number and per cent with at least one psychosocial factor, 2023</t>
  </si>
  <si>
    <t>All other causes</t>
  </si>
  <si>
    <t>Deaths</t>
  </si>
  <si>
    <t>Underlying cause</t>
  </si>
  <si>
    <t>Deaths with at least 
1 psychosocial factor</t>
  </si>
  <si>
    <t xml:space="preserve">2. Causes are based on the cause list used for reporting on multiple causes of death as described in the Technical notes. </t>
  </si>
  <si>
    <r>
      <t>3. For examples of factors and circumstances included in each psychosocial group, see 'Psychosocial factors contribute to death'</t>
    </r>
    <r>
      <rPr>
        <i/>
        <sz val="10"/>
        <rFont val="Arial"/>
        <family val="2"/>
      </rPr>
      <t xml:space="preserve"> in What do Australians die from?</t>
    </r>
  </si>
  <si>
    <t>4. Each death can involve one or more psychosocial factors. As a result, the sum of the number and per cent of factors involved can sum to more than the number of deaths by the underlying cause.</t>
  </si>
  <si>
    <t>15–29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</si>
</sst>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0.0%"/>
    <numFmt numFmtId="166" formatCode="0.0"/>
    <numFmt numFmtId="167" formatCode="###0.0"/>
    <numFmt numFmtId="168" formatCode="_-* #,##0_-;\-* #,##0_-;_-* &quot;-&quot;??_-;_-@_-"/>
  </numFmts>
  <fonts count="45" x14ac:knownFonts="1">
    <font>
      <sz val="11"/>
      <color theme="1"/>
      <name val="Arial"/>
      <family val="2"/>
      <scheme val="minor"/>
    </font>
    <font>
      <sz val="10"/>
      <name val="Arial"/>
      <family val="2"/>
    </font>
    <font>
      <sz val="8"/>
      <color theme="1"/>
      <name val="Arial"/>
      <family val="2"/>
    </font>
    <font>
      <b/>
      <sz val="10"/>
      <color theme="1"/>
      <name val="Book Antiqua"/>
      <family val="1"/>
    </font>
    <font>
      <b/>
      <sz val="8"/>
      <color theme="1"/>
      <name val="Arial"/>
      <family val="2"/>
    </font>
    <font>
      <sz val="7"/>
      <color theme="1"/>
      <name val="Arial"/>
      <family val="2"/>
    </font>
    <font>
      <u/>
      <sz val="11"/>
      <color theme="10"/>
      <name val="Arial"/>
      <family val="2"/>
      <scheme val="minor"/>
    </font>
    <font>
      <sz val="11"/>
      <color theme="1"/>
      <name val="Calibri"/>
      <family val="2"/>
    </font>
    <font>
      <b/>
      <sz val="14"/>
      <color theme="1"/>
      <name val="Calibri"/>
      <family val="2"/>
    </font>
    <font>
      <sz val="11"/>
      <color theme="1"/>
      <name val="Arial"/>
      <family val="2"/>
      <scheme val="minor"/>
    </font>
    <font>
      <b/>
      <sz val="11"/>
      <color theme="1"/>
      <name val="Arial"/>
      <family val="2"/>
      <scheme val="minor"/>
    </font>
    <font>
      <b/>
      <sz val="14"/>
      <color theme="1"/>
      <name val="Arial"/>
      <family val="2"/>
      <scheme val="minor"/>
    </font>
    <font>
      <sz val="11"/>
      <name val="Arial"/>
      <family val="2"/>
      <scheme val="minor"/>
    </font>
    <font>
      <b/>
      <sz val="12"/>
      <color theme="1"/>
      <name val="Arial"/>
      <family val="2"/>
      <scheme val="minor"/>
    </font>
    <font>
      <b/>
      <sz val="11"/>
      <name val="Arial"/>
      <family val="2"/>
      <scheme val="minor"/>
    </font>
    <font>
      <i/>
      <sz val="11"/>
      <name val="Arial"/>
      <family val="2"/>
      <scheme val="minor"/>
    </font>
    <font>
      <b/>
      <sz val="10"/>
      <name val="Arial"/>
      <family val="2"/>
      <scheme val="minor"/>
    </font>
    <font>
      <sz val="10"/>
      <color theme="1"/>
      <name val="Arial"/>
      <family val="2"/>
      <scheme val="minor"/>
    </font>
    <font>
      <sz val="10"/>
      <name val="Arial"/>
      <family val="2"/>
      <scheme val="minor"/>
    </font>
    <font>
      <i/>
      <sz val="10"/>
      <name val="Arial"/>
      <family val="2"/>
      <scheme val="minor"/>
    </font>
    <font>
      <sz val="10"/>
      <color theme="1"/>
      <name val="Calibri"/>
      <family val="2"/>
    </font>
    <font>
      <b/>
      <i/>
      <sz val="11"/>
      <color theme="1"/>
      <name val="Arial"/>
      <family val="2"/>
      <scheme val="minor"/>
    </font>
    <font>
      <sz val="10"/>
      <color rgb="FFFF0000"/>
      <name val="Arial"/>
      <family val="2"/>
      <scheme val="minor"/>
    </font>
    <font>
      <b/>
      <sz val="10"/>
      <color theme="1"/>
      <name val="Arial"/>
      <family val="2"/>
      <scheme val="minor"/>
    </font>
    <font>
      <i/>
      <sz val="10"/>
      <color theme="1"/>
      <name val="Arial"/>
      <family val="2"/>
      <scheme val="minor"/>
    </font>
    <font>
      <b/>
      <sz val="10"/>
      <name val="Arial"/>
      <family val="2"/>
    </font>
    <font>
      <sz val="10"/>
      <color theme="1"/>
      <name val="Arial"/>
      <family val="2"/>
    </font>
    <font>
      <i/>
      <sz val="10"/>
      <name val="Arial"/>
      <family val="2"/>
    </font>
    <font>
      <i/>
      <sz val="10"/>
      <color theme="1"/>
      <name val="Arial"/>
      <family val="2"/>
    </font>
    <font>
      <b/>
      <sz val="10"/>
      <color theme="1"/>
      <name val="Arial"/>
      <family val="2"/>
    </font>
    <font>
      <sz val="10"/>
      <color rgb="FFFF0000"/>
      <name val="Arial"/>
      <family val="2"/>
    </font>
    <font>
      <i/>
      <sz val="10"/>
      <color rgb="FFFF0000"/>
      <name val="Arial"/>
      <family val="2"/>
    </font>
    <font>
      <b/>
      <sz val="11"/>
      <name val="Arial"/>
      <family val="2"/>
    </font>
    <font>
      <sz val="8"/>
      <name val="Arial"/>
      <family val="2"/>
      <scheme val="minor"/>
    </font>
    <font>
      <sz val="11"/>
      <color rgb="FFFF0000"/>
      <name val="Calibri"/>
      <family val="2"/>
    </font>
    <font>
      <sz val="11"/>
      <color theme="1"/>
      <name val="Arial"/>
      <family val="2"/>
    </font>
    <font>
      <sz val="11"/>
      <name val="Arial"/>
      <family val="2"/>
    </font>
    <font>
      <b/>
      <sz val="10"/>
      <color rgb="FFFF0000"/>
      <name val="Arial"/>
      <family val="2"/>
    </font>
    <font>
      <sz val="8"/>
      <name val="Arial"/>
      <family val="2"/>
    </font>
    <font>
      <sz val="9.5"/>
      <color rgb="FF000000"/>
      <name val="Arial"/>
      <family val="2"/>
    </font>
    <font>
      <sz val="9.5"/>
      <color rgb="FF000000"/>
      <name val="Arial"/>
      <family val="2"/>
    </font>
    <font>
      <b/>
      <i/>
      <sz val="10"/>
      <name val="Arial"/>
      <family val="2"/>
    </font>
    <font>
      <i/>
      <sz val="11"/>
      <color theme="1"/>
      <name val="Arial"/>
      <family val="2"/>
      <scheme val="minor"/>
    </font>
    <font>
      <b/>
      <sz val="11"/>
      <name val="Aptos Narrow"/>
      <family val="2"/>
    </font>
    <font>
      <sz val="10"/>
      <name val="Aptos Narrow"/>
      <family val="2"/>
    </font>
  </fonts>
  <fills count="5">
    <fill>
      <patternFill patternType="none"/>
    </fill>
    <fill>
      <patternFill patternType="gray125"/>
    </fill>
    <fill>
      <patternFill patternType="solid">
        <fgColor indexed="65"/>
        <bgColor indexed="64"/>
      </patternFill>
    </fill>
    <fill>
      <patternFill patternType="solid">
        <fgColor theme="6" tint="0.79998168889431442"/>
        <bgColor indexed="65"/>
      </patternFill>
    </fill>
    <fill>
      <patternFill patternType="solid">
        <fgColor theme="0"/>
        <bgColor indexed="64"/>
      </patternFill>
    </fill>
  </fills>
  <borders count="7">
    <border>
      <left/>
      <right/>
      <top/>
      <bottom/>
      <diagonal/>
    </border>
    <border>
      <left/>
      <right/>
      <top/>
      <bottom style="thin">
        <color indexed="8"/>
      </bottom>
      <diagonal/>
    </border>
    <border>
      <left/>
      <right/>
      <top/>
      <bottom style="thin">
        <color indexed="64"/>
      </bottom>
      <diagonal/>
    </border>
    <border>
      <left/>
      <right/>
      <top style="thin">
        <color indexed="64"/>
      </top>
      <bottom/>
      <diagonal/>
    </border>
    <border>
      <left/>
      <right/>
      <top style="thin">
        <color indexed="8"/>
      </top>
      <bottom style="thin">
        <color indexed="8"/>
      </bottom>
      <diagonal/>
    </border>
    <border>
      <left/>
      <right/>
      <top style="thin">
        <color indexed="64"/>
      </top>
      <bottom style="thin">
        <color indexed="64"/>
      </bottom>
      <diagonal/>
    </border>
    <border>
      <left/>
      <right/>
      <top style="thin">
        <color indexed="64"/>
      </top>
      <bottom style="thin">
        <color indexed="8"/>
      </bottom>
      <diagonal/>
    </border>
  </borders>
  <cellStyleXfs count="15">
    <xf numFmtId="0" fontId="0" fillId="0" borderId="0"/>
    <xf numFmtId="0" fontId="2" fillId="3" borderId="0" applyNumberFormat="0" applyBorder="0" applyAlignment="0" applyProtection="0"/>
    <xf numFmtId="49" fontId="2" fillId="2" borderId="0" applyProtection="0">
      <alignment horizontal="right" wrapText="1"/>
    </xf>
    <xf numFmtId="49" fontId="3" fillId="2" borderId="0" applyNumberFormat="0" applyFill="0" applyBorder="0" applyAlignment="0" applyProtection="0">
      <alignment horizontal="right"/>
    </xf>
    <xf numFmtId="49" fontId="4" fillId="2" borderId="0" applyNumberFormat="0" applyFill="0" applyBorder="0" applyAlignment="0" applyProtection="0">
      <alignment horizontal="right"/>
    </xf>
    <xf numFmtId="49" fontId="5" fillId="2" borderId="0" applyNumberFormat="0" applyFill="0" applyBorder="0" applyAlignment="0" applyProtection="0">
      <alignment horizontal="right"/>
    </xf>
    <xf numFmtId="49" fontId="4" fillId="2" borderId="0" applyNumberFormat="0" applyFill="0" applyBorder="0" applyProtection="0">
      <alignment horizontal="center"/>
    </xf>
    <xf numFmtId="0" fontId="6" fillId="0" borderId="0" applyNumberFormat="0" applyFill="0" applyBorder="0" applyAlignment="0" applyProtection="0"/>
    <xf numFmtId="0" fontId="1" fillId="0" borderId="0"/>
    <xf numFmtId="9"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0" fontId="9" fillId="0" borderId="0"/>
    <xf numFmtId="0" fontId="39" fillId="0" borderId="0"/>
    <xf numFmtId="0" fontId="40" fillId="0" borderId="0"/>
  </cellStyleXfs>
  <cellXfs count="643">
    <xf numFmtId="0" fontId="0" fillId="0" borderId="0" xfId="0"/>
    <xf numFmtId="49" fontId="16" fillId="0" borderId="2" xfId="4" applyFont="1" applyFill="1" applyBorder="1" applyAlignment="1">
      <alignment wrapText="1"/>
    </xf>
    <xf numFmtId="49" fontId="18" fillId="0" borderId="0" xfId="2" quotePrefix="1" applyFont="1" applyFill="1" applyAlignment="1">
      <alignment horizontal="left" wrapText="1"/>
    </xf>
    <xf numFmtId="49" fontId="19" fillId="0" borderId="0" xfId="2" quotePrefix="1" applyFont="1" applyFill="1" applyAlignment="1">
      <alignment horizontal="left" wrapText="1"/>
    </xf>
    <xf numFmtId="0" fontId="25" fillId="4" borderId="0" xfId="3" applyNumberFormat="1" applyFont="1" applyFill="1" applyBorder="1" applyAlignment="1">
      <alignment horizontal="left" vertical="top"/>
    </xf>
    <xf numFmtId="49" fontId="25" fillId="4" borderId="0" xfId="3" applyNumberFormat="1" applyFont="1" applyFill="1" applyBorder="1" applyAlignment="1">
      <alignment horizontal="left" vertical="top" wrapText="1"/>
    </xf>
    <xf numFmtId="3" fontId="25" fillId="4" borderId="0" xfId="3" applyNumberFormat="1" applyFont="1" applyFill="1" applyBorder="1" applyAlignment="1">
      <alignment horizontal="right" vertical="top"/>
    </xf>
    <xf numFmtId="164" fontId="25" fillId="4" borderId="0" xfId="3" applyNumberFormat="1" applyFont="1" applyFill="1" applyBorder="1" applyAlignment="1">
      <alignment horizontal="right" vertical="top"/>
    </xf>
    <xf numFmtId="164" fontId="25" fillId="4" borderId="0" xfId="3" applyNumberFormat="1" applyFont="1" applyFill="1" applyBorder="1" applyAlignment="1">
      <alignment vertical="top" wrapText="1"/>
    </xf>
    <xf numFmtId="49" fontId="25" fillId="4" borderId="0" xfId="3" applyFont="1" applyFill="1" applyBorder="1" applyAlignment="1">
      <alignment vertical="top" wrapText="1"/>
    </xf>
    <xf numFmtId="3" fontId="25" fillId="4" borderId="0" xfId="3" applyNumberFormat="1" applyFont="1" applyFill="1" applyBorder="1" applyAlignment="1">
      <alignment horizontal="right" vertical="top" wrapText="1"/>
    </xf>
    <xf numFmtId="164" fontId="25" fillId="4" borderId="0" xfId="3" applyNumberFormat="1" applyFont="1" applyFill="1" applyBorder="1" applyAlignment="1">
      <alignment horizontal="right" vertical="top" wrapText="1"/>
    </xf>
    <xf numFmtId="49" fontId="1" fillId="4" borderId="0" xfId="0" applyNumberFormat="1" applyFont="1" applyFill="1" applyAlignment="1">
      <alignment vertical="top"/>
    </xf>
    <xf numFmtId="49" fontId="25" fillId="4" borderId="3" xfId="4" applyFont="1" applyFill="1" applyBorder="1" applyAlignment="1">
      <alignment horizontal="left" vertical="top" wrapText="1"/>
    </xf>
    <xf numFmtId="3" fontId="25" fillId="4" borderId="3" xfId="4" applyNumberFormat="1" applyFont="1" applyFill="1" applyBorder="1" applyAlignment="1">
      <alignment horizontal="right" vertical="top" wrapText="1"/>
    </xf>
    <xf numFmtId="49" fontId="25" fillId="4" borderId="5" xfId="4" applyFont="1" applyFill="1" applyBorder="1" applyAlignment="1">
      <alignment horizontal="left" wrapText="1"/>
    </xf>
    <xf numFmtId="49" fontId="25" fillId="4" borderId="1" xfId="4" applyNumberFormat="1" applyFont="1" applyFill="1" applyBorder="1" applyAlignment="1">
      <alignment horizontal="left" wrapText="1"/>
    </xf>
    <xf numFmtId="3" fontId="25" fillId="4" borderId="1" xfId="4" applyNumberFormat="1" applyFont="1" applyFill="1" applyBorder="1" applyAlignment="1">
      <alignment horizontal="right" wrapText="1"/>
    </xf>
    <xf numFmtId="164" fontId="25" fillId="4" borderId="1" xfId="4" applyNumberFormat="1" applyFont="1" applyFill="1" applyBorder="1" applyAlignment="1">
      <alignment horizontal="right" wrapText="1"/>
    </xf>
    <xf numFmtId="3" fontId="25" fillId="4" borderId="2" xfId="4" applyNumberFormat="1" applyFont="1" applyFill="1" applyBorder="1" applyAlignment="1">
      <alignment horizontal="right" wrapText="1"/>
    </xf>
    <xf numFmtId="49" fontId="1" fillId="4" borderId="0" xfId="0" applyNumberFormat="1" applyFont="1" applyFill="1"/>
    <xf numFmtId="49" fontId="25" fillId="4" borderId="0" xfId="4" applyFont="1" applyFill="1" applyBorder="1" applyAlignment="1">
      <alignment horizontal="left" vertical="top" wrapText="1"/>
    </xf>
    <xf numFmtId="49" fontId="25" fillId="4" borderId="0" xfId="4" applyNumberFormat="1" applyFont="1" applyFill="1" applyBorder="1" applyAlignment="1">
      <alignment horizontal="left" vertical="top" wrapText="1"/>
    </xf>
    <xf numFmtId="3" fontId="25" fillId="4" borderId="0" xfId="4" applyNumberFormat="1" applyFont="1" applyFill="1" applyBorder="1" applyAlignment="1">
      <alignment horizontal="right" vertical="top" wrapText="1"/>
    </xf>
    <xf numFmtId="164" fontId="25" fillId="4" borderId="0" xfId="4" applyNumberFormat="1" applyFont="1" applyFill="1" applyBorder="1" applyAlignment="1">
      <alignment horizontal="right" vertical="top" wrapText="1"/>
    </xf>
    <xf numFmtId="49" fontId="1" fillId="4" borderId="0" xfId="0" applyNumberFormat="1" applyFont="1" applyFill="1" applyAlignment="1">
      <alignment vertical="top" wrapText="1"/>
    </xf>
    <xf numFmtId="0" fontId="1" fillId="4" borderId="0" xfId="0" applyFont="1" applyFill="1" applyAlignment="1">
      <alignment horizontal="left" vertical="top"/>
    </xf>
    <xf numFmtId="0" fontId="1" fillId="4" borderId="0" xfId="0" applyFont="1" applyFill="1" applyAlignment="1">
      <alignment vertical="top" wrapText="1"/>
    </xf>
    <xf numFmtId="3" fontId="1" fillId="4" borderId="0" xfId="0" applyNumberFormat="1" applyFont="1" applyFill="1" applyAlignment="1">
      <alignment vertical="top"/>
    </xf>
    <xf numFmtId="164" fontId="1" fillId="4" borderId="0" xfId="0" applyNumberFormat="1" applyFont="1" applyFill="1" applyAlignment="1">
      <alignment vertical="top"/>
    </xf>
    <xf numFmtId="164" fontId="1" fillId="4" borderId="0" xfId="2" applyNumberFormat="1" applyFont="1" applyFill="1" applyAlignment="1">
      <alignment horizontal="right" vertical="top" wrapText="1"/>
    </xf>
    <xf numFmtId="1" fontId="26" fillId="4" borderId="0" xfId="0" applyNumberFormat="1" applyFont="1" applyFill="1" applyAlignment="1">
      <alignment horizontal="left" vertical="top"/>
    </xf>
    <xf numFmtId="0" fontId="1" fillId="4" borderId="0" xfId="2" quotePrefix="1" applyNumberFormat="1" applyFont="1" applyFill="1" applyAlignment="1">
      <alignment horizontal="left" vertical="top" wrapText="1"/>
    </xf>
    <xf numFmtId="49" fontId="1" fillId="4" borderId="0" xfId="2" applyFont="1" applyFill="1" applyAlignment="1">
      <alignment horizontal="left" vertical="top" wrapText="1"/>
    </xf>
    <xf numFmtId="3" fontId="1" fillId="4" borderId="0" xfId="2" applyNumberFormat="1" applyFont="1" applyFill="1" applyAlignment="1">
      <alignment horizontal="right" vertical="top" wrapText="1"/>
    </xf>
    <xf numFmtId="164" fontId="1" fillId="4" borderId="0" xfId="0" applyNumberFormat="1" applyFont="1" applyFill="1" applyAlignment="1">
      <alignment horizontal="right" vertical="top" wrapText="1"/>
    </xf>
    <xf numFmtId="0" fontId="27" fillId="4" borderId="0" xfId="0" applyFont="1" applyFill="1" applyAlignment="1">
      <alignment horizontal="left" vertical="top"/>
    </xf>
    <xf numFmtId="0" fontId="27" fillId="4" borderId="0" xfId="0" applyFont="1" applyFill="1" applyAlignment="1">
      <alignment vertical="top" wrapText="1"/>
    </xf>
    <xf numFmtId="164" fontId="27" fillId="4" borderId="0" xfId="2" applyNumberFormat="1" applyFont="1" applyFill="1" applyAlignment="1">
      <alignment horizontal="right" vertical="top" wrapText="1"/>
    </xf>
    <xf numFmtId="1" fontId="28" fillId="4" borderId="0" xfId="0" applyNumberFormat="1" applyFont="1" applyFill="1" applyAlignment="1">
      <alignment horizontal="left" vertical="top"/>
    </xf>
    <xf numFmtId="0" fontId="27" fillId="4" borderId="0" xfId="2" quotePrefix="1" applyNumberFormat="1" applyFont="1" applyFill="1" applyAlignment="1">
      <alignment horizontal="left" vertical="top" wrapText="1"/>
    </xf>
    <xf numFmtId="3" fontId="27" fillId="4" borderId="0" xfId="2" applyNumberFormat="1" applyFont="1" applyFill="1" applyAlignment="1">
      <alignment horizontal="right" vertical="top" wrapText="1"/>
    </xf>
    <xf numFmtId="164" fontId="27" fillId="4" borderId="0" xfId="0" applyNumberFormat="1" applyFont="1" applyFill="1" applyAlignment="1">
      <alignment horizontal="right" vertical="top" wrapText="1"/>
    </xf>
    <xf numFmtId="49" fontId="27" fillId="4" borderId="0" xfId="0" applyNumberFormat="1" applyFont="1" applyFill="1" applyAlignment="1">
      <alignment vertical="top" wrapText="1"/>
    </xf>
    <xf numFmtId="0" fontId="25" fillId="4" borderId="2" xfId="0" applyFont="1" applyFill="1" applyBorder="1" applyAlignment="1">
      <alignment horizontal="left" vertical="top"/>
    </xf>
    <xf numFmtId="0" fontId="25" fillId="4" borderId="2" xfId="0" applyFont="1" applyFill="1" applyBorder="1" applyAlignment="1">
      <alignment vertical="top" wrapText="1"/>
    </xf>
    <xf numFmtId="3" fontId="25" fillId="4" borderId="2" xfId="0" applyNumberFormat="1" applyFont="1" applyFill="1" applyBorder="1" applyAlignment="1">
      <alignment vertical="top"/>
    </xf>
    <xf numFmtId="164" fontId="25" fillId="4" borderId="2" xfId="0" applyNumberFormat="1" applyFont="1" applyFill="1" applyBorder="1" applyAlignment="1">
      <alignment vertical="top"/>
    </xf>
    <xf numFmtId="164" fontId="25" fillId="4" borderId="2" xfId="2" applyNumberFormat="1" applyFont="1" applyFill="1" applyBorder="1" applyAlignment="1">
      <alignment horizontal="right" vertical="top" wrapText="1"/>
    </xf>
    <xf numFmtId="1" fontId="29" fillId="4" borderId="2" xfId="0" applyNumberFormat="1" applyFont="1" applyFill="1" applyBorder="1" applyAlignment="1">
      <alignment horizontal="left" vertical="top"/>
    </xf>
    <xf numFmtId="0" fontId="25" fillId="4" borderId="2" xfId="2" quotePrefix="1" applyNumberFormat="1" applyFont="1" applyFill="1" applyBorder="1" applyAlignment="1">
      <alignment horizontal="left" vertical="top" wrapText="1"/>
    </xf>
    <xf numFmtId="49" fontId="25" fillId="4" borderId="2" xfId="2" applyFont="1" applyFill="1" applyBorder="1" applyAlignment="1">
      <alignment horizontal="left" vertical="top" wrapText="1"/>
    </xf>
    <xf numFmtId="3" fontId="25" fillId="4" borderId="2" xfId="2" applyNumberFormat="1" applyFont="1" applyFill="1" applyBorder="1" applyAlignment="1">
      <alignment horizontal="right" vertical="top" wrapText="1"/>
    </xf>
    <xf numFmtId="164" fontId="25" fillId="4" borderId="2" xfId="0" applyNumberFormat="1" applyFont="1" applyFill="1" applyBorder="1" applyAlignment="1">
      <alignment horizontal="right" vertical="top" wrapText="1"/>
    </xf>
    <xf numFmtId="49" fontId="25" fillId="4" borderId="0" xfId="0" applyNumberFormat="1" applyFont="1" applyFill="1" applyAlignment="1">
      <alignment vertical="top" wrapText="1"/>
    </xf>
    <xf numFmtId="49" fontId="25" fillId="4" borderId="0" xfId="2" quotePrefix="1" applyFont="1" applyFill="1" applyAlignment="1">
      <alignment horizontal="left" vertical="top" wrapText="1"/>
    </xf>
    <xf numFmtId="3" fontId="25" fillId="4" borderId="0" xfId="2" quotePrefix="1" applyNumberFormat="1" applyFont="1" applyFill="1" applyAlignment="1">
      <alignment horizontal="right" vertical="top" wrapText="1"/>
    </xf>
    <xf numFmtId="164" fontId="25" fillId="4" borderId="0" xfId="2" quotePrefix="1" applyNumberFormat="1" applyFont="1" applyFill="1" applyAlignment="1">
      <alignment horizontal="right" vertical="top" wrapText="1"/>
    </xf>
    <xf numFmtId="164" fontId="25" fillId="4" borderId="0" xfId="2" applyNumberFormat="1" applyFont="1" applyFill="1" applyAlignment="1">
      <alignment horizontal="right" vertical="top" wrapText="1"/>
    </xf>
    <xf numFmtId="1" fontId="25" fillId="4" borderId="0" xfId="2" quotePrefix="1" applyNumberFormat="1" applyFont="1" applyFill="1" applyAlignment="1">
      <alignment horizontal="left" vertical="top" wrapText="1"/>
    </xf>
    <xf numFmtId="3" fontId="25" fillId="4" borderId="0" xfId="2" applyNumberFormat="1" applyFont="1" applyFill="1" applyAlignment="1">
      <alignment horizontal="right" vertical="top" wrapText="1"/>
    </xf>
    <xf numFmtId="1" fontId="25" fillId="4" borderId="0" xfId="4" applyNumberFormat="1" applyFont="1" applyFill="1" applyBorder="1" applyAlignment="1">
      <alignment horizontal="left" vertical="top" wrapText="1"/>
    </xf>
    <xf numFmtId="49" fontId="1" fillId="4" borderId="0" xfId="2" quotePrefix="1" applyFont="1" applyFill="1" applyAlignment="1">
      <alignment horizontal="left" vertical="top" wrapText="1"/>
    </xf>
    <xf numFmtId="3" fontId="1" fillId="4" borderId="0" xfId="2" quotePrefix="1" applyNumberFormat="1" applyFont="1" applyFill="1" applyAlignment="1">
      <alignment horizontal="right" vertical="top" wrapText="1"/>
    </xf>
    <xf numFmtId="164" fontId="1" fillId="4" borderId="0" xfId="2" quotePrefix="1" applyNumberFormat="1" applyFont="1" applyFill="1" applyAlignment="1">
      <alignment horizontal="right" vertical="top" wrapText="1"/>
    </xf>
    <xf numFmtId="49" fontId="27" fillId="4" borderId="0" xfId="2" quotePrefix="1" applyFont="1" applyFill="1" applyAlignment="1">
      <alignment horizontal="left" vertical="top" wrapText="1"/>
    </xf>
    <xf numFmtId="3" fontId="27" fillId="4" borderId="0" xfId="2" quotePrefix="1" applyNumberFormat="1" applyFont="1" applyFill="1" applyAlignment="1">
      <alignment horizontal="right" vertical="top" wrapText="1"/>
    </xf>
    <xf numFmtId="164" fontId="27" fillId="4" borderId="0" xfId="2" quotePrefix="1" applyNumberFormat="1" applyFont="1" applyFill="1" applyAlignment="1">
      <alignment horizontal="right" vertical="top" wrapText="1"/>
    </xf>
    <xf numFmtId="49" fontId="25" fillId="4" borderId="2" xfId="2" quotePrefix="1" applyFont="1" applyFill="1" applyBorder="1" applyAlignment="1">
      <alignment horizontal="left" vertical="top" wrapText="1"/>
    </xf>
    <xf numFmtId="3" fontId="25" fillId="4" borderId="2" xfId="2" quotePrefix="1" applyNumberFormat="1" applyFont="1" applyFill="1" applyBorder="1" applyAlignment="1">
      <alignment horizontal="right" vertical="top" wrapText="1"/>
    </xf>
    <xf numFmtId="164" fontId="25" fillId="4" borderId="2" xfId="2" quotePrefix="1" applyNumberFormat="1" applyFont="1" applyFill="1" applyBorder="1" applyAlignment="1">
      <alignment horizontal="right" vertical="top" wrapText="1"/>
    </xf>
    <xf numFmtId="0" fontId="1" fillId="4" borderId="0" xfId="4" applyNumberFormat="1" applyFont="1" applyFill="1" applyBorder="1" applyAlignment="1">
      <alignment horizontal="left" vertical="top" wrapText="1"/>
    </xf>
    <xf numFmtId="49" fontId="25" fillId="4" borderId="2" xfId="0" applyNumberFormat="1" applyFont="1" applyFill="1" applyBorder="1" applyAlignment="1">
      <alignment vertical="top" wrapText="1"/>
    </xf>
    <xf numFmtId="164" fontId="1" fillId="0" borderId="0" xfId="2" quotePrefix="1" applyNumberFormat="1" applyFont="1" applyFill="1" applyAlignment="1">
      <alignment horizontal="right" vertical="top" wrapText="1"/>
    </xf>
    <xf numFmtId="49" fontId="1" fillId="4" borderId="3" xfId="0" applyNumberFormat="1" applyFont="1" applyFill="1" applyBorder="1" applyAlignment="1">
      <alignment horizontal="left"/>
    </xf>
    <xf numFmtId="49" fontId="1" fillId="4" borderId="3" xfId="0" applyNumberFormat="1" applyFont="1" applyFill="1" applyBorder="1" applyAlignment="1">
      <alignment horizontal="left" wrapText="1"/>
    </xf>
    <xf numFmtId="3" fontId="1" fillId="4" borderId="3" xfId="0" applyNumberFormat="1" applyFont="1" applyFill="1" applyBorder="1" applyAlignment="1">
      <alignment horizontal="right"/>
    </xf>
    <xf numFmtId="164" fontId="1" fillId="4" borderId="3" xfId="0" applyNumberFormat="1" applyFont="1" applyFill="1" applyBorder="1" applyAlignment="1">
      <alignment horizontal="right"/>
    </xf>
    <xf numFmtId="164" fontId="1" fillId="4" borderId="3" xfId="0" applyNumberFormat="1" applyFont="1" applyFill="1" applyBorder="1"/>
    <xf numFmtId="49" fontId="1" fillId="4" borderId="3" xfId="0" applyNumberFormat="1" applyFont="1" applyFill="1" applyBorder="1"/>
    <xf numFmtId="49" fontId="1" fillId="4" borderId="3" xfId="0" applyNumberFormat="1" applyFont="1" applyFill="1" applyBorder="1" applyAlignment="1">
      <alignment horizontal="left" vertical="top" wrapText="1"/>
    </xf>
    <xf numFmtId="3" fontId="1" fillId="4" borderId="3" xfId="0" applyNumberFormat="1" applyFont="1" applyFill="1" applyBorder="1" applyAlignment="1">
      <alignment horizontal="right" vertical="top"/>
    </xf>
    <xf numFmtId="164" fontId="1" fillId="4" borderId="3" xfId="0" applyNumberFormat="1" applyFont="1" applyFill="1" applyBorder="1" applyAlignment="1">
      <alignment horizontal="right" vertical="top"/>
    </xf>
    <xf numFmtId="164" fontId="1" fillId="4" borderId="3" xfId="0" applyNumberFormat="1" applyFont="1" applyFill="1" applyBorder="1" applyAlignment="1">
      <alignment vertical="top"/>
    </xf>
    <xf numFmtId="49" fontId="27" fillId="4" borderId="0" xfId="0" applyNumberFormat="1" applyFont="1" applyFill="1" applyAlignment="1">
      <alignment horizontal="left"/>
    </xf>
    <xf numFmtId="49" fontId="1" fillId="4" borderId="0" xfId="0" applyNumberFormat="1" applyFont="1" applyFill="1" applyAlignment="1">
      <alignment horizontal="left" wrapText="1"/>
    </xf>
    <xf numFmtId="3" fontId="1" fillId="4" borderId="0" xfId="0" applyNumberFormat="1" applyFont="1" applyFill="1" applyAlignment="1">
      <alignment horizontal="right"/>
    </xf>
    <xf numFmtId="164" fontId="1" fillId="4" borderId="0" xfId="0" applyNumberFormat="1" applyFont="1" applyFill="1" applyAlignment="1">
      <alignment horizontal="right"/>
    </xf>
    <xf numFmtId="3" fontId="1" fillId="4" borderId="0" xfId="0" applyNumberFormat="1" applyFont="1" applyFill="1"/>
    <xf numFmtId="164" fontId="1" fillId="4" borderId="0" xfId="0" applyNumberFormat="1" applyFont="1" applyFill="1"/>
    <xf numFmtId="3" fontId="1" fillId="4" borderId="0" xfId="0" applyNumberFormat="1" applyFont="1" applyFill="1" applyAlignment="1">
      <alignment horizontal="right" vertical="top"/>
    </xf>
    <xf numFmtId="164" fontId="1" fillId="4" borderId="0" xfId="0" applyNumberFormat="1" applyFont="1" applyFill="1" applyAlignment="1">
      <alignment horizontal="right" vertical="top"/>
    </xf>
    <xf numFmtId="49" fontId="1" fillId="4" borderId="0" xfId="0" applyNumberFormat="1" applyFont="1" applyFill="1" applyAlignment="1">
      <alignment horizontal="left" vertical="top"/>
    </xf>
    <xf numFmtId="49" fontId="30" fillId="4" borderId="0" xfId="0" applyNumberFormat="1" applyFont="1" applyFill="1" applyAlignment="1">
      <alignment vertical="top"/>
    </xf>
    <xf numFmtId="164" fontId="30" fillId="4" borderId="0" xfId="0" applyNumberFormat="1" applyFont="1" applyFill="1" applyAlignment="1">
      <alignment vertical="top"/>
    </xf>
    <xf numFmtId="49" fontId="1" fillId="4" borderId="0" xfId="0" applyNumberFormat="1" applyFont="1" applyFill="1" applyAlignment="1">
      <alignment horizontal="left"/>
    </xf>
    <xf numFmtId="49" fontId="30" fillId="4" borderId="0" xfId="0" applyNumberFormat="1" applyFont="1" applyFill="1"/>
    <xf numFmtId="49" fontId="31" fillId="4" borderId="0" xfId="0" applyNumberFormat="1" applyFont="1" applyFill="1" applyAlignment="1">
      <alignment horizontal="left"/>
    </xf>
    <xf numFmtId="3" fontId="1" fillId="4" borderId="0" xfId="0" applyNumberFormat="1" applyFont="1" applyFill="1" applyAlignment="1">
      <alignment horizontal="right" vertical="top" wrapText="1"/>
    </xf>
    <xf numFmtId="0" fontId="1" fillId="4" borderId="0" xfId="0" applyFont="1" applyFill="1" applyAlignment="1">
      <alignment horizontal="left" vertical="top" wrapText="1"/>
    </xf>
    <xf numFmtId="0" fontId="32" fillId="4" borderId="0" xfId="3" applyNumberFormat="1" applyFont="1" applyFill="1" applyBorder="1" applyAlignment="1">
      <alignment horizontal="left" vertical="top"/>
    </xf>
    <xf numFmtId="49" fontId="1" fillId="4" borderId="0" xfId="0" applyNumberFormat="1" applyFont="1" applyFill="1" applyAlignment="1">
      <alignment horizontal="left" vertical="top" wrapText="1"/>
    </xf>
    <xf numFmtId="49" fontId="1" fillId="4" borderId="0" xfId="4" applyFont="1" applyFill="1" applyBorder="1" applyAlignment="1">
      <alignment horizontal="left" vertical="top" wrapText="1"/>
    </xf>
    <xf numFmtId="49" fontId="25" fillId="4" borderId="0" xfId="4" applyFont="1" applyFill="1" applyBorder="1" applyAlignment="1">
      <alignment horizontal="left" vertical="top"/>
    </xf>
    <xf numFmtId="164" fontId="25" fillId="4" borderId="0" xfId="4" applyNumberFormat="1" applyFont="1" applyFill="1" applyBorder="1" applyAlignment="1">
      <alignment horizontal="right" wrapText="1"/>
    </xf>
    <xf numFmtId="0" fontId="1" fillId="4" borderId="2" xfId="0" applyFont="1" applyFill="1" applyBorder="1" applyAlignment="1">
      <alignment horizontal="left" vertical="top"/>
    </xf>
    <xf numFmtId="3" fontId="1" fillId="4" borderId="2" xfId="2" quotePrefix="1" applyNumberFormat="1" applyFont="1" applyFill="1" applyBorder="1" applyAlignment="1">
      <alignment horizontal="right" vertical="top" wrapText="1"/>
    </xf>
    <xf numFmtId="164" fontId="1" fillId="4" borderId="2" xfId="0" applyNumberFormat="1" applyFont="1" applyFill="1" applyBorder="1" applyAlignment="1">
      <alignment horizontal="right" vertical="top" wrapText="1"/>
    </xf>
    <xf numFmtId="164" fontId="1" fillId="4" borderId="2" xfId="2" applyNumberFormat="1" applyFont="1" applyFill="1" applyBorder="1" applyAlignment="1">
      <alignment horizontal="right" vertical="top" wrapText="1"/>
    </xf>
    <xf numFmtId="3" fontId="1" fillId="4" borderId="2" xfId="2" applyNumberFormat="1" applyFont="1" applyFill="1" applyBorder="1" applyAlignment="1">
      <alignment horizontal="right" vertical="top" wrapText="1"/>
    </xf>
    <xf numFmtId="49" fontId="25" fillId="4" borderId="2" xfId="4" applyFont="1" applyFill="1" applyBorder="1" applyAlignment="1">
      <alignment horizontal="left" wrapText="1"/>
    </xf>
    <xf numFmtId="49" fontId="25" fillId="4" borderId="0" xfId="4" quotePrefix="1" applyFont="1" applyFill="1" applyBorder="1" applyAlignment="1">
      <alignment horizontal="left" vertical="top" wrapText="1"/>
    </xf>
    <xf numFmtId="49" fontId="25" fillId="4" borderId="0" xfId="4" quotePrefix="1" applyFont="1" applyFill="1" applyBorder="1" applyAlignment="1">
      <alignment horizontal="left" vertical="top"/>
    </xf>
    <xf numFmtId="3" fontId="25" fillId="4" borderId="0" xfId="4" applyNumberFormat="1" applyFont="1" applyFill="1" applyBorder="1" applyAlignment="1">
      <alignment horizontal="right" wrapText="1"/>
    </xf>
    <xf numFmtId="49" fontId="30" fillId="4" borderId="0" xfId="0" applyNumberFormat="1" applyFont="1" applyFill="1" applyAlignment="1">
      <alignment horizontal="left" vertical="top" wrapText="1"/>
    </xf>
    <xf numFmtId="3" fontId="30" fillId="4" borderId="0" xfId="0" applyNumberFormat="1" applyFont="1" applyFill="1" applyAlignment="1">
      <alignment horizontal="right" vertical="top"/>
    </xf>
    <xf numFmtId="164" fontId="30" fillId="4" borderId="0" xfId="0" applyNumberFormat="1" applyFont="1" applyFill="1" applyAlignment="1">
      <alignment horizontal="right" vertical="top"/>
    </xf>
    <xf numFmtId="49" fontId="30" fillId="4" borderId="0" xfId="0" applyNumberFormat="1" applyFont="1" applyFill="1" applyAlignment="1">
      <alignment horizontal="left" vertical="top"/>
    </xf>
    <xf numFmtId="49" fontId="30" fillId="4" borderId="0" xfId="0" applyNumberFormat="1" applyFont="1" applyFill="1" applyAlignment="1">
      <alignment vertical="top" wrapText="1"/>
    </xf>
    <xf numFmtId="49" fontId="30" fillId="4" borderId="0" xfId="0" applyNumberFormat="1" applyFont="1" applyFill="1" applyAlignment="1">
      <alignment horizontal="left"/>
    </xf>
    <xf numFmtId="49" fontId="30" fillId="4" borderId="0" xfId="0" applyNumberFormat="1" applyFont="1" applyFill="1" applyAlignment="1">
      <alignment horizontal="left" wrapText="1"/>
    </xf>
    <xf numFmtId="3" fontId="30" fillId="4" borderId="0" xfId="0" applyNumberFormat="1" applyFont="1" applyFill="1" applyAlignment="1">
      <alignment horizontal="right"/>
    </xf>
    <xf numFmtId="164" fontId="30" fillId="4" borderId="0" xfId="0" applyNumberFormat="1" applyFont="1" applyFill="1" applyAlignment="1">
      <alignment horizontal="right"/>
    </xf>
    <xf numFmtId="3" fontId="30" fillId="4" borderId="0" xfId="0" applyNumberFormat="1" applyFont="1" applyFill="1" applyAlignment="1">
      <alignment horizontal="right" vertical="top" wrapText="1"/>
    </xf>
    <xf numFmtId="3" fontId="25" fillId="4" borderId="3" xfId="4" applyNumberFormat="1" applyFont="1" applyFill="1" applyBorder="1" applyAlignment="1">
      <alignment horizontal="center" vertical="top" wrapText="1"/>
    </xf>
    <xf numFmtId="164" fontId="25" fillId="4" borderId="5" xfId="4" applyNumberFormat="1" applyFont="1" applyFill="1" applyBorder="1" applyAlignment="1">
      <alignment horizontal="right" wrapText="1"/>
    </xf>
    <xf numFmtId="49" fontId="25" fillId="4" borderId="2" xfId="4" applyNumberFormat="1" applyFont="1" applyFill="1" applyBorder="1" applyAlignment="1">
      <alignment horizontal="left" wrapText="1"/>
    </xf>
    <xf numFmtId="164" fontId="25" fillId="4" borderId="2" xfId="4" applyNumberFormat="1" applyFont="1" applyFill="1" applyBorder="1" applyAlignment="1">
      <alignment horizontal="right" wrapText="1"/>
    </xf>
    <xf numFmtId="0" fontId="26" fillId="0" borderId="0" xfId="0" applyFont="1"/>
    <xf numFmtId="3" fontId="1" fillId="0" borderId="0" xfId="2" applyNumberFormat="1" applyFont="1" applyFill="1" applyAlignment="1">
      <alignment horizontal="right"/>
    </xf>
    <xf numFmtId="49" fontId="1" fillId="0" borderId="0" xfId="2" quotePrefix="1" applyFont="1" applyFill="1" applyAlignment="1">
      <alignment horizontal="left"/>
    </xf>
    <xf numFmtId="164" fontId="1" fillId="0" borderId="0" xfId="2" applyNumberFormat="1" applyFont="1" applyFill="1" applyAlignment="1">
      <alignment horizontal="right"/>
    </xf>
    <xf numFmtId="3" fontId="1" fillId="0" borderId="0" xfId="2" quotePrefix="1" applyNumberFormat="1" applyFont="1" applyFill="1" applyAlignment="1">
      <alignment horizontal="right"/>
    </xf>
    <xf numFmtId="49" fontId="1" fillId="0" borderId="0" xfId="2" quotePrefix="1" applyFont="1" applyFill="1" applyAlignment="1"/>
    <xf numFmtId="49" fontId="27" fillId="0" borderId="0" xfId="0" applyNumberFormat="1" applyFont="1"/>
    <xf numFmtId="164" fontId="30" fillId="4" borderId="0" xfId="0" applyNumberFormat="1" applyFont="1" applyFill="1"/>
    <xf numFmtId="164" fontId="1" fillId="0" borderId="0" xfId="2" applyNumberFormat="1" applyFont="1" applyFill="1" applyAlignment="1">
      <alignment horizontal="left"/>
    </xf>
    <xf numFmtId="3" fontId="25" fillId="4" borderId="6" xfId="4" applyNumberFormat="1" applyFont="1" applyFill="1" applyBorder="1" applyAlignment="1">
      <alignment horizontal="center" vertical="top" wrapText="1"/>
    </xf>
    <xf numFmtId="164" fontId="25" fillId="0" borderId="0" xfId="2" applyNumberFormat="1" applyFont="1" applyFill="1" applyAlignment="1">
      <alignment horizontal="left"/>
    </xf>
    <xf numFmtId="49" fontId="27" fillId="4" borderId="0" xfId="4" applyFont="1" applyFill="1" applyBorder="1" applyAlignment="1">
      <alignment horizontal="left" vertical="top"/>
    </xf>
    <xf numFmtId="49" fontId="27" fillId="4" borderId="0" xfId="4" applyFont="1" applyFill="1" applyBorder="1" applyAlignment="1">
      <alignment horizontal="left" vertical="top" wrapText="1"/>
    </xf>
    <xf numFmtId="3" fontId="1" fillId="4" borderId="0" xfId="0" applyNumberFormat="1" applyFont="1" applyFill="1" applyAlignment="1">
      <alignment horizontal="right" wrapText="1"/>
    </xf>
    <xf numFmtId="164" fontId="30" fillId="4" borderId="0" xfId="0" applyNumberFormat="1" applyFont="1" applyFill="1" applyAlignment="1">
      <alignment vertical="top" wrapText="1"/>
    </xf>
    <xf numFmtId="164" fontId="1" fillId="4" borderId="0" xfId="0" applyNumberFormat="1" applyFont="1" applyFill="1" applyAlignment="1">
      <alignment vertical="top" wrapText="1"/>
    </xf>
    <xf numFmtId="3" fontId="25" fillId="4" borderId="6" xfId="4" applyNumberFormat="1" applyFont="1" applyFill="1" applyBorder="1" applyAlignment="1">
      <alignment horizontal="center" vertical="top"/>
    </xf>
    <xf numFmtId="49" fontId="16" fillId="4" borderId="0" xfId="2" quotePrefix="1" applyFont="1" applyFill="1" applyAlignment="1">
      <alignment horizontal="left" wrapText="1"/>
    </xf>
    <xf numFmtId="164" fontId="25" fillId="4" borderId="0" xfId="3" applyNumberFormat="1" applyFont="1" applyFill="1" applyBorder="1" applyAlignment="1">
      <alignment horizontal="left" vertical="top"/>
    </xf>
    <xf numFmtId="49" fontId="19" fillId="4" borderId="0" xfId="2" quotePrefix="1" applyFont="1" applyFill="1" applyAlignment="1">
      <alignment horizontal="left" vertical="top" wrapText="1"/>
    </xf>
    <xf numFmtId="164" fontId="25" fillId="4" borderId="0" xfId="2" applyNumberFormat="1" applyFont="1" applyFill="1" applyAlignment="1">
      <alignment horizontal="left"/>
    </xf>
    <xf numFmtId="3" fontId="27" fillId="4" borderId="0" xfId="0" applyNumberFormat="1" applyFont="1" applyFill="1" applyAlignment="1">
      <alignment vertical="top"/>
    </xf>
    <xf numFmtId="164" fontId="27" fillId="4" borderId="0" xfId="0" applyNumberFormat="1" applyFont="1" applyFill="1" applyAlignment="1">
      <alignment vertical="top"/>
    </xf>
    <xf numFmtId="49" fontId="14" fillId="4" borderId="0" xfId="3" applyFont="1" applyFill="1" applyBorder="1" applyAlignment="1">
      <alignment horizontal="left"/>
    </xf>
    <xf numFmtId="3" fontId="14" fillId="4" borderId="0" xfId="3" applyNumberFormat="1" applyFont="1" applyFill="1" applyBorder="1" applyAlignment="1">
      <alignment horizontal="right"/>
    </xf>
    <xf numFmtId="164" fontId="14" fillId="4" borderId="0" xfId="3" applyNumberFormat="1" applyFont="1" applyFill="1" applyBorder="1" applyAlignment="1">
      <alignment horizontal="right"/>
    </xf>
    <xf numFmtId="49" fontId="14" fillId="4" borderId="0" xfId="3" applyFont="1" applyFill="1" applyBorder="1" applyAlignment="1">
      <alignment wrapText="1"/>
    </xf>
    <xf numFmtId="3" fontId="14" fillId="4" borderId="0" xfId="3" applyNumberFormat="1" applyFont="1" applyFill="1" applyBorder="1" applyAlignment="1">
      <alignment horizontal="right" wrapText="1"/>
    </xf>
    <xf numFmtId="164" fontId="14" fillId="4" borderId="0" xfId="3" applyNumberFormat="1" applyFont="1" applyFill="1" applyBorder="1" applyAlignment="1">
      <alignment horizontal="right" wrapText="1"/>
    </xf>
    <xf numFmtId="0" fontId="0" fillId="4" borderId="0" xfId="0" applyFill="1"/>
    <xf numFmtId="49" fontId="16" fillId="4" borderId="3" xfId="4" applyFont="1" applyFill="1" applyBorder="1" applyAlignment="1">
      <alignment wrapText="1"/>
    </xf>
    <xf numFmtId="3" fontId="16" fillId="4" borderId="3" xfId="4" applyNumberFormat="1" applyFont="1" applyFill="1" applyBorder="1" applyAlignment="1">
      <alignment horizontal="right" wrapText="1"/>
    </xf>
    <xf numFmtId="49" fontId="16" fillId="4" borderId="2" xfId="4" applyFont="1" applyFill="1" applyBorder="1" applyAlignment="1">
      <alignment wrapText="1"/>
    </xf>
    <xf numFmtId="3" fontId="16" fillId="4" borderId="2" xfId="4" applyNumberFormat="1" applyFont="1" applyFill="1" applyBorder="1" applyAlignment="1">
      <alignment horizontal="right" wrapText="1"/>
    </xf>
    <xf numFmtId="164" fontId="16" fillId="4" borderId="2" xfId="4" applyNumberFormat="1" applyFont="1" applyFill="1" applyBorder="1" applyAlignment="1">
      <alignment horizontal="right" wrapText="1"/>
    </xf>
    <xf numFmtId="3" fontId="16" fillId="4" borderId="0" xfId="4" applyNumberFormat="1" applyFont="1" applyFill="1" applyBorder="1" applyAlignment="1">
      <alignment horizontal="right" wrapText="1"/>
    </xf>
    <xf numFmtId="164" fontId="16" fillId="4" borderId="0" xfId="4" applyNumberFormat="1" applyFont="1" applyFill="1" applyBorder="1" applyAlignment="1">
      <alignment horizontal="right" wrapText="1"/>
    </xf>
    <xf numFmtId="0" fontId="17" fillId="4" borderId="0" xfId="0" applyFont="1" applyFill="1"/>
    <xf numFmtId="0" fontId="24" fillId="4" borderId="0" xfId="0" applyFont="1" applyFill="1"/>
    <xf numFmtId="3" fontId="19" fillId="4" borderId="0" xfId="2" quotePrefix="1" applyNumberFormat="1" applyFont="1" applyFill="1">
      <alignment horizontal="right" wrapText="1"/>
    </xf>
    <xf numFmtId="164" fontId="19" fillId="4" borderId="0" xfId="2" quotePrefix="1" applyNumberFormat="1" applyFont="1" applyFill="1">
      <alignment horizontal="right" wrapText="1"/>
    </xf>
    <xf numFmtId="164" fontId="19" fillId="4" borderId="0" xfId="2" applyNumberFormat="1" applyFont="1" applyFill="1">
      <alignment horizontal="right" wrapText="1"/>
    </xf>
    <xf numFmtId="3" fontId="19" fillId="4" borderId="0" xfId="2" applyNumberFormat="1" applyFont="1" applyFill="1">
      <alignment horizontal="right" wrapText="1"/>
    </xf>
    <xf numFmtId="3" fontId="16" fillId="4" borderId="2" xfId="2" quotePrefix="1" applyNumberFormat="1" applyFont="1" applyFill="1" applyBorder="1">
      <alignment horizontal="right" wrapText="1"/>
    </xf>
    <xf numFmtId="164" fontId="16" fillId="4" borderId="2" xfId="2" quotePrefix="1" applyNumberFormat="1" applyFont="1" applyFill="1" applyBorder="1">
      <alignment horizontal="right" wrapText="1"/>
    </xf>
    <xf numFmtId="164" fontId="16" fillId="4" borderId="2" xfId="2" applyNumberFormat="1" applyFont="1" applyFill="1" applyBorder="1">
      <alignment horizontal="right" wrapText="1"/>
    </xf>
    <xf numFmtId="3" fontId="16" fillId="4" borderId="2" xfId="2" applyNumberFormat="1" applyFont="1" applyFill="1" applyBorder="1">
      <alignment horizontal="right" wrapText="1"/>
    </xf>
    <xf numFmtId="49" fontId="19" fillId="4" borderId="0" xfId="0" applyNumberFormat="1" applyFont="1" applyFill="1"/>
    <xf numFmtId="164" fontId="0" fillId="4" borderId="0" xfId="0" applyNumberFormat="1" applyFill="1"/>
    <xf numFmtId="164" fontId="18" fillId="4" borderId="0" xfId="2" applyNumberFormat="1" applyFont="1" applyFill="1">
      <alignment horizontal="right" wrapText="1"/>
    </xf>
    <xf numFmtId="3" fontId="18" fillId="4" borderId="0" xfId="2" applyNumberFormat="1" applyFont="1" applyFill="1">
      <alignment horizontal="right" wrapText="1"/>
    </xf>
    <xf numFmtId="164" fontId="23" fillId="4" borderId="0" xfId="0" applyNumberFormat="1" applyFont="1" applyFill="1" applyAlignment="1">
      <alignment horizontal="right"/>
    </xf>
    <xf numFmtId="3" fontId="23" fillId="4" borderId="0" xfId="0" applyNumberFormat="1" applyFont="1" applyFill="1" applyAlignment="1">
      <alignment horizontal="right"/>
    </xf>
    <xf numFmtId="0" fontId="23" fillId="4" borderId="0" xfId="0" applyFont="1" applyFill="1"/>
    <xf numFmtId="49" fontId="18" fillId="4" borderId="0" xfId="2" quotePrefix="1" applyFont="1" applyFill="1" applyAlignment="1">
      <alignment horizontal="left" wrapText="1"/>
    </xf>
    <xf numFmtId="49" fontId="18" fillId="4" borderId="0" xfId="2" quotePrefix="1" applyFont="1" applyFill="1" applyAlignment="1">
      <alignment horizontal="left" vertical="top" wrapText="1"/>
    </xf>
    <xf numFmtId="3" fontId="18" fillId="4" borderId="0" xfId="2" quotePrefix="1" applyNumberFormat="1" applyFont="1" applyFill="1">
      <alignment horizontal="right" wrapText="1"/>
    </xf>
    <xf numFmtId="164" fontId="18" fillId="4" borderId="0" xfId="2" applyNumberFormat="1" applyFont="1" applyFill="1" applyAlignment="1">
      <alignment horizontal="left" vertical="top" wrapText="1"/>
    </xf>
    <xf numFmtId="164" fontId="18" fillId="4" borderId="0" xfId="2" quotePrefix="1" applyNumberFormat="1" applyFont="1" applyFill="1">
      <alignment horizontal="right" wrapText="1"/>
    </xf>
    <xf numFmtId="49" fontId="18" fillId="4" borderId="0" xfId="0" applyNumberFormat="1" applyFont="1" applyFill="1"/>
    <xf numFmtId="164" fontId="18" fillId="4" borderId="0" xfId="2" quotePrefix="1" applyNumberFormat="1" applyFont="1" applyFill="1" applyAlignment="1">
      <alignment horizontal="right"/>
    </xf>
    <xf numFmtId="164" fontId="18" fillId="4" borderId="0" xfId="2" applyNumberFormat="1" applyFont="1" applyFill="1" applyAlignment="1">
      <alignment horizontal="right"/>
    </xf>
    <xf numFmtId="49" fontId="18" fillId="4" borderId="0" xfId="2" quotePrefix="1" applyFont="1" applyFill="1" applyAlignment="1">
      <alignment horizontal="left"/>
    </xf>
    <xf numFmtId="0" fontId="9" fillId="4" borderId="0" xfId="0" applyFont="1" applyFill="1"/>
    <xf numFmtId="49" fontId="29" fillId="4" borderId="3" xfId="4" applyFont="1" applyFill="1" applyBorder="1" applyAlignment="1">
      <alignment wrapText="1"/>
    </xf>
    <xf numFmtId="3" fontId="29" fillId="4" borderId="3" xfId="4" applyNumberFormat="1" applyFont="1" applyFill="1" applyBorder="1" applyAlignment="1">
      <alignment horizontal="right" wrapText="1"/>
    </xf>
    <xf numFmtId="49" fontId="29" fillId="4" borderId="2" xfId="4" applyFont="1" applyFill="1" applyBorder="1" applyAlignment="1">
      <alignment wrapText="1"/>
    </xf>
    <xf numFmtId="3" fontId="29" fillId="4" borderId="2" xfId="4" applyNumberFormat="1" applyFont="1" applyFill="1" applyBorder="1" applyAlignment="1">
      <alignment horizontal="right" wrapText="1"/>
    </xf>
    <xf numFmtId="49" fontId="18" fillId="4" borderId="2" xfId="2" quotePrefix="1" applyFont="1" applyFill="1" applyBorder="1" applyAlignment="1">
      <alignment horizontal="left" wrapText="1"/>
    </xf>
    <xf numFmtId="164" fontId="18" fillId="4" borderId="2" xfId="2" quotePrefix="1" applyNumberFormat="1" applyFont="1" applyFill="1" applyBorder="1">
      <alignment horizontal="right" wrapText="1"/>
    </xf>
    <xf numFmtId="164" fontId="18" fillId="4" borderId="2" xfId="2" applyNumberFormat="1" applyFont="1" applyFill="1" applyBorder="1">
      <alignment horizontal="right" wrapText="1"/>
    </xf>
    <xf numFmtId="0" fontId="26" fillId="4" borderId="0" xfId="0" applyFont="1" applyFill="1"/>
    <xf numFmtId="0" fontId="0" fillId="4" borderId="0" xfId="0" applyFill="1" applyAlignment="1">
      <alignment wrapText="1"/>
    </xf>
    <xf numFmtId="3" fontId="14" fillId="4" borderId="0" xfId="3" applyNumberFormat="1" applyFont="1" applyFill="1" applyBorder="1" applyAlignment="1">
      <alignment horizontal="left"/>
    </xf>
    <xf numFmtId="49" fontId="14" fillId="4" borderId="0" xfId="3" applyFont="1" applyFill="1" applyBorder="1" applyAlignment="1">
      <alignment horizontal="right" wrapText="1"/>
    </xf>
    <xf numFmtId="49" fontId="14" fillId="4" borderId="0" xfId="3" applyFont="1" applyFill="1" applyBorder="1" applyAlignment="1">
      <alignment horizontal="left" wrapText="1"/>
    </xf>
    <xf numFmtId="0" fontId="9" fillId="4" borderId="0" xfId="0" applyFont="1" applyFill="1" applyAlignment="1">
      <alignment horizontal="right"/>
    </xf>
    <xf numFmtId="49" fontId="29" fillId="4" borderId="2" xfId="4" applyFont="1" applyFill="1" applyBorder="1" applyAlignment="1">
      <alignment horizontal="left" wrapText="1"/>
    </xf>
    <xf numFmtId="3" fontId="29" fillId="4" borderId="2" xfId="4" applyNumberFormat="1" applyFont="1" applyFill="1" applyBorder="1" applyAlignment="1">
      <alignment horizontal="left" wrapText="1"/>
    </xf>
    <xf numFmtId="0" fontId="17" fillId="4" borderId="0" xfId="0" applyFont="1" applyFill="1" applyAlignment="1">
      <alignment horizontal="left"/>
    </xf>
    <xf numFmtId="3" fontId="18" fillId="4" borderId="0" xfId="2" quotePrefix="1" applyNumberFormat="1" applyFont="1" applyFill="1" applyAlignment="1">
      <alignment horizontal="left" wrapText="1"/>
    </xf>
    <xf numFmtId="164" fontId="18" fillId="4" borderId="0" xfId="2" applyNumberFormat="1" applyFont="1" applyFill="1" applyAlignment="1">
      <alignment horizontal="left" wrapText="1"/>
    </xf>
    <xf numFmtId="3" fontId="18" fillId="4" borderId="2" xfId="2" quotePrefix="1" applyNumberFormat="1" applyFont="1" applyFill="1" applyBorder="1" applyAlignment="1">
      <alignment horizontal="left" wrapText="1"/>
    </xf>
    <xf numFmtId="164" fontId="18" fillId="4" borderId="2" xfId="2" applyNumberFormat="1" applyFont="1" applyFill="1" applyBorder="1" applyAlignment="1">
      <alignment horizontal="left" wrapText="1"/>
    </xf>
    <xf numFmtId="49" fontId="27" fillId="4" borderId="0" xfId="0" applyNumberFormat="1" applyFont="1" applyFill="1"/>
    <xf numFmtId="3" fontId="27" fillId="4" borderId="0" xfId="0" applyNumberFormat="1" applyFont="1" applyFill="1" applyAlignment="1">
      <alignment horizontal="left"/>
    </xf>
    <xf numFmtId="164" fontId="1" fillId="4" borderId="0" xfId="2" applyNumberFormat="1" applyFont="1" applyFill="1" applyAlignment="1">
      <alignment horizontal="right"/>
    </xf>
    <xf numFmtId="49" fontId="1" fillId="4" borderId="0" xfId="0" applyNumberFormat="1" applyFont="1" applyFill="1" applyAlignment="1">
      <alignment horizontal="right"/>
    </xf>
    <xf numFmtId="3" fontId="1" fillId="4" borderId="0" xfId="0" applyNumberFormat="1" applyFont="1" applyFill="1" applyAlignment="1">
      <alignment horizontal="left"/>
    </xf>
    <xf numFmtId="0" fontId="26" fillId="4" borderId="0" xfId="0" applyFont="1" applyFill="1" applyAlignment="1">
      <alignment horizontal="right"/>
    </xf>
    <xf numFmtId="0" fontId="1" fillId="4" borderId="0" xfId="0" applyFont="1" applyFill="1"/>
    <xf numFmtId="49" fontId="1" fillId="4" borderId="0" xfId="0" quotePrefix="1" applyNumberFormat="1" applyFont="1" applyFill="1"/>
    <xf numFmtId="164" fontId="1" fillId="4" borderId="0" xfId="0" applyNumberFormat="1" applyFont="1" applyFill="1" applyAlignment="1">
      <alignment horizontal="left"/>
    </xf>
    <xf numFmtId="0" fontId="1" fillId="4" borderId="0" xfId="0" applyFont="1" applyFill="1" applyAlignment="1">
      <alignment horizontal="right"/>
    </xf>
    <xf numFmtId="0" fontId="9" fillId="4" borderId="0" xfId="0" applyFont="1" applyFill="1" applyAlignment="1">
      <alignment horizontal="left"/>
    </xf>
    <xf numFmtId="0" fontId="0" fillId="4" borderId="0" xfId="0" applyFill="1" applyAlignment="1">
      <alignment horizontal="left"/>
    </xf>
    <xf numFmtId="0" fontId="0" fillId="4" borderId="3" xfId="0" applyFill="1" applyBorder="1" applyAlignment="1">
      <alignment horizontal="left"/>
    </xf>
    <xf numFmtId="3" fontId="16" fillId="4" borderId="3" xfId="4" applyNumberFormat="1" applyFont="1" applyFill="1" applyBorder="1" applyAlignment="1">
      <alignment horizontal="center"/>
    </xf>
    <xf numFmtId="0" fontId="16" fillId="4" borderId="2" xfId="4" applyNumberFormat="1" applyFont="1" applyFill="1" applyBorder="1" applyAlignment="1">
      <alignment horizontal="left"/>
    </xf>
    <xf numFmtId="0" fontId="16" fillId="4" borderId="0" xfId="4" applyNumberFormat="1" applyFont="1" applyFill="1" applyBorder="1" applyAlignment="1">
      <alignment horizontal="left"/>
    </xf>
    <xf numFmtId="43" fontId="16" fillId="4" borderId="0" xfId="10" applyFont="1" applyFill="1" applyBorder="1" applyAlignment="1">
      <alignment horizontal="left" wrapText="1"/>
    </xf>
    <xf numFmtId="49" fontId="18" fillId="4" borderId="0" xfId="4" applyFont="1" applyFill="1" applyBorder="1" applyAlignment="1">
      <alignment horizontal="left"/>
    </xf>
    <xf numFmtId="49" fontId="18" fillId="4" borderId="0" xfId="4" applyFont="1" applyFill="1" applyBorder="1" applyAlignment="1">
      <alignment horizontal="left" vertical="top" wrapText="1"/>
    </xf>
    <xf numFmtId="3" fontId="18" fillId="4" borderId="0" xfId="4" applyNumberFormat="1" applyFont="1" applyFill="1" applyBorder="1" applyAlignment="1">
      <alignment horizontal="right" vertical="top" wrapText="1"/>
    </xf>
    <xf numFmtId="164" fontId="18" fillId="4" borderId="0" xfId="4" applyNumberFormat="1" applyFont="1" applyFill="1" applyBorder="1" applyAlignment="1">
      <alignment horizontal="right" vertical="top" wrapText="1"/>
    </xf>
    <xf numFmtId="164" fontId="17" fillId="4" borderId="0" xfId="0" applyNumberFormat="1" applyFont="1" applyFill="1" applyAlignment="1">
      <alignment horizontal="right" vertical="top"/>
    </xf>
    <xf numFmtId="3" fontId="17" fillId="4" borderId="0" xfId="0" applyNumberFormat="1" applyFont="1" applyFill="1" applyAlignment="1">
      <alignment horizontal="right" vertical="top"/>
    </xf>
    <xf numFmtId="49" fontId="16" fillId="4" borderId="0" xfId="4" applyFont="1" applyFill="1" applyBorder="1" applyAlignment="1">
      <alignment horizontal="left"/>
    </xf>
    <xf numFmtId="49" fontId="25" fillId="4" borderId="0" xfId="2" quotePrefix="1" applyFont="1" applyFill="1" applyAlignment="1">
      <alignment horizontal="left" wrapText="1"/>
    </xf>
    <xf numFmtId="164" fontId="29" fillId="4" borderId="0" xfId="0" applyNumberFormat="1" applyFont="1" applyFill="1" applyAlignment="1">
      <alignment horizontal="right"/>
    </xf>
    <xf numFmtId="49" fontId="16" fillId="4" borderId="2" xfId="4" applyFont="1" applyFill="1" applyBorder="1" applyAlignment="1">
      <alignment horizontal="left"/>
    </xf>
    <xf numFmtId="49" fontId="25" fillId="4" borderId="2" xfId="2" quotePrefix="1" applyFont="1" applyFill="1" applyBorder="1" applyAlignment="1">
      <alignment horizontal="left" wrapText="1"/>
    </xf>
    <xf numFmtId="164" fontId="29" fillId="4" borderId="2" xfId="0" applyNumberFormat="1" applyFont="1" applyFill="1" applyBorder="1" applyAlignment="1">
      <alignment horizontal="right"/>
    </xf>
    <xf numFmtId="164" fontId="23" fillId="4" borderId="2" xfId="0" applyNumberFormat="1" applyFont="1" applyFill="1" applyBorder="1" applyAlignment="1">
      <alignment horizontal="right"/>
    </xf>
    <xf numFmtId="3" fontId="16" fillId="4" borderId="0" xfId="4" applyNumberFormat="1" applyFont="1" applyFill="1" applyBorder="1" applyAlignment="1">
      <alignment horizontal="right" vertical="top" wrapText="1"/>
    </xf>
    <xf numFmtId="43" fontId="16" fillId="4" borderId="0" xfId="10" applyFont="1" applyFill="1" applyBorder="1" applyAlignment="1">
      <alignment horizontal="left" vertical="top" wrapText="1"/>
    </xf>
    <xf numFmtId="0" fontId="16" fillId="4" borderId="0" xfId="4" applyNumberFormat="1" applyFont="1" applyFill="1" applyBorder="1" applyAlignment="1">
      <alignment horizontal="left" wrapText="1"/>
    </xf>
    <xf numFmtId="49" fontId="1" fillId="4" borderId="0" xfId="2" applyFont="1" applyFill="1" applyAlignment="1">
      <alignment horizontal="left"/>
    </xf>
    <xf numFmtId="3" fontId="1" fillId="4" borderId="0" xfId="2" applyNumberFormat="1" applyFont="1" applyFill="1" applyAlignment="1">
      <alignment horizontal="right"/>
    </xf>
    <xf numFmtId="164" fontId="1" fillId="4" borderId="0" xfId="2" quotePrefix="1" applyNumberFormat="1" applyFont="1" applyFill="1" applyAlignment="1">
      <alignment horizontal="right"/>
    </xf>
    <xf numFmtId="0" fontId="26" fillId="4" borderId="0" xfId="0" applyFont="1" applyFill="1" applyAlignment="1">
      <alignment horizontal="left"/>
    </xf>
    <xf numFmtId="0" fontId="1" fillId="4" borderId="0" xfId="0" applyFont="1" applyFill="1" applyAlignment="1">
      <alignment horizontal="left"/>
    </xf>
    <xf numFmtId="3" fontId="25" fillId="4" borderId="5" xfId="4" applyNumberFormat="1" applyFont="1" applyFill="1" applyBorder="1" applyAlignment="1">
      <alignment horizontal="right" wrapText="1"/>
    </xf>
    <xf numFmtId="49" fontId="18" fillId="4" borderId="2" xfId="4" applyFont="1" applyFill="1" applyBorder="1" applyAlignment="1">
      <alignment horizontal="left" vertical="top" wrapText="1"/>
    </xf>
    <xf numFmtId="3" fontId="18" fillId="4" borderId="2" xfId="4" applyNumberFormat="1" applyFont="1" applyFill="1" applyBorder="1" applyAlignment="1">
      <alignment horizontal="right" vertical="top" wrapText="1"/>
    </xf>
    <xf numFmtId="164" fontId="18" fillId="4" borderId="2" xfId="4" applyNumberFormat="1" applyFont="1" applyFill="1" applyBorder="1" applyAlignment="1">
      <alignment horizontal="right" vertical="top" wrapText="1"/>
    </xf>
    <xf numFmtId="164" fontId="17" fillId="4" borderId="2" xfId="0" applyNumberFormat="1" applyFont="1" applyFill="1" applyBorder="1" applyAlignment="1">
      <alignment horizontal="right" vertical="top"/>
    </xf>
    <xf numFmtId="3" fontId="17" fillId="4" borderId="2" xfId="0" applyNumberFormat="1" applyFont="1" applyFill="1" applyBorder="1" applyAlignment="1">
      <alignment horizontal="right" vertical="top"/>
    </xf>
    <xf numFmtId="49" fontId="16" fillId="4" borderId="2" xfId="4" applyFont="1" applyFill="1" applyBorder="1" applyAlignment="1">
      <alignment horizontal="left" vertical="top" wrapText="1"/>
    </xf>
    <xf numFmtId="3" fontId="16" fillId="4" borderId="2" xfId="4" applyNumberFormat="1" applyFont="1" applyFill="1" applyBorder="1" applyAlignment="1">
      <alignment horizontal="right" vertical="top" wrapText="1"/>
    </xf>
    <xf numFmtId="164" fontId="16" fillId="4" borderId="2" xfId="4" applyNumberFormat="1" applyFont="1" applyFill="1" applyBorder="1" applyAlignment="1">
      <alignment horizontal="right" vertical="top" wrapText="1"/>
    </xf>
    <xf numFmtId="164" fontId="23" fillId="4" borderId="2" xfId="0" applyNumberFormat="1" applyFont="1" applyFill="1" applyBorder="1" applyAlignment="1">
      <alignment horizontal="right" vertical="top"/>
    </xf>
    <xf numFmtId="3" fontId="23" fillId="4" borderId="2" xfId="0" applyNumberFormat="1" applyFont="1" applyFill="1" applyBorder="1" applyAlignment="1">
      <alignment horizontal="right" vertical="top"/>
    </xf>
    <xf numFmtId="0" fontId="14" fillId="4" borderId="0" xfId="3" applyNumberFormat="1" applyFont="1" applyFill="1" applyBorder="1" applyAlignment="1">
      <alignment horizontal="left"/>
    </xf>
    <xf numFmtId="0" fontId="16" fillId="4" borderId="2" xfId="10" applyNumberFormat="1" applyFont="1" applyFill="1" applyBorder="1" applyAlignment="1">
      <alignment horizontal="left" wrapText="1"/>
    </xf>
    <xf numFmtId="0" fontId="17" fillId="4" borderId="2" xfId="0" applyFont="1" applyFill="1" applyBorder="1" applyAlignment="1">
      <alignment horizontal="left"/>
    </xf>
    <xf numFmtId="0" fontId="18" fillId="4" borderId="0" xfId="4" applyNumberFormat="1" applyFont="1" applyFill="1" applyBorder="1" applyAlignment="1">
      <alignment horizontal="left" vertical="top" wrapText="1"/>
    </xf>
    <xf numFmtId="0" fontId="17" fillId="4" borderId="0" xfId="0" applyFont="1" applyFill="1" applyAlignment="1">
      <alignment vertical="top"/>
    </xf>
    <xf numFmtId="0" fontId="18" fillId="4" borderId="2" xfId="4" applyNumberFormat="1" applyFont="1" applyFill="1" applyBorder="1" applyAlignment="1">
      <alignment horizontal="left" vertical="top" wrapText="1"/>
    </xf>
    <xf numFmtId="0" fontId="0" fillId="4" borderId="0" xfId="0" applyFill="1" applyAlignment="1">
      <alignment vertical="top"/>
    </xf>
    <xf numFmtId="0" fontId="0" fillId="0" borderId="0" xfId="0" applyAlignment="1">
      <alignment vertical="top"/>
    </xf>
    <xf numFmtId="49" fontId="25" fillId="4" borderId="0" xfId="4" applyFont="1" applyFill="1" applyBorder="1" applyAlignment="1">
      <alignment horizontal="left"/>
    </xf>
    <xf numFmtId="49" fontId="25" fillId="4" borderId="0" xfId="4" applyNumberFormat="1" applyFont="1" applyFill="1" applyBorder="1" applyAlignment="1">
      <alignment horizontal="left"/>
    </xf>
    <xf numFmtId="3" fontId="25" fillId="4" borderId="0" xfId="4" applyNumberFormat="1" applyFont="1" applyFill="1" applyBorder="1" applyAlignment="1">
      <alignment horizontal="left"/>
    </xf>
    <xf numFmtId="164" fontId="25" fillId="4" borderId="0" xfId="4" applyNumberFormat="1" applyFont="1" applyFill="1" applyBorder="1" applyAlignment="1">
      <alignment horizontal="left"/>
    </xf>
    <xf numFmtId="49" fontId="27" fillId="4" borderId="0" xfId="2" quotePrefix="1" applyFont="1" applyFill="1" applyAlignment="1">
      <alignment horizontal="left" wrapText="1"/>
    </xf>
    <xf numFmtId="49" fontId="27" fillId="4" borderId="0" xfId="0" applyNumberFormat="1" applyFont="1" applyFill="1" applyAlignment="1">
      <alignment wrapText="1"/>
    </xf>
    <xf numFmtId="0" fontId="32" fillId="4" borderId="0" xfId="3" applyNumberFormat="1" applyFont="1" applyFill="1" applyBorder="1" applyAlignment="1">
      <alignment horizontal="left"/>
    </xf>
    <xf numFmtId="0" fontId="36" fillId="4" borderId="0" xfId="0" applyFont="1" applyFill="1"/>
    <xf numFmtId="0" fontId="36" fillId="4" borderId="0" xfId="0" applyFont="1" applyFill="1" applyAlignment="1">
      <alignment horizontal="right"/>
    </xf>
    <xf numFmtId="3" fontId="25" fillId="4" borderId="5" xfId="4" applyNumberFormat="1" applyFont="1" applyFill="1" applyBorder="1" applyAlignment="1">
      <alignment horizontal="left" wrapText="1"/>
    </xf>
    <xf numFmtId="164" fontId="1" fillId="4" borderId="0" xfId="2" applyNumberFormat="1" applyFont="1" applyFill="1">
      <alignment horizontal="right" wrapText="1"/>
    </xf>
    <xf numFmtId="49" fontId="25" fillId="4" borderId="0" xfId="3" applyNumberFormat="1" applyFont="1" applyFill="1" applyBorder="1" applyAlignment="1">
      <alignment horizontal="left"/>
    </xf>
    <xf numFmtId="3" fontId="25" fillId="4" borderId="0" xfId="3" applyNumberFormat="1" applyFont="1" applyFill="1" applyBorder="1" applyAlignment="1">
      <alignment horizontal="right"/>
    </xf>
    <xf numFmtId="164" fontId="25" fillId="4" borderId="0" xfId="3" applyNumberFormat="1" applyFont="1" applyFill="1" applyBorder="1" applyAlignment="1">
      <alignment horizontal="right"/>
    </xf>
    <xf numFmtId="49" fontId="25" fillId="4" borderId="0" xfId="3" applyFont="1" applyFill="1" applyBorder="1" applyAlignment="1">
      <alignment wrapText="1"/>
    </xf>
    <xf numFmtId="0" fontId="25" fillId="4" borderId="0" xfId="3" applyNumberFormat="1" applyFont="1" applyFill="1" applyBorder="1" applyAlignment="1">
      <alignment horizontal="left"/>
    </xf>
    <xf numFmtId="49" fontId="25" fillId="4" borderId="0" xfId="3" applyNumberFormat="1" applyFont="1" applyFill="1" applyBorder="1" applyAlignment="1">
      <alignment horizontal="left" wrapText="1"/>
    </xf>
    <xf numFmtId="3" fontId="25" fillId="4" borderId="0" xfId="3" applyNumberFormat="1" applyFont="1" applyFill="1" applyBorder="1" applyAlignment="1">
      <alignment horizontal="right" wrapText="1"/>
    </xf>
    <xf numFmtId="164" fontId="25" fillId="4" borderId="0" xfId="3" applyNumberFormat="1" applyFont="1" applyFill="1" applyBorder="1" applyAlignment="1">
      <alignment horizontal="right" wrapText="1"/>
    </xf>
    <xf numFmtId="49" fontId="36" fillId="4" borderId="0" xfId="0" applyNumberFormat="1" applyFont="1" applyFill="1"/>
    <xf numFmtId="3" fontId="25" fillId="4" borderId="3" xfId="4" applyNumberFormat="1" applyFont="1" applyFill="1" applyBorder="1" applyAlignment="1">
      <alignment horizontal="right" wrapText="1"/>
    </xf>
    <xf numFmtId="49" fontId="25" fillId="4" borderId="5" xfId="4" applyNumberFormat="1" applyFont="1" applyFill="1" applyBorder="1" applyAlignment="1">
      <alignment horizontal="left" wrapText="1"/>
    </xf>
    <xf numFmtId="3" fontId="25" fillId="4" borderId="2" xfId="4" applyNumberFormat="1" applyFont="1" applyFill="1" applyBorder="1" applyAlignment="1">
      <alignment horizontal="left" wrapText="1"/>
    </xf>
    <xf numFmtId="49" fontId="25" fillId="4" borderId="0" xfId="2" quotePrefix="1" applyFont="1" applyFill="1" applyAlignment="1">
      <alignment horizontal="left"/>
    </xf>
    <xf numFmtId="3" fontId="25" fillId="4" borderId="0" xfId="2" quotePrefix="1" applyNumberFormat="1" applyFont="1" applyFill="1">
      <alignment horizontal="right" wrapText="1"/>
    </xf>
    <xf numFmtId="164" fontId="25" fillId="4" borderId="0" xfId="2" quotePrefix="1" applyNumberFormat="1" applyFont="1" applyFill="1">
      <alignment horizontal="right" wrapText="1"/>
    </xf>
    <xf numFmtId="164" fontId="25" fillId="4" borderId="0" xfId="2" applyNumberFormat="1" applyFont="1" applyFill="1">
      <alignment horizontal="right" wrapText="1"/>
    </xf>
    <xf numFmtId="1" fontId="25" fillId="4" borderId="0" xfId="2" quotePrefix="1" applyNumberFormat="1" applyFont="1" applyFill="1" applyAlignment="1">
      <alignment horizontal="left" wrapText="1"/>
    </xf>
    <xf numFmtId="3" fontId="25" fillId="4" borderId="0" xfId="2" applyNumberFormat="1" applyFont="1" applyFill="1">
      <alignment horizontal="right" wrapText="1"/>
    </xf>
    <xf numFmtId="49" fontId="25" fillId="4" borderId="0" xfId="0" applyNumberFormat="1" applyFont="1" applyFill="1" applyAlignment="1">
      <alignment wrapText="1"/>
    </xf>
    <xf numFmtId="49" fontId="25" fillId="4" borderId="0" xfId="4" applyFont="1" applyFill="1" applyBorder="1" applyAlignment="1">
      <alignment horizontal="left" wrapText="1"/>
    </xf>
    <xf numFmtId="49" fontId="1" fillId="4" borderId="0" xfId="2" quotePrefix="1" applyFont="1" applyFill="1" applyAlignment="1">
      <alignment horizontal="left"/>
    </xf>
    <xf numFmtId="3" fontId="1" fillId="4" borderId="0" xfId="2" quotePrefix="1" applyNumberFormat="1" applyFont="1" applyFill="1" applyAlignment="1">
      <alignment horizontal="right"/>
    </xf>
    <xf numFmtId="164" fontId="26" fillId="4" borderId="0" xfId="0" applyNumberFormat="1" applyFont="1" applyFill="1" applyAlignment="1">
      <alignment horizontal="right"/>
    </xf>
    <xf numFmtId="49" fontId="1" fillId="4" borderId="2" xfId="2" quotePrefix="1" applyFont="1" applyFill="1" applyBorder="1" applyAlignment="1">
      <alignment horizontal="left"/>
    </xf>
    <xf numFmtId="3" fontId="25" fillId="4" borderId="2" xfId="2" quotePrefix="1" applyNumberFormat="1" applyFont="1" applyFill="1" applyBorder="1">
      <alignment horizontal="right" wrapText="1"/>
    </xf>
    <xf numFmtId="49" fontId="1" fillId="4" borderId="2" xfId="0" applyNumberFormat="1" applyFont="1" applyFill="1" applyBorder="1"/>
    <xf numFmtId="0" fontId="39" fillId="4" borderId="0" xfId="13" applyFill="1" applyAlignment="1">
      <alignment horizontal="right"/>
    </xf>
    <xf numFmtId="3" fontId="25" fillId="4" borderId="0" xfId="2" applyNumberFormat="1" applyFont="1" applyFill="1" applyAlignment="1">
      <alignment horizontal="right"/>
    </xf>
    <xf numFmtId="164" fontId="25" fillId="4" borderId="0" xfId="2" applyNumberFormat="1" applyFont="1" applyFill="1" applyAlignment="1">
      <alignment horizontal="right"/>
    </xf>
    <xf numFmtId="49" fontId="36" fillId="4" borderId="0" xfId="0" applyNumberFormat="1" applyFont="1" applyFill="1" applyAlignment="1">
      <alignment horizontal="left"/>
    </xf>
    <xf numFmtId="3" fontId="36" fillId="4" borderId="0" xfId="0" applyNumberFormat="1" applyFont="1" applyFill="1" applyAlignment="1">
      <alignment horizontal="right"/>
    </xf>
    <xf numFmtId="164" fontId="36" fillId="4" borderId="0" xfId="0" applyNumberFormat="1" applyFont="1" applyFill="1" applyAlignment="1">
      <alignment horizontal="right"/>
    </xf>
    <xf numFmtId="164" fontId="25" fillId="4" borderId="0" xfId="3" applyNumberFormat="1" applyFont="1" applyFill="1" applyBorder="1" applyAlignment="1">
      <alignment wrapText="1"/>
    </xf>
    <xf numFmtId="49" fontId="25" fillId="4" borderId="2" xfId="4" applyFont="1" applyFill="1" applyBorder="1" applyAlignment="1">
      <alignment wrapText="1"/>
    </xf>
    <xf numFmtId="49" fontId="25" fillId="4" borderId="0" xfId="4" applyFont="1" applyFill="1" applyBorder="1" applyAlignment="1">
      <alignment wrapText="1"/>
    </xf>
    <xf numFmtId="49" fontId="1" fillId="4" borderId="0" xfId="2" quotePrefix="1" applyFont="1" applyFill="1" applyAlignment="1"/>
    <xf numFmtId="49" fontId="25" fillId="4" borderId="2" xfId="2" quotePrefix="1" applyFont="1" applyFill="1" applyBorder="1" applyAlignment="1">
      <alignment horizontal="left"/>
    </xf>
    <xf numFmtId="49" fontId="25" fillId="4" borderId="2" xfId="2" quotePrefix="1" applyFont="1" applyFill="1" applyBorder="1" applyAlignment="1">
      <alignment horizontal="right"/>
    </xf>
    <xf numFmtId="0" fontId="39" fillId="4" borderId="0" xfId="13" applyFill="1" applyAlignment="1">
      <alignment horizontal="left"/>
    </xf>
    <xf numFmtId="0" fontId="35" fillId="4" borderId="0" xfId="0" applyFont="1" applyFill="1"/>
    <xf numFmtId="166" fontId="35" fillId="4" borderId="0" xfId="0" applyNumberFormat="1" applyFont="1" applyFill="1"/>
    <xf numFmtId="166" fontId="26" fillId="4" borderId="0" xfId="0" applyNumberFormat="1" applyFont="1" applyFill="1"/>
    <xf numFmtId="3" fontId="25" fillId="4" borderId="5" xfId="4" applyNumberFormat="1" applyFont="1" applyFill="1" applyBorder="1" applyAlignment="1">
      <alignment horizontal="center" wrapText="1"/>
    </xf>
    <xf numFmtId="166" fontId="1" fillId="4" borderId="0" xfId="0" applyNumberFormat="1" applyFont="1" applyFill="1"/>
    <xf numFmtId="168" fontId="25" fillId="4" borderId="0" xfId="10" quotePrefix="1" applyNumberFormat="1" applyFont="1" applyFill="1" applyAlignment="1">
      <alignment horizontal="right" wrapText="1"/>
    </xf>
    <xf numFmtId="1" fontId="29" fillId="4" borderId="0" xfId="0" applyNumberFormat="1" applyFont="1" applyFill="1" applyAlignment="1">
      <alignment horizontal="right"/>
    </xf>
    <xf numFmtId="164" fontId="25" fillId="4" borderId="2" xfId="2" quotePrefix="1" applyNumberFormat="1" applyFont="1" applyFill="1" applyBorder="1">
      <alignment horizontal="right" wrapText="1"/>
    </xf>
    <xf numFmtId="164" fontId="1" fillId="4" borderId="2" xfId="2" applyNumberFormat="1" applyFont="1" applyFill="1" applyBorder="1" applyAlignment="1">
      <alignment horizontal="right"/>
    </xf>
    <xf numFmtId="166" fontId="25" fillId="4" borderId="2" xfId="2" quotePrefix="1" applyNumberFormat="1" applyFont="1" applyFill="1" applyBorder="1">
      <alignment horizontal="right" wrapText="1"/>
    </xf>
    <xf numFmtId="1" fontId="29" fillId="4" borderId="2" xfId="0" applyNumberFormat="1" applyFont="1" applyFill="1" applyBorder="1" applyAlignment="1">
      <alignment horizontal="right"/>
    </xf>
    <xf numFmtId="166" fontId="1" fillId="4" borderId="0" xfId="2" quotePrefix="1" applyNumberFormat="1" applyFont="1" applyFill="1" applyAlignment="1">
      <alignment horizontal="right"/>
    </xf>
    <xf numFmtId="166" fontId="1" fillId="4" borderId="0" xfId="2" applyNumberFormat="1" applyFont="1" applyFill="1" applyAlignment="1">
      <alignment horizontal="right"/>
    </xf>
    <xf numFmtId="166" fontId="1" fillId="4" borderId="0" xfId="0" applyNumberFormat="1" applyFont="1" applyFill="1" applyAlignment="1">
      <alignment horizontal="left"/>
    </xf>
    <xf numFmtId="168" fontId="17" fillId="4" borderId="0" xfId="10" applyNumberFormat="1" applyFont="1" applyFill="1" applyBorder="1" applyAlignment="1">
      <alignment horizontal="right"/>
    </xf>
    <xf numFmtId="166" fontId="17" fillId="4" borderId="0" xfId="0" applyNumberFormat="1" applyFont="1" applyFill="1" applyAlignment="1">
      <alignment horizontal="right"/>
    </xf>
    <xf numFmtId="49" fontId="25" fillId="4" borderId="3" xfId="4" applyFont="1" applyFill="1" applyBorder="1" applyAlignment="1">
      <alignment horizontal="left" wrapText="1"/>
    </xf>
    <xf numFmtId="49" fontId="25" fillId="4" borderId="1" xfId="4" applyNumberFormat="1" applyFont="1" applyFill="1" applyBorder="1" applyAlignment="1">
      <alignment horizontal="left"/>
    </xf>
    <xf numFmtId="49" fontId="1" fillId="4" borderId="0" xfId="0" applyNumberFormat="1" applyFont="1" applyFill="1" applyAlignment="1">
      <alignment wrapText="1"/>
    </xf>
    <xf numFmtId="1" fontId="26" fillId="4" borderId="0" xfId="0" applyNumberFormat="1" applyFont="1" applyFill="1" applyAlignment="1">
      <alignment horizontal="left"/>
    </xf>
    <xf numFmtId="0" fontId="1" fillId="4" borderId="0" xfId="2" quotePrefix="1" applyNumberFormat="1" applyFont="1" applyFill="1" applyAlignment="1">
      <alignment horizontal="left" wrapText="1"/>
    </xf>
    <xf numFmtId="3" fontId="1" fillId="4" borderId="0" xfId="2" applyNumberFormat="1" applyFont="1" applyFill="1">
      <alignment horizontal="right" wrapText="1"/>
    </xf>
    <xf numFmtId="3" fontId="1" fillId="4" borderId="0" xfId="0" applyNumberFormat="1" applyFont="1" applyFill="1" applyAlignment="1">
      <alignment wrapText="1"/>
    </xf>
    <xf numFmtId="164" fontId="1" fillId="4" borderId="0" xfId="0" applyNumberFormat="1" applyFont="1" applyFill="1" applyAlignment="1">
      <alignment wrapText="1"/>
    </xf>
    <xf numFmtId="1" fontId="26" fillId="4" borderId="0" xfId="0" applyNumberFormat="1" applyFont="1" applyFill="1" applyAlignment="1">
      <alignment horizontal="left" wrapText="1"/>
    </xf>
    <xf numFmtId="166" fontId="41" fillId="4" borderId="2" xfId="0" applyNumberFormat="1" applyFont="1" applyFill="1" applyBorder="1" applyAlignment="1">
      <alignment horizontal="right" wrapText="1"/>
    </xf>
    <xf numFmtId="49" fontId="1" fillId="4" borderId="0" xfId="2" quotePrefix="1" applyFont="1" applyFill="1" applyAlignment="1">
      <alignment horizontal="left" wrapText="1"/>
    </xf>
    <xf numFmtId="1" fontId="1" fillId="4" borderId="0" xfId="2" quotePrefix="1" applyNumberFormat="1" applyFont="1" applyFill="1" applyAlignment="1">
      <alignment horizontal="left" wrapText="1"/>
    </xf>
    <xf numFmtId="49" fontId="27" fillId="4" borderId="0" xfId="2" quotePrefix="1" applyFont="1" applyFill="1" applyAlignment="1">
      <alignment horizontal="left"/>
    </xf>
    <xf numFmtId="3" fontId="27" fillId="4" borderId="0" xfId="2" quotePrefix="1" applyNumberFormat="1" applyFont="1" applyFill="1">
      <alignment horizontal="right" wrapText="1"/>
    </xf>
    <xf numFmtId="164" fontId="27" fillId="4" borderId="0" xfId="2" quotePrefix="1" applyNumberFormat="1" applyFont="1" applyFill="1">
      <alignment horizontal="right" wrapText="1"/>
    </xf>
    <xf numFmtId="164" fontId="27" fillId="4" borderId="0" xfId="2" applyNumberFormat="1" applyFont="1" applyFill="1">
      <alignment horizontal="right" wrapText="1"/>
    </xf>
    <xf numFmtId="1" fontId="27" fillId="4" borderId="0" xfId="2" quotePrefix="1" applyNumberFormat="1" applyFont="1" applyFill="1" applyAlignment="1">
      <alignment horizontal="left" wrapText="1"/>
    </xf>
    <xf numFmtId="3" fontId="27" fillId="4" borderId="0" xfId="2" applyNumberFormat="1" applyFont="1" applyFill="1">
      <alignment horizontal="right" wrapText="1"/>
    </xf>
    <xf numFmtId="3" fontId="1" fillId="4" borderId="0" xfId="2" quotePrefix="1" applyNumberFormat="1" applyFont="1" applyFill="1">
      <alignment horizontal="right" wrapText="1"/>
    </xf>
    <xf numFmtId="164" fontId="1" fillId="4" borderId="0" xfId="2" quotePrefix="1" applyNumberFormat="1" applyFont="1" applyFill="1">
      <alignment horizontal="right" wrapText="1"/>
    </xf>
    <xf numFmtId="164" fontId="37" fillId="4" borderId="2" xfId="2" applyNumberFormat="1" applyFont="1" applyFill="1" applyBorder="1">
      <alignment horizontal="right" wrapText="1"/>
    </xf>
    <xf numFmtId="1" fontId="37" fillId="4" borderId="2" xfId="2" quotePrefix="1" applyNumberFormat="1" applyFont="1" applyFill="1" applyBorder="1" applyAlignment="1">
      <alignment horizontal="left" wrapText="1"/>
    </xf>
    <xf numFmtId="3" fontId="25" fillId="4" borderId="2" xfId="2" applyNumberFormat="1" applyFont="1" applyFill="1" applyBorder="1">
      <alignment horizontal="right" wrapText="1"/>
    </xf>
    <xf numFmtId="49" fontId="37" fillId="4" borderId="2" xfId="2" quotePrefix="1" applyFont="1" applyFill="1" applyBorder="1" applyAlignment="1">
      <alignment horizontal="left" wrapText="1"/>
    </xf>
    <xf numFmtId="49" fontId="37" fillId="4" borderId="0" xfId="0" applyNumberFormat="1" applyFont="1" applyFill="1" applyAlignment="1">
      <alignment wrapText="1"/>
    </xf>
    <xf numFmtId="49" fontId="36" fillId="4" borderId="0" xfId="0" applyNumberFormat="1" applyFont="1" applyFill="1" applyAlignment="1">
      <alignment vertical="top"/>
    </xf>
    <xf numFmtId="49" fontId="25" fillId="4" borderId="0" xfId="4" applyNumberFormat="1" applyFont="1" applyFill="1" applyBorder="1" applyAlignment="1">
      <alignment horizontal="left" wrapText="1"/>
    </xf>
    <xf numFmtId="3" fontId="25" fillId="4" borderId="0" xfId="4" applyNumberFormat="1" applyFont="1" applyFill="1" applyBorder="1" applyAlignment="1">
      <alignment horizontal="left" wrapText="1"/>
    </xf>
    <xf numFmtId="49" fontId="1" fillId="4" borderId="0" xfId="4" applyNumberFormat="1" applyFont="1" applyFill="1" applyBorder="1" applyAlignment="1">
      <alignment horizontal="left" wrapText="1"/>
    </xf>
    <xf numFmtId="3" fontId="1" fillId="4" borderId="0" xfId="4" applyNumberFormat="1" applyFont="1" applyFill="1" applyBorder="1" applyAlignment="1">
      <alignment horizontal="right" wrapText="1"/>
    </xf>
    <xf numFmtId="164" fontId="1" fillId="4" borderId="0" xfId="4" applyNumberFormat="1" applyFont="1" applyFill="1" applyBorder="1" applyAlignment="1">
      <alignment horizontal="right" wrapText="1"/>
    </xf>
    <xf numFmtId="3" fontId="1" fillId="4" borderId="0" xfId="4" applyNumberFormat="1" applyFont="1" applyFill="1" applyBorder="1" applyAlignment="1">
      <alignment horizontal="left" wrapText="1"/>
    </xf>
    <xf numFmtId="49" fontId="1" fillId="4" borderId="0" xfId="4" applyFont="1" applyFill="1" applyBorder="1" applyAlignment="1">
      <alignment horizontal="left" wrapText="1"/>
    </xf>
    <xf numFmtId="49" fontId="1" fillId="4" borderId="0" xfId="4" applyFont="1" applyFill="1" applyBorder="1" applyAlignment="1">
      <alignment horizontal="left"/>
    </xf>
    <xf numFmtId="49" fontId="1" fillId="4" borderId="0" xfId="4" applyNumberFormat="1" applyFont="1" applyFill="1" applyBorder="1" applyAlignment="1">
      <alignment horizontal="left"/>
    </xf>
    <xf numFmtId="3" fontId="1" fillId="4" borderId="0" xfId="4" applyNumberFormat="1" applyFont="1" applyFill="1" applyBorder="1" applyAlignment="1">
      <alignment horizontal="right"/>
    </xf>
    <xf numFmtId="164" fontId="1" fillId="4" borderId="0" xfId="4" applyNumberFormat="1" applyFont="1" applyFill="1" applyBorder="1" applyAlignment="1">
      <alignment horizontal="right"/>
    </xf>
    <xf numFmtId="3" fontId="1" fillId="4" borderId="0" xfId="4" applyNumberFormat="1" applyFont="1" applyFill="1" applyBorder="1" applyAlignment="1">
      <alignment horizontal="left"/>
    </xf>
    <xf numFmtId="49" fontId="1" fillId="4" borderId="2" xfId="2" quotePrefix="1" applyFont="1" applyFill="1" applyBorder="1" applyAlignment="1">
      <alignment horizontal="left" vertical="top"/>
    </xf>
    <xf numFmtId="0" fontId="29" fillId="4" borderId="2" xfId="0" applyFont="1" applyFill="1" applyBorder="1" applyAlignment="1">
      <alignment horizontal="right"/>
    </xf>
    <xf numFmtId="164" fontId="1" fillId="4" borderId="2" xfId="2" applyNumberFormat="1" applyFont="1" applyFill="1" applyBorder="1" applyAlignment="1">
      <alignment horizontal="right" vertical="top"/>
    </xf>
    <xf numFmtId="49" fontId="1" fillId="4" borderId="0" xfId="2" quotePrefix="1" applyFont="1" applyFill="1" applyAlignment="1">
      <alignment horizontal="left" vertical="top"/>
    </xf>
    <xf numFmtId="3" fontId="1" fillId="4" borderId="0" xfId="2" quotePrefix="1" applyNumberFormat="1" applyFont="1" applyFill="1" applyAlignment="1">
      <alignment horizontal="right" vertical="top"/>
    </xf>
    <xf numFmtId="164" fontId="26" fillId="4" borderId="0" xfId="0" applyNumberFormat="1" applyFont="1" applyFill="1" applyAlignment="1">
      <alignment horizontal="right" vertical="top"/>
    </xf>
    <xf numFmtId="164" fontId="1" fillId="4" borderId="0" xfId="2" applyNumberFormat="1" applyFont="1" applyFill="1" applyAlignment="1">
      <alignment horizontal="right" vertical="top"/>
    </xf>
    <xf numFmtId="3" fontId="1" fillId="4" borderId="0" xfId="2" applyNumberFormat="1" applyFont="1" applyFill="1" applyAlignment="1">
      <alignment horizontal="right" vertical="top"/>
    </xf>
    <xf numFmtId="49" fontId="1" fillId="4" borderId="0" xfId="2" applyFont="1" applyFill="1" applyAlignment="1">
      <alignment horizontal="left" vertical="top"/>
    </xf>
    <xf numFmtId="0" fontId="26" fillId="4" borderId="3" xfId="0" applyFont="1" applyFill="1" applyBorder="1"/>
    <xf numFmtId="3" fontId="25" fillId="4" borderId="2" xfId="4" applyNumberFormat="1" applyFont="1" applyFill="1" applyBorder="1" applyAlignment="1">
      <alignment horizontal="left"/>
    </xf>
    <xf numFmtId="0" fontId="29" fillId="4" borderId="0" xfId="0" applyFont="1" applyFill="1"/>
    <xf numFmtId="3" fontId="29" fillId="4" borderId="0" xfId="0" applyNumberFormat="1" applyFont="1" applyFill="1"/>
    <xf numFmtId="166" fontId="29" fillId="4" borderId="0" xfId="0" applyNumberFormat="1" applyFont="1" applyFill="1" applyAlignment="1">
      <alignment wrapText="1"/>
    </xf>
    <xf numFmtId="0" fontId="26" fillId="4" borderId="0" xfId="0" applyFont="1" applyFill="1" applyAlignment="1">
      <alignment horizontal="left" indent="1"/>
    </xf>
    <xf numFmtId="3" fontId="26" fillId="4" borderId="0" xfId="0" applyNumberFormat="1" applyFont="1" applyFill="1"/>
    <xf numFmtId="166" fontId="26" fillId="4" borderId="0" xfId="0" applyNumberFormat="1" applyFont="1" applyFill="1" applyAlignment="1">
      <alignment wrapText="1"/>
    </xf>
    <xf numFmtId="3" fontId="26" fillId="4" borderId="0" xfId="12" applyNumberFormat="1" applyFont="1" applyFill="1" applyAlignment="1">
      <alignment horizontal="right"/>
    </xf>
    <xf numFmtId="3" fontId="29" fillId="4" borderId="0" xfId="12" applyNumberFormat="1" applyFont="1" applyFill="1" applyAlignment="1">
      <alignment horizontal="right"/>
    </xf>
    <xf numFmtId="0" fontId="26" fillId="4" borderId="2" xfId="0" applyFont="1" applyFill="1" applyBorder="1" applyAlignment="1">
      <alignment horizontal="left" indent="1"/>
    </xf>
    <xf numFmtId="3" fontId="26" fillId="4" borderId="2" xfId="0" applyNumberFormat="1" applyFont="1" applyFill="1" applyBorder="1"/>
    <xf numFmtId="3" fontId="26" fillId="4" borderId="2" xfId="12" applyNumberFormat="1" applyFont="1" applyFill="1" applyBorder="1" applyAlignment="1">
      <alignment horizontal="right"/>
    </xf>
    <xf numFmtId="166" fontId="26" fillId="4" borderId="2" xfId="0" applyNumberFormat="1" applyFont="1" applyFill="1" applyBorder="1" applyAlignment="1">
      <alignment wrapText="1"/>
    </xf>
    <xf numFmtId="1" fontId="25" fillId="4" borderId="2" xfId="10" applyNumberFormat="1" applyFont="1" applyFill="1" applyBorder="1" applyAlignment="1">
      <alignment horizontal="right" wrapText="1"/>
    </xf>
    <xf numFmtId="0" fontId="26" fillId="4" borderId="2" xfId="0" applyFont="1" applyFill="1" applyBorder="1"/>
    <xf numFmtId="3" fontId="25" fillId="4" borderId="5" xfId="4" applyNumberFormat="1" applyFont="1" applyFill="1" applyBorder="1" applyAlignment="1">
      <alignment wrapText="1"/>
    </xf>
    <xf numFmtId="1" fontId="25" fillId="4" borderId="3" xfId="4" applyNumberFormat="1" applyFont="1" applyFill="1" applyBorder="1" applyAlignment="1">
      <alignment horizontal="right" wrapText="1"/>
    </xf>
    <xf numFmtId="0" fontId="26" fillId="4" borderId="0" xfId="12" applyFont="1" applyFill="1"/>
    <xf numFmtId="0" fontId="26" fillId="4" borderId="0" xfId="12" applyFont="1" applyFill="1" applyAlignment="1">
      <alignment wrapText="1"/>
    </xf>
    <xf numFmtId="3" fontId="26" fillId="4" borderId="0" xfId="12" applyNumberFormat="1" applyFont="1" applyFill="1"/>
    <xf numFmtId="164" fontId="26" fillId="4" borderId="0" xfId="12" applyNumberFormat="1" applyFont="1" applyFill="1"/>
    <xf numFmtId="0" fontId="26" fillId="4" borderId="0" xfId="12" applyFont="1" applyFill="1" applyAlignment="1">
      <alignment horizontal="left"/>
    </xf>
    <xf numFmtId="0" fontId="26" fillId="4" borderId="2" xfId="12" applyFont="1" applyFill="1" applyBorder="1"/>
    <xf numFmtId="164" fontId="26" fillId="4" borderId="0" xfId="12" applyNumberFormat="1" applyFont="1" applyFill="1" applyAlignment="1">
      <alignment horizontal="right"/>
    </xf>
    <xf numFmtId="49" fontId="1" fillId="4" borderId="0" xfId="12" applyNumberFormat="1" applyFont="1" applyFill="1" applyAlignment="1">
      <alignment horizontal="left"/>
    </xf>
    <xf numFmtId="49" fontId="1" fillId="4" borderId="0" xfId="12" applyNumberFormat="1" applyFont="1" applyFill="1"/>
    <xf numFmtId="0" fontId="1" fillId="4" borderId="0" xfId="12" applyFont="1" applyFill="1"/>
    <xf numFmtId="164" fontId="27" fillId="4" borderId="0" xfId="0" applyNumberFormat="1" applyFont="1" applyFill="1" applyAlignment="1">
      <alignment horizontal="right" vertical="top"/>
    </xf>
    <xf numFmtId="164" fontId="19" fillId="4" borderId="0" xfId="2" applyNumberFormat="1" applyFont="1" applyFill="1" applyAlignment="1">
      <alignment horizontal="left" wrapText="1"/>
    </xf>
    <xf numFmtId="164" fontId="16" fillId="4" borderId="2" xfId="2" applyNumberFormat="1" applyFont="1" applyFill="1" applyBorder="1" applyAlignment="1">
      <alignment horizontal="left" wrapText="1"/>
    </xf>
    <xf numFmtId="49" fontId="16" fillId="4" borderId="2" xfId="4" applyFont="1" applyFill="1" applyBorder="1" applyAlignment="1">
      <alignment horizontal="left" wrapText="1"/>
    </xf>
    <xf numFmtId="49" fontId="16" fillId="4" borderId="0" xfId="4" applyFont="1" applyFill="1" applyBorder="1" applyAlignment="1">
      <alignment vertical="top"/>
    </xf>
    <xf numFmtId="49" fontId="18" fillId="4" borderId="0" xfId="4" applyFont="1" applyFill="1" applyBorder="1" applyAlignment="1">
      <alignment vertical="top" wrapText="1"/>
    </xf>
    <xf numFmtId="3" fontId="19" fillId="4" borderId="0" xfId="4" applyNumberFormat="1" applyFont="1" applyFill="1" applyBorder="1" applyAlignment="1">
      <alignment horizontal="right" vertical="top" wrapText="1"/>
    </xf>
    <xf numFmtId="164" fontId="19" fillId="4" borderId="0" xfId="4" applyNumberFormat="1" applyFont="1" applyFill="1" applyBorder="1" applyAlignment="1">
      <alignment horizontal="right" vertical="top" wrapText="1"/>
    </xf>
    <xf numFmtId="164" fontId="24" fillId="4" borderId="0" xfId="0" applyNumberFormat="1" applyFont="1" applyFill="1" applyAlignment="1">
      <alignment horizontal="right" vertical="top"/>
    </xf>
    <xf numFmtId="3" fontId="24" fillId="4" borderId="0" xfId="0" applyNumberFormat="1" applyFont="1" applyFill="1" applyAlignment="1">
      <alignment horizontal="right" vertical="top"/>
    </xf>
    <xf numFmtId="0" fontId="24" fillId="4" borderId="0" xfId="0" applyFont="1" applyFill="1" applyAlignment="1">
      <alignment vertical="top"/>
    </xf>
    <xf numFmtId="3" fontId="19" fillId="4" borderId="0" xfId="2" quotePrefix="1" applyNumberFormat="1" applyFont="1" applyFill="1" applyAlignment="1">
      <alignment horizontal="right" vertical="top" wrapText="1"/>
    </xf>
    <xf numFmtId="164" fontId="19" fillId="4" borderId="0" xfId="2" quotePrefix="1" applyNumberFormat="1" applyFont="1" applyFill="1" applyAlignment="1">
      <alignment horizontal="right" vertical="top" wrapText="1"/>
    </xf>
    <xf numFmtId="164" fontId="19" fillId="4" borderId="0" xfId="2" applyNumberFormat="1" applyFont="1" applyFill="1" applyAlignment="1">
      <alignment horizontal="right" vertical="top" wrapText="1"/>
    </xf>
    <xf numFmtId="3" fontId="19" fillId="4" borderId="0" xfId="2" applyNumberFormat="1" applyFont="1" applyFill="1" applyAlignment="1">
      <alignment horizontal="right" vertical="top" wrapText="1"/>
    </xf>
    <xf numFmtId="3" fontId="24" fillId="4" borderId="0" xfId="0" applyNumberFormat="1" applyFont="1" applyFill="1" applyAlignment="1">
      <alignment vertical="top"/>
    </xf>
    <xf numFmtId="164" fontId="24" fillId="4" borderId="0" xfId="0" applyNumberFormat="1" applyFont="1" applyFill="1" applyAlignment="1">
      <alignment vertical="top"/>
    </xf>
    <xf numFmtId="3" fontId="16" fillId="4" borderId="2" xfId="2" quotePrefix="1" applyNumberFormat="1" applyFont="1" applyFill="1" applyBorder="1" applyAlignment="1">
      <alignment horizontal="right" vertical="top" wrapText="1"/>
    </xf>
    <xf numFmtId="164" fontId="16" fillId="4" borderId="2" xfId="2" quotePrefix="1" applyNumberFormat="1" applyFont="1" applyFill="1" applyBorder="1" applyAlignment="1">
      <alignment horizontal="right" vertical="top" wrapText="1"/>
    </xf>
    <xf numFmtId="164" fontId="16" fillId="4" borderId="2" xfId="2" applyNumberFormat="1" applyFont="1" applyFill="1" applyBorder="1" applyAlignment="1">
      <alignment horizontal="right" vertical="top" wrapText="1"/>
    </xf>
    <xf numFmtId="3" fontId="16" fillId="4" borderId="2" xfId="2" applyNumberFormat="1" applyFont="1" applyFill="1" applyBorder="1" applyAlignment="1">
      <alignment horizontal="right" vertical="top" wrapText="1"/>
    </xf>
    <xf numFmtId="0" fontId="23" fillId="4" borderId="2" xfId="0" applyFont="1" applyFill="1" applyBorder="1" applyAlignment="1">
      <alignment vertical="top"/>
    </xf>
    <xf numFmtId="3" fontId="23" fillId="4" borderId="2" xfId="0" applyNumberFormat="1" applyFont="1" applyFill="1" applyBorder="1" applyAlignment="1">
      <alignment vertical="top"/>
    </xf>
    <xf numFmtId="164" fontId="23" fillId="4" borderId="2" xfId="0" applyNumberFormat="1" applyFont="1" applyFill="1" applyBorder="1" applyAlignment="1">
      <alignment vertical="top"/>
    </xf>
    <xf numFmtId="49" fontId="19" fillId="4" borderId="0" xfId="0" applyNumberFormat="1" applyFont="1" applyFill="1" applyAlignment="1">
      <alignment vertical="top"/>
    </xf>
    <xf numFmtId="164" fontId="0" fillId="4" borderId="0" xfId="0" applyNumberFormat="1" applyFill="1" applyAlignment="1">
      <alignment vertical="top"/>
    </xf>
    <xf numFmtId="164" fontId="18" fillId="4" borderId="0" xfId="2" applyNumberFormat="1" applyFont="1" applyFill="1" applyAlignment="1">
      <alignment horizontal="right" vertical="top" wrapText="1"/>
    </xf>
    <xf numFmtId="3" fontId="18" fillId="4" borderId="0" xfId="2" applyNumberFormat="1" applyFont="1" applyFill="1" applyAlignment="1">
      <alignment horizontal="right" vertical="top" wrapText="1"/>
    </xf>
    <xf numFmtId="49" fontId="16" fillId="4" borderId="0" xfId="4" applyFont="1" applyFill="1" applyBorder="1" applyAlignment="1">
      <alignment vertical="top" wrapText="1"/>
    </xf>
    <xf numFmtId="164" fontId="16" fillId="4" borderId="0" xfId="4" applyNumberFormat="1" applyFont="1" applyFill="1" applyBorder="1" applyAlignment="1">
      <alignment horizontal="right" vertical="top" wrapText="1"/>
    </xf>
    <xf numFmtId="49" fontId="19" fillId="4" borderId="0" xfId="4" applyFont="1" applyFill="1" applyBorder="1" applyAlignment="1">
      <alignment vertical="top" wrapText="1"/>
    </xf>
    <xf numFmtId="49" fontId="16" fillId="4" borderId="2" xfId="4" applyFont="1" applyFill="1" applyBorder="1" applyAlignment="1">
      <alignment vertical="top" wrapText="1"/>
    </xf>
    <xf numFmtId="49" fontId="1" fillId="4" borderId="0" xfId="4" applyFont="1" applyFill="1" applyBorder="1" applyAlignment="1">
      <alignment horizontal="left" vertical="top"/>
    </xf>
    <xf numFmtId="49" fontId="18" fillId="4" borderId="0" xfId="2" quotePrefix="1" applyFont="1" applyFill="1" applyAlignment="1">
      <alignment horizontal="left" vertical="top"/>
    </xf>
    <xf numFmtId="49" fontId="14" fillId="4" borderId="0" xfId="3" applyFont="1" applyFill="1" applyBorder="1" applyAlignment="1">
      <alignment horizontal="left" vertical="top"/>
    </xf>
    <xf numFmtId="3" fontId="14" fillId="4" borderId="0" xfId="3" applyNumberFormat="1" applyFont="1" applyFill="1" applyBorder="1" applyAlignment="1">
      <alignment horizontal="right" vertical="top"/>
    </xf>
    <xf numFmtId="164" fontId="14" fillId="4" borderId="0" xfId="3" applyNumberFormat="1" applyFont="1" applyFill="1" applyBorder="1" applyAlignment="1">
      <alignment horizontal="right" vertical="top"/>
    </xf>
    <xf numFmtId="49" fontId="14" fillId="4" borderId="0" xfId="3" applyFont="1" applyFill="1" applyBorder="1" applyAlignment="1">
      <alignment vertical="top" wrapText="1"/>
    </xf>
    <xf numFmtId="3" fontId="14" fillId="4" borderId="0" xfId="3" applyNumberFormat="1" applyFont="1" applyFill="1" applyBorder="1" applyAlignment="1">
      <alignment horizontal="right" vertical="top" wrapText="1"/>
    </xf>
    <xf numFmtId="164" fontId="14" fillId="4" borderId="0" xfId="3" applyNumberFormat="1" applyFont="1" applyFill="1" applyBorder="1" applyAlignment="1">
      <alignment horizontal="right" vertical="top" wrapText="1"/>
    </xf>
    <xf numFmtId="49" fontId="16" fillId="4" borderId="3" xfId="4" applyFont="1" applyFill="1" applyBorder="1" applyAlignment="1">
      <alignment vertical="top"/>
    </xf>
    <xf numFmtId="49" fontId="16" fillId="4" borderId="3" xfId="4" applyFont="1" applyFill="1" applyBorder="1" applyAlignment="1">
      <alignment vertical="top" wrapText="1"/>
    </xf>
    <xf numFmtId="3" fontId="16" fillId="4" borderId="3" xfId="4" applyNumberFormat="1" applyFont="1" applyFill="1" applyBorder="1" applyAlignment="1">
      <alignment horizontal="right" vertical="top" wrapText="1"/>
    </xf>
    <xf numFmtId="49" fontId="19" fillId="4" borderId="0" xfId="4" applyFont="1" applyFill="1" applyBorder="1" applyAlignment="1">
      <alignment vertical="top"/>
    </xf>
    <xf numFmtId="49" fontId="16" fillId="4" borderId="2" xfId="4" applyFont="1" applyFill="1" applyBorder="1" applyAlignment="1">
      <alignment vertical="top"/>
    </xf>
    <xf numFmtId="3" fontId="18" fillId="4" borderId="0" xfId="2" quotePrefix="1" applyNumberFormat="1" applyFont="1" applyFill="1" applyAlignment="1">
      <alignment horizontal="right" vertical="top" wrapText="1"/>
    </xf>
    <xf numFmtId="164" fontId="18" fillId="4" borderId="0" xfId="2" quotePrefix="1" applyNumberFormat="1" applyFont="1" applyFill="1" applyAlignment="1">
      <alignment horizontal="right" vertical="top" wrapText="1"/>
    </xf>
    <xf numFmtId="49" fontId="18" fillId="4" borderId="0" xfId="0" applyNumberFormat="1" applyFont="1" applyFill="1" applyAlignment="1">
      <alignment vertical="top"/>
    </xf>
    <xf numFmtId="164" fontId="18" fillId="4" borderId="0" xfId="2" quotePrefix="1" applyNumberFormat="1" applyFont="1" applyFill="1" applyAlignment="1">
      <alignment horizontal="right" vertical="top"/>
    </xf>
    <xf numFmtId="164" fontId="18" fillId="4" borderId="0" xfId="2" applyNumberFormat="1" applyFont="1" applyFill="1" applyAlignment="1">
      <alignment horizontal="right" vertical="top"/>
    </xf>
    <xf numFmtId="49" fontId="19" fillId="4" borderId="0" xfId="2" quotePrefix="1" applyFont="1" applyFill="1" applyAlignment="1">
      <alignment horizontal="left" wrapText="1"/>
    </xf>
    <xf numFmtId="164" fontId="27" fillId="4" borderId="0" xfId="2" applyNumberFormat="1" applyFont="1" applyFill="1" applyAlignment="1"/>
    <xf numFmtId="164" fontId="16" fillId="4" borderId="0" xfId="2" applyNumberFormat="1" applyFont="1" applyFill="1" applyAlignment="1"/>
    <xf numFmtId="164" fontId="1" fillId="4" borderId="0" xfId="2" applyNumberFormat="1" applyFont="1" applyFill="1" applyAlignment="1">
      <alignment horizontal="left"/>
    </xf>
    <xf numFmtId="0" fontId="27" fillId="4" borderId="0" xfId="2" quotePrefix="1" applyNumberFormat="1" applyFont="1" applyFill="1" applyAlignment="1">
      <alignment horizontal="left" wrapText="1"/>
    </xf>
    <xf numFmtId="164" fontId="27" fillId="4" borderId="0" xfId="0" applyNumberFormat="1" applyFont="1" applyFill="1" applyAlignment="1">
      <alignment horizontal="right" wrapText="1"/>
    </xf>
    <xf numFmtId="0" fontId="25" fillId="4" borderId="2" xfId="2" quotePrefix="1" applyNumberFormat="1" applyFont="1" applyFill="1" applyBorder="1" applyAlignment="1">
      <alignment horizontal="left" wrapText="1"/>
    </xf>
    <xf numFmtId="49" fontId="25" fillId="4" borderId="2" xfId="2" applyFont="1" applyFill="1" applyBorder="1" applyAlignment="1">
      <alignment horizontal="left" wrapText="1"/>
    </xf>
    <xf numFmtId="164" fontId="25" fillId="4" borderId="2" xfId="2" applyNumberFormat="1" applyFont="1" applyFill="1" applyBorder="1">
      <alignment horizontal="right" wrapText="1"/>
    </xf>
    <xf numFmtId="164" fontId="25" fillId="4" borderId="2" xfId="0" applyNumberFormat="1" applyFont="1" applyFill="1" applyBorder="1" applyAlignment="1">
      <alignment horizontal="right" wrapText="1"/>
    </xf>
    <xf numFmtId="164" fontId="27" fillId="4" borderId="0" xfId="2" applyNumberFormat="1" applyFont="1" applyFill="1" applyAlignment="1">
      <alignment vertical="top"/>
    </xf>
    <xf numFmtId="164" fontId="16" fillId="4" borderId="0" xfId="2" applyNumberFormat="1" applyFont="1" applyFill="1" applyAlignment="1">
      <alignment vertical="top"/>
    </xf>
    <xf numFmtId="164" fontId="1" fillId="4" borderId="0" xfId="2" applyNumberFormat="1" applyFont="1" applyFill="1" applyAlignment="1">
      <alignment horizontal="left" vertical="top"/>
    </xf>
    <xf numFmtId="0" fontId="26" fillId="4" borderId="0" xfId="0" applyFont="1" applyFill="1" applyAlignment="1">
      <alignment vertical="top"/>
    </xf>
    <xf numFmtId="49" fontId="27" fillId="4" borderId="0" xfId="0" applyNumberFormat="1" applyFont="1" applyFill="1" applyAlignment="1">
      <alignment horizontal="left" vertical="top"/>
    </xf>
    <xf numFmtId="164" fontId="27" fillId="4" borderId="0" xfId="2" applyNumberFormat="1" applyFont="1" applyFill="1" applyAlignment="1">
      <alignment horizontal="right" vertical="top"/>
    </xf>
    <xf numFmtId="0" fontId="29" fillId="4" borderId="3" xfId="0" applyFont="1" applyFill="1" applyBorder="1" applyAlignment="1">
      <alignment wrapText="1"/>
    </xf>
    <xf numFmtId="49" fontId="18" fillId="4" borderId="0" xfId="4" applyFont="1" applyFill="1" applyBorder="1" applyAlignment="1">
      <alignment vertical="top"/>
    </xf>
    <xf numFmtId="3" fontId="17" fillId="4" borderId="0" xfId="0" applyNumberFormat="1" applyFont="1" applyFill="1" applyAlignment="1">
      <alignment vertical="top"/>
    </xf>
    <xf numFmtId="164" fontId="17" fillId="4" borderId="0" xfId="0" applyNumberFormat="1" applyFont="1" applyFill="1" applyAlignment="1">
      <alignment vertical="top"/>
    </xf>
    <xf numFmtId="3" fontId="18" fillId="4" borderId="0" xfId="2" applyNumberFormat="1" applyFont="1" applyFill="1" applyAlignment="1">
      <alignment horizontal="left" vertical="top" wrapText="1"/>
    </xf>
    <xf numFmtId="0" fontId="22" fillId="4" borderId="0" xfId="0" applyFont="1" applyFill="1" applyAlignment="1">
      <alignment vertical="top"/>
    </xf>
    <xf numFmtId="165" fontId="17" fillId="4" borderId="0" xfId="9" applyNumberFormat="1" applyFont="1" applyFill="1" applyAlignment="1">
      <alignment vertical="top"/>
    </xf>
    <xf numFmtId="49" fontId="16" fillId="4" borderId="2" xfId="2" quotePrefix="1" applyFont="1" applyFill="1" applyBorder="1" applyAlignment="1">
      <alignment horizontal="left" wrapText="1"/>
    </xf>
    <xf numFmtId="3" fontId="27" fillId="4" borderId="0" xfId="0" applyNumberFormat="1" applyFont="1" applyFill="1" applyAlignment="1">
      <alignment horizontal="right"/>
    </xf>
    <xf numFmtId="3" fontId="15" fillId="4" borderId="0" xfId="0" applyNumberFormat="1" applyFont="1" applyFill="1" applyAlignment="1">
      <alignment horizontal="right"/>
    </xf>
    <xf numFmtId="49" fontId="12" fillId="4" borderId="0" xfId="0" applyNumberFormat="1" applyFont="1" applyFill="1"/>
    <xf numFmtId="49" fontId="12" fillId="4" borderId="0" xfId="0" applyNumberFormat="1" applyFont="1" applyFill="1" applyAlignment="1">
      <alignment horizontal="left"/>
    </xf>
    <xf numFmtId="3" fontId="12" fillId="4" borderId="0" xfId="0" applyNumberFormat="1" applyFont="1" applyFill="1" applyAlignment="1">
      <alignment horizontal="right"/>
    </xf>
    <xf numFmtId="3" fontId="12" fillId="4" borderId="0" xfId="0" applyNumberFormat="1" applyFont="1" applyFill="1"/>
    <xf numFmtId="0" fontId="17" fillId="4" borderId="3" xfId="0" applyFont="1" applyFill="1" applyBorder="1"/>
    <xf numFmtId="0" fontId="17" fillId="4" borderId="2" xfId="0" applyFont="1" applyFill="1" applyBorder="1"/>
    <xf numFmtId="0" fontId="18" fillId="4" borderId="2" xfId="2" quotePrefix="1" applyNumberFormat="1" applyFont="1" applyFill="1" applyBorder="1" applyAlignment="1">
      <alignment horizontal="left" wrapText="1"/>
    </xf>
    <xf numFmtId="3" fontId="18" fillId="4" borderId="2" xfId="2" quotePrefix="1" applyNumberFormat="1" applyFont="1" applyFill="1" applyBorder="1">
      <alignment horizontal="right" wrapText="1"/>
    </xf>
    <xf numFmtId="3" fontId="18" fillId="4" borderId="2" xfId="2" applyNumberFormat="1" applyFont="1" applyFill="1" applyBorder="1">
      <alignment horizontal="right" wrapText="1"/>
    </xf>
    <xf numFmtId="0" fontId="9" fillId="4" borderId="0" xfId="0" applyFont="1" applyFill="1" applyAlignment="1">
      <alignment wrapText="1"/>
    </xf>
    <xf numFmtId="164" fontId="19" fillId="4" borderId="0" xfId="2" applyNumberFormat="1" applyFont="1" applyFill="1" applyAlignment="1">
      <alignment horizontal="left" vertical="top" wrapText="1"/>
    </xf>
    <xf numFmtId="49" fontId="1" fillId="4" borderId="0" xfId="2" quotePrefix="1" applyFont="1" applyFill="1" applyAlignment="1">
      <alignment vertical="top"/>
    </xf>
    <xf numFmtId="49" fontId="27" fillId="4" borderId="0" xfId="0" applyNumberFormat="1" applyFont="1" applyFill="1" applyAlignment="1">
      <alignment vertical="top"/>
    </xf>
    <xf numFmtId="3" fontId="27" fillId="4" borderId="0" xfId="0" applyNumberFormat="1" applyFont="1" applyFill="1" applyAlignment="1">
      <alignment horizontal="right" vertical="top"/>
    </xf>
    <xf numFmtId="0" fontId="6" fillId="4" borderId="0" xfId="7" applyFill="1"/>
    <xf numFmtId="166" fontId="17" fillId="4" borderId="0" xfId="0" applyNumberFormat="1" applyFont="1" applyFill="1"/>
    <xf numFmtId="0" fontId="7" fillId="4" borderId="0" xfId="0" applyFont="1" applyFill="1"/>
    <xf numFmtId="0" fontId="11" fillId="4" borderId="0" xfId="0" applyFont="1" applyFill="1"/>
    <xf numFmtId="0" fontId="8" fillId="4" borderId="0" xfId="0" applyFont="1" applyFill="1"/>
    <xf numFmtId="0" fontId="21" fillId="4" borderId="0" xfId="0" applyFont="1" applyFill="1"/>
    <xf numFmtId="0" fontId="13" fillId="4" borderId="0" xfId="0" applyFont="1" applyFill="1"/>
    <xf numFmtId="49" fontId="6" fillId="4" borderId="0" xfId="7" applyNumberFormat="1" applyFill="1"/>
    <xf numFmtId="0" fontId="6" fillId="4" borderId="0" xfId="7" quotePrefix="1" applyFill="1"/>
    <xf numFmtId="0" fontId="34" fillId="4" borderId="0" xfId="0" applyFont="1" applyFill="1"/>
    <xf numFmtId="3" fontId="16" fillId="4" borderId="0" xfId="4" applyNumberFormat="1" applyFont="1" applyFill="1" applyBorder="1" applyAlignment="1">
      <alignment horizontal="left"/>
    </xf>
    <xf numFmtId="49" fontId="16" fillId="4" borderId="0" xfId="4" applyFont="1" applyFill="1" applyBorder="1" applyAlignment="1"/>
    <xf numFmtId="3" fontId="16" fillId="4" borderId="0" xfId="4" applyNumberFormat="1" applyFont="1" applyFill="1" applyBorder="1" applyAlignment="1">
      <alignment horizontal="right"/>
    </xf>
    <xf numFmtId="164" fontId="16" fillId="4" borderId="0" xfId="4" applyNumberFormat="1" applyFont="1" applyFill="1" applyBorder="1" applyAlignment="1">
      <alignment horizontal="right"/>
    </xf>
    <xf numFmtId="3" fontId="18" fillId="4" borderId="0" xfId="4" applyNumberFormat="1" applyFont="1" applyFill="1" applyBorder="1" applyAlignment="1">
      <alignment horizontal="right" wrapText="1"/>
    </xf>
    <xf numFmtId="164" fontId="18" fillId="4" borderId="0" xfId="4" applyNumberFormat="1" applyFont="1" applyFill="1" applyBorder="1" applyAlignment="1">
      <alignment horizontal="right" wrapText="1"/>
    </xf>
    <xf numFmtId="164" fontId="17" fillId="4" borderId="0" xfId="0" applyNumberFormat="1" applyFont="1" applyFill="1" applyAlignment="1">
      <alignment horizontal="right"/>
    </xf>
    <xf numFmtId="3" fontId="17" fillId="4" borderId="0" xfId="0" applyNumberFormat="1" applyFont="1" applyFill="1" applyAlignment="1">
      <alignment horizontal="right"/>
    </xf>
    <xf numFmtId="49" fontId="18" fillId="4" borderId="0" xfId="4" applyFont="1" applyFill="1" applyBorder="1" applyAlignment="1">
      <alignment wrapText="1"/>
    </xf>
    <xf numFmtId="0" fontId="42" fillId="4" borderId="0" xfId="0" applyFont="1" applyFill="1"/>
    <xf numFmtId="3" fontId="19" fillId="4" borderId="0" xfId="4" applyNumberFormat="1" applyFont="1" applyFill="1" applyBorder="1" applyAlignment="1">
      <alignment horizontal="right" wrapText="1"/>
    </xf>
    <xf numFmtId="164" fontId="19" fillId="4" borderId="0" xfId="4" applyNumberFormat="1" applyFont="1" applyFill="1" applyBorder="1" applyAlignment="1">
      <alignment horizontal="right" wrapText="1"/>
    </xf>
    <xf numFmtId="164" fontId="24" fillId="4" borderId="0" xfId="0" applyNumberFormat="1" applyFont="1" applyFill="1" applyAlignment="1">
      <alignment horizontal="right"/>
    </xf>
    <xf numFmtId="3" fontId="24" fillId="4" borderId="0" xfId="0" applyNumberFormat="1" applyFont="1" applyFill="1" applyAlignment="1">
      <alignment horizontal="right"/>
    </xf>
    <xf numFmtId="3" fontId="24" fillId="4" borderId="0" xfId="0" applyNumberFormat="1" applyFont="1" applyFill="1"/>
    <xf numFmtId="164" fontId="24" fillId="4" borderId="0" xfId="0" applyNumberFormat="1" applyFont="1" applyFill="1"/>
    <xf numFmtId="0" fontId="0" fillId="4" borderId="2" xfId="0" applyFill="1" applyBorder="1"/>
    <xf numFmtId="0" fontId="23" fillId="4" borderId="2" xfId="0" applyFont="1" applyFill="1" applyBorder="1"/>
    <xf numFmtId="3" fontId="23" fillId="4" borderId="2" xfId="0" applyNumberFormat="1" applyFont="1" applyFill="1" applyBorder="1"/>
    <xf numFmtId="164" fontId="23" fillId="4" borderId="2" xfId="0" applyNumberFormat="1" applyFont="1" applyFill="1" applyBorder="1"/>
    <xf numFmtId="0" fontId="10" fillId="4" borderId="0" xfId="0" applyFont="1" applyFill="1"/>
    <xf numFmtId="49" fontId="16" fillId="4" borderId="0" xfId="4" applyFont="1" applyFill="1" applyBorder="1" applyAlignment="1">
      <alignment wrapText="1"/>
    </xf>
    <xf numFmtId="49" fontId="19" fillId="4" borderId="0" xfId="4" applyFont="1" applyFill="1" applyBorder="1" applyAlignment="1">
      <alignment wrapText="1"/>
    </xf>
    <xf numFmtId="164" fontId="12" fillId="4" borderId="0" xfId="0" applyNumberFormat="1" applyFont="1" applyFill="1" applyAlignment="1">
      <alignment horizontal="right"/>
    </xf>
    <xf numFmtId="0" fontId="6" fillId="4" borderId="0" xfId="7" applyFill="1" applyAlignment="1">
      <alignment horizontal="left"/>
    </xf>
    <xf numFmtId="3" fontId="16" fillId="4" borderId="3" xfId="4" applyNumberFormat="1" applyFont="1" applyFill="1" applyBorder="1" applyAlignment="1">
      <alignment horizontal="center" wrapText="1"/>
    </xf>
    <xf numFmtId="164" fontId="17" fillId="4" borderId="0" xfId="0" applyNumberFormat="1" applyFont="1" applyFill="1"/>
    <xf numFmtId="0" fontId="18" fillId="4" borderId="0" xfId="2" quotePrefix="1" applyNumberFormat="1" applyFont="1" applyFill="1" applyAlignment="1">
      <alignment horizontal="left" wrapText="1"/>
    </xf>
    <xf numFmtId="1" fontId="0" fillId="4" borderId="0" xfId="0" applyNumberFormat="1" applyFill="1"/>
    <xf numFmtId="164" fontId="17" fillId="4" borderId="2" xfId="0" applyNumberFormat="1" applyFont="1" applyFill="1" applyBorder="1"/>
    <xf numFmtId="9" fontId="18" fillId="4" borderId="0" xfId="9" applyFont="1" applyFill="1" applyAlignment="1">
      <alignment horizontal="right" wrapText="1"/>
    </xf>
    <xf numFmtId="3" fontId="14" fillId="4" borderId="1" xfId="3" applyNumberFormat="1" applyFont="1" applyFill="1" applyBorder="1" applyAlignment="1">
      <alignment horizontal="right"/>
    </xf>
    <xf numFmtId="49" fontId="14" fillId="4" borderId="1" xfId="3" applyFont="1" applyFill="1" applyBorder="1" applyAlignment="1">
      <alignment wrapText="1"/>
    </xf>
    <xf numFmtId="3" fontId="14" fillId="4" borderId="1" xfId="3" applyNumberFormat="1" applyFont="1" applyFill="1" applyBorder="1" applyAlignment="1">
      <alignment horizontal="right" wrapText="1"/>
    </xf>
    <xf numFmtId="3" fontId="17" fillId="4" borderId="0" xfId="0" applyNumberFormat="1" applyFont="1" applyFill="1"/>
    <xf numFmtId="165" fontId="17" fillId="4" borderId="0" xfId="9" applyNumberFormat="1" applyFont="1" applyFill="1"/>
    <xf numFmtId="0" fontId="16" fillId="4" borderId="2" xfId="2" quotePrefix="1" applyNumberFormat="1" applyFont="1" applyFill="1" applyBorder="1" applyAlignment="1">
      <alignment horizontal="left" wrapText="1"/>
    </xf>
    <xf numFmtId="0" fontId="22" fillId="4" borderId="0" xfId="0" applyFont="1" applyFill="1"/>
    <xf numFmtId="49" fontId="16" fillId="4" borderId="0" xfId="4" applyFont="1" applyFill="1" applyBorder="1" applyAlignment="1">
      <alignment horizontal="left" vertical="top" wrapText="1"/>
    </xf>
    <xf numFmtId="164" fontId="23" fillId="4" borderId="0" xfId="0" applyNumberFormat="1" applyFont="1" applyFill="1" applyAlignment="1">
      <alignment horizontal="right" vertical="top"/>
    </xf>
    <xf numFmtId="3" fontId="23" fillId="4" borderId="0" xfId="0" applyNumberFormat="1" applyFont="1" applyFill="1" applyAlignment="1">
      <alignment horizontal="right" vertical="top"/>
    </xf>
    <xf numFmtId="49" fontId="25" fillId="4" borderId="0" xfId="4" applyFont="1" applyFill="1" applyBorder="1" applyAlignment="1">
      <alignment horizontal="right" wrapText="1"/>
    </xf>
    <xf numFmtId="0" fontId="6" fillId="4" borderId="0" xfId="7" applyFill="1" applyBorder="1"/>
    <xf numFmtId="0" fontId="1" fillId="4" borderId="0" xfId="2" quotePrefix="1" applyNumberFormat="1" applyFont="1" applyFill="1" applyAlignment="1">
      <alignment horizontal="left"/>
    </xf>
    <xf numFmtId="3" fontId="1" fillId="4" borderId="0" xfId="2" quotePrefix="1" applyNumberFormat="1" applyFont="1" applyFill="1" applyAlignment="1"/>
    <xf numFmtId="164" fontId="1" fillId="4" borderId="0" xfId="2" quotePrefix="1" applyNumberFormat="1" applyFont="1" applyFill="1" applyAlignment="1"/>
    <xf numFmtId="167" fontId="39" fillId="4" borderId="0" xfId="13" applyNumberFormat="1" applyFill="1" applyAlignment="1">
      <alignment horizontal="right"/>
    </xf>
    <xf numFmtId="49" fontId="38" fillId="4" borderId="0" xfId="2" quotePrefix="1" applyFont="1" applyFill="1" applyAlignment="1"/>
    <xf numFmtId="3" fontId="38" fillId="4" borderId="0" xfId="2" quotePrefix="1" applyNumberFormat="1" applyFont="1" applyFill="1" applyAlignment="1"/>
    <xf numFmtId="164" fontId="38" fillId="4" borderId="0" xfId="2" quotePrefix="1" applyNumberFormat="1" applyFont="1" applyFill="1" applyAlignment="1"/>
    <xf numFmtId="3" fontId="38" fillId="4" borderId="0" xfId="2" quotePrefix="1" applyNumberFormat="1" applyFont="1" applyFill="1" applyAlignment="1">
      <alignment horizontal="right"/>
    </xf>
    <xf numFmtId="164" fontId="38" fillId="4" borderId="0" xfId="2" quotePrefix="1" applyNumberFormat="1" applyFont="1" applyFill="1" applyAlignment="1">
      <alignment horizontal="right"/>
    </xf>
    <xf numFmtId="0" fontId="29" fillId="4" borderId="2" xfId="0" applyFont="1" applyFill="1" applyBorder="1" applyAlignment="1">
      <alignment wrapText="1"/>
    </xf>
    <xf numFmtId="49" fontId="25" fillId="4" borderId="2" xfId="4" applyNumberFormat="1" applyFont="1" applyFill="1" applyBorder="1" applyAlignment="1">
      <alignment wrapText="1"/>
    </xf>
    <xf numFmtId="0" fontId="10" fillId="4" borderId="0" xfId="0" applyFont="1" applyFill="1" applyAlignment="1">
      <alignment vertical="top"/>
    </xf>
    <xf numFmtId="0" fontId="42" fillId="4" borderId="0" xfId="0" applyFont="1" applyFill="1" applyAlignment="1">
      <alignment vertical="top"/>
    </xf>
    <xf numFmtId="49" fontId="25" fillId="4" borderId="0" xfId="2" quotePrefix="1" applyFont="1" applyFill="1" applyAlignment="1">
      <alignment horizontal="left" vertical="top"/>
    </xf>
    <xf numFmtId="164" fontId="25" fillId="4" borderId="0" xfId="0" applyNumberFormat="1" applyFont="1" applyFill="1" applyAlignment="1">
      <alignment horizontal="left"/>
    </xf>
    <xf numFmtId="49" fontId="25" fillId="4" borderId="5" xfId="4" applyFont="1" applyFill="1" applyBorder="1" applyAlignment="1">
      <alignment horizontal="left" vertical="top" wrapText="1"/>
    </xf>
    <xf numFmtId="0" fontId="6" fillId="4" borderId="2" xfId="7" applyFill="1" applyBorder="1"/>
    <xf numFmtId="49" fontId="14" fillId="4" borderId="1" xfId="3" applyFont="1" applyFill="1" applyBorder="1" applyAlignment="1"/>
    <xf numFmtId="49" fontId="16" fillId="4" borderId="6" xfId="4" applyFont="1" applyFill="1" applyBorder="1" applyAlignment="1">
      <alignment wrapText="1"/>
    </xf>
    <xf numFmtId="3" fontId="16" fillId="4" borderId="6" xfId="4" applyNumberFormat="1" applyFont="1" applyFill="1" applyBorder="1" applyAlignment="1">
      <alignment horizontal="right" wrapText="1"/>
    </xf>
    <xf numFmtId="0" fontId="20" fillId="4" borderId="0" xfId="0" applyFont="1" applyFill="1"/>
    <xf numFmtId="3" fontId="20" fillId="4" borderId="0" xfId="0" applyNumberFormat="1" applyFont="1" applyFill="1"/>
    <xf numFmtId="165" fontId="20" fillId="4" borderId="0" xfId="9" applyNumberFormat="1" applyFont="1" applyFill="1"/>
    <xf numFmtId="49" fontId="16" fillId="4" borderId="0" xfId="2" applyFont="1" applyFill="1" applyAlignment="1">
      <alignment horizontal="left" wrapText="1"/>
    </xf>
    <xf numFmtId="3" fontId="16" fillId="4" borderId="0" xfId="2" applyNumberFormat="1" applyFont="1" applyFill="1">
      <alignment horizontal="right" wrapText="1"/>
    </xf>
    <xf numFmtId="49" fontId="19" fillId="4" borderId="2" xfId="2" applyFont="1" applyFill="1" applyBorder="1" applyAlignment="1">
      <alignment horizontal="left" wrapText="1"/>
    </xf>
    <xf numFmtId="164" fontId="19" fillId="4" borderId="2" xfId="2" applyNumberFormat="1" applyFont="1" applyFill="1" applyBorder="1">
      <alignment horizontal="right" wrapText="1"/>
    </xf>
    <xf numFmtId="0" fontId="0" fillId="0" borderId="0" xfId="0" applyAlignment="1">
      <alignment wrapText="1"/>
    </xf>
    <xf numFmtId="0" fontId="6" fillId="4" borderId="0" xfId="7" applyNumberFormat="1" applyFill="1"/>
    <xf numFmtId="164" fontId="1" fillId="4" borderId="0" xfId="2" applyNumberFormat="1" applyFont="1" applyFill="1" applyAlignment="1"/>
    <xf numFmtId="0" fontId="1" fillId="0" borderId="0" xfId="4" applyNumberFormat="1" applyFont="1" applyFill="1" applyBorder="1" applyAlignment="1">
      <alignment horizontal="left" vertical="top" wrapText="1"/>
    </xf>
    <xf numFmtId="49" fontId="1" fillId="0" borderId="0" xfId="2" quotePrefix="1" applyFont="1" applyFill="1" applyAlignment="1">
      <alignment horizontal="left" vertical="top" wrapText="1"/>
    </xf>
    <xf numFmtId="3" fontId="1" fillId="0" borderId="0" xfId="2" quotePrefix="1" applyNumberFormat="1" applyFont="1" applyFill="1" applyAlignment="1">
      <alignment horizontal="right" vertical="top" wrapText="1"/>
    </xf>
    <xf numFmtId="164" fontId="1" fillId="0" borderId="0" xfId="2" applyNumberFormat="1" applyFont="1" applyFill="1" applyAlignment="1">
      <alignment horizontal="right" vertical="top" wrapText="1"/>
    </xf>
    <xf numFmtId="3" fontId="1" fillId="0" borderId="0" xfId="2" applyNumberFormat="1" applyFont="1" applyFill="1" applyAlignment="1">
      <alignment horizontal="right" vertical="top" wrapText="1"/>
    </xf>
    <xf numFmtId="49" fontId="1" fillId="0" borderId="0" xfId="0" applyNumberFormat="1" applyFont="1" applyAlignment="1">
      <alignment vertical="top" wrapText="1"/>
    </xf>
    <xf numFmtId="3" fontId="1" fillId="0" borderId="0" xfId="2" quotePrefix="1" applyNumberFormat="1" applyFont="1" applyFill="1" applyAlignment="1">
      <alignment horizontal="left" vertical="top" wrapText="1"/>
    </xf>
    <xf numFmtId="0" fontId="0" fillId="4" borderId="3" xfId="0" applyFill="1" applyBorder="1"/>
    <xf numFmtId="49" fontId="25" fillId="4" borderId="2" xfId="4" applyNumberFormat="1" applyFont="1" applyFill="1" applyBorder="1" applyAlignment="1">
      <alignment horizontal="right" wrapText="1"/>
    </xf>
    <xf numFmtId="0" fontId="0" fillId="4" borderId="0" xfId="0" applyFill="1" applyAlignment="1">
      <alignment horizontal="right"/>
    </xf>
    <xf numFmtId="49" fontId="25" fillId="4" borderId="2" xfId="2" applyFont="1" applyFill="1" applyBorder="1" applyAlignment="1">
      <alignment horizontal="left" vertical="top"/>
    </xf>
    <xf numFmtId="49" fontId="25" fillId="4" borderId="3" xfId="4" applyNumberFormat="1" applyFont="1" applyFill="1" applyBorder="1" applyAlignment="1">
      <alignment horizontal="left" wrapText="1"/>
    </xf>
    <xf numFmtId="0" fontId="10" fillId="4" borderId="2" xfId="0" applyFont="1" applyFill="1" applyBorder="1" applyAlignment="1">
      <alignment horizontal="right"/>
    </xf>
    <xf numFmtId="166" fontId="17" fillId="4" borderId="2" xfId="0" applyNumberFormat="1" applyFont="1" applyFill="1" applyBorder="1"/>
    <xf numFmtId="0" fontId="26" fillId="0" borderId="3" xfId="0" applyFont="1" applyBorder="1"/>
    <xf numFmtId="3" fontId="16" fillId="4" borderId="4" xfId="4" applyNumberFormat="1" applyFont="1" applyFill="1" applyBorder="1" applyAlignment="1">
      <alignment horizontal="center" wrapText="1"/>
    </xf>
    <xf numFmtId="49" fontId="1" fillId="4" borderId="0" xfId="0" applyNumberFormat="1" applyFont="1" applyFill="1" applyAlignment="1">
      <alignment wrapText="1"/>
    </xf>
    <xf numFmtId="0" fontId="0" fillId="4" borderId="0" xfId="0" applyFill="1" applyAlignment="1">
      <alignment wrapText="1"/>
    </xf>
    <xf numFmtId="0" fontId="0" fillId="4" borderId="0" xfId="0" applyFill="1"/>
    <xf numFmtId="49" fontId="1" fillId="4" borderId="0" xfId="0" applyNumberFormat="1" applyFont="1" applyFill="1" applyAlignment="1">
      <alignment vertical="top" wrapText="1"/>
    </xf>
    <xf numFmtId="0" fontId="0" fillId="0" borderId="0" xfId="0" applyAlignment="1">
      <alignment vertical="top" wrapText="1"/>
    </xf>
    <xf numFmtId="49" fontId="27" fillId="4" borderId="0" xfId="0" applyNumberFormat="1" applyFont="1" applyFill="1" applyAlignment="1">
      <alignment vertical="top" wrapText="1"/>
    </xf>
    <xf numFmtId="0" fontId="0" fillId="4" borderId="0" xfId="0" applyFill="1" applyAlignment="1">
      <alignment vertical="top" wrapText="1"/>
    </xf>
    <xf numFmtId="3" fontId="16" fillId="4" borderId="5" xfId="4" applyNumberFormat="1" applyFont="1" applyFill="1" applyBorder="1" applyAlignment="1">
      <alignment horizontal="center" wrapText="1"/>
    </xf>
    <xf numFmtId="3" fontId="25" fillId="4" borderId="6" xfId="4" applyNumberFormat="1" applyFont="1" applyFill="1" applyBorder="1" applyAlignment="1">
      <alignment horizontal="center" vertical="top" wrapText="1"/>
    </xf>
    <xf numFmtId="0" fontId="26" fillId="4" borderId="0" xfId="0" applyFont="1" applyFill="1" applyAlignment="1">
      <alignment vertical="top" wrapText="1"/>
    </xf>
    <xf numFmtId="3" fontId="16" fillId="4" borderId="5" xfId="4" applyNumberFormat="1" applyFont="1" applyFill="1" applyBorder="1" applyAlignment="1">
      <alignment horizontal="center"/>
    </xf>
    <xf numFmtId="0" fontId="26" fillId="4" borderId="0" xfId="0" applyFont="1" applyFill="1" applyAlignment="1">
      <alignment horizontal="left" vertical="top"/>
    </xf>
    <xf numFmtId="49" fontId="1" fillId="4" borderId="0" xfId="0" applyNumberFormat="1" applyFont="1" applyFill="1" applyAlignment="1">
      <alignment horizontal="left" wrapText="1"/>
    </xf>
    <xf numFmtId="49" fontId="1" fillId="4" borderId="0" xfId="0" applyNumberFormat="1" applyFont="1" applyFill="1" applyAlignment="1">
      <alignment horizontal="left" vertical="top"/>
    </xf>
    <xf numFmtId="49" fontId="1" fillId="4" borderId="0" xfId="0" applyNumberFormat="1" applyFont="1" applyFill="1" applyAlignment="1">
      <alignment horizontal="left"/>
    </xf>
    <xf numFmtId="0" fontId="0" fillId="0" borderId="0" xfId="0" applyAlignment="1">
      <alignment wrapText="1"/>
    </xf>
    <xf numFmtId="49" fontId="27" fillId="4" borderId="0" xfId="0" applyNumberFormat="1" applyFont="1" applyFill="1" applyAlignment="1">
      <alignment wrapText="1"/>
    </xf>
    <xf numFmtId="3" fontId="29" fillId="4" borderId="5" xfId="4" applyNumberFormat="1" applyFont="1" applyFill="1" applyBorder="1" applyAlignment="1">
      <alignment horizontal="center" wrapText="1"/>
    </xf>
    <xf numFmtId="49" fontId="1" fillId="4" borderId="0" xfId="0" applyNumberFormat="1" applyFont="1" applyFill="1" applyAlignment="1">
      <alignment horizontal="left" vertical="top" wrapText="1"/>
    </xf>
    <xf numFmtId="49" fontId="25" fillId="4" borderId="5" xfId="4" applyFont="1" applyFill="1" applyBorder="1" applyAlignment="1">
      <alignment horizontal="center" vertical="top" wrapText="1"/>
    </xf>
    <xf numFmtId="49" fontId="25" fillId="4" borderId="5" xfId="4" applyFont="1" applyFill="1" applyBorder="1" applyAlignment="1">
      <alignment horizontal="center" vertical="top"/>
    </xf>
    <xf numFmtId="0" fontId="0" fillId="0" borderId="0" xfId="0" applyAlignment="1">
      <alignment horizontal="left" vertical="top" wrapText="1"/>
    </xf>
    <xf numFmtId="3" fontId="16" fillId="4" borderId="5" xfId="4" applyNumberFormat="1" applyFont="1" applyFill="1" applyBorder="1" applyAlignment="1">
      <alignment horizontal="center" vertical="top" wrapText="1"/>
    </xf>
    <xf numFmtId="49" fontId="18" fillId="4" borderId="0" xfId="2" quotePrefix="1" applyFont="1" applyFill="1" applyAlignment="1">
      <alignment horizontal="left" wrapText="1"/>
    </xf>
    <xf numFmtId="0" fontId="17" fillId="4" borderId="0" xfId="0" applyFont="1" applyFill="1" applyAlignment="1">
      <alignment wrapText="1"/>
    </xf>
    <xf numFmtId="49" fontId="25" fillId="4" borderId="5" xfId="4" applyFont="1" applyFill="1" applyBorder="1" applyAlignment="1">
      <alignment horizontal="center" wrapText="1"/>
    </xf>
    <xf numFmtId="1" fontId="25" fillId="4" borderId="4" xfId="4" applyNumberFormat="1" applyFont="1" applyFill="1" applyBorder="1" applyAlignment="1">
      <alignment horizontal="center" wrapText="1"/>
    </xf>
    <xf numFmtId="1" fontId="25" fillId="4" borderId="4" xfId="11" applyNumberFormat="1" applyFont="1" applyFill="1" applyBorder="1" applyAlignment="1">
      <alignment horizontal="center" wrapText="1"/>
    </xf>
    <xf numFmtId="3" fontId="25" fillId="4" borderId="3" xfId="4" applyNumberFormat="1" applyFont="1" applyFill="1" applyBorder="1" applyAlignment="1">
      <alignment horizontal="right" wrapText="1"/>
    </xf>
    <xf numFmtId="3" fontId="25" fillId="4" borderId="2" xfId="4" applyNumberFormat="1" applyFont="1" applyFill="1" applyBorder="1" applyAlignment="1">
      <alignment horizontal="right" wrapText="1"/>
    </xf>
    <xf numFmtId="3" fontId="25" fillId="4" borderId="5" xfId="4" applyNumberFormat="1" applyFont="1" applyFill="1" applyBorder="1" applyAlignment="1">
      <alignment horizontal="center" wrapText="1"/>
    </xf>
    <xf numFmtId="3" fontId="25" fillId="4" borderId="3" xfId="4" applyNumberFormat="1" applyFont="1" applyFill="1" applyBorder="1" applyAlignment="1">
      <alignment horizontal="center" wrapText="1"/>
    </xf>
    <xf numFmtId="3" fontId="25" fillId="4" borderId="6" xfId="4" applyNumberFormat="1" applyFont="1" applyFill="1" applyBorder="1" applyAlignment="1">
      <alignment horizontal="center" wrapText="1"/>
    </xf>
    <xf numFmtId="0" fontId="0" fillId="4" borderId="0" xfId="0" applyFill="1" applyAlignment="1">
      <alignment horizontal="left" wrapText="1"/>
    </xf>
    <xf numFmtId="0" fontId="16" fillId="4" borderId="0" xfId="10" applyNumberFormat="1" applyFont="1" applyFill="1" applyBorder="1" applyAlignment="1">
      <alignment horizontal="left" vertical="top"/>
    </xf>
    <xf numFmtId="0" fontId="0" fillId="4" borderId="0" xfId="0" applyFill="1" applyAlignment="1">
      <alignment vertical="top"/>
    </xf>
    <xf numFmtId="0" fontId="16" fillId="4" borderId="0" xfId="10" applyNumberFormat="1" applyFont="1" applyFill="1" applyBorder="1" applyAlignment="1">
      <alignment vertical="top"/>
    </xf>
    <xf numFmtId="0" fontId="16" fillId="4" borderId="3" xfId="10" applyNumberFormat="1" applyFont="1" applyFill="1" applyBorder="1" applyAlignment="1"/>
    <xf numFmtId="0" fontId="0" fillId="4" borderId="3" xfId="0" applyFill="1" applyBorder="1"/>
    <xf numFmtId="49" fontId="25" fillId="4" borderId="5" xfId="4" applyNumberFormat="1" applyFont="1" applyFill="1" applyBorder="1" applyAlignment="1">
      <alignment horizontal="right" vertical="center" wrapText="1"/>
    </xf>
    <xf numFmtId="0" fontId="0" fillId="0" borderId="5" xfId="0" applyBorder="1" applyAlignment="1">
      <alignment horizontal="right" vertical="center" wrapText="1"/>
    </xf>
    <xf numFmtId="0" fontId="0" fillId="0" borderId="0" xfId="0" applyAlignment="1">
      <alignment horizontal="left" wrapText="1"/>
    </xf>
    <xf numFmtId="49" fontId="1" fillId="4" borderId="3" xfId="2" quotePrefix="1" applyFont="1" applyFill="1" applyBorder="1" applyAlignment="1">
      <alignment horizontal="left" vertical="top" wrapText="1"/>
    </xf>
    <xf numFmtId="0" fontId="0" fillId="4" borderId="3" xfId="0" applyFill="1" applyBorder="1" applyAlignment="1">
      <alignment wrapText="1"/>
    </xf>
  </cellXfs>
  <cellStyles count="15">
    <cellStyle name="20% - Accent3 2" xfId="1" xr:uid="{00000000-0005-0000-0000-000000000000}"/>
    <cellStyle name="AIHW Body" xfId="2" xr:uid="{00000000-0005-0000-0000-000001000000}"/>
    <cellStyle name="AIHW Caption" xfId="3" xr:uid="{00000000-0005-0000-0000-000002000000}"/>
    <cellStyle name="AIHW Column Heading" xfId="4" xr:uid="{00000000-0005-0000-0000-000003000000}"/>
    <cellStyle name="AIHW Footnote" xfId="5" xr:uid="{00000000-0005-0000-0000-000004000000}"/>
    <cellStyle name="AIHW Upper Level Heading" xfId="6" xr:uid="{00000000-0005-0000-0000-000005000000}"/>
    <cellStyle name="Comma" xfId="10" builtinId="3"/>
    <cellStyle name="Comma 2" xfId="11" xr:uid="{042A8113-A4A8-46A2-94D8-A19D50A0004B}"/>
    <cellStyle name="Hyperlink" xfId="7" builtinId="8"/>
    <cellStyle name="Normal" xfId="0" builtinId="0"/>
    <cellStyle name="Normal 2" xfId="13" xr:uid="{98564B4B-C71C-4944-8F4D-2CF9C4CFC0ED}"/>
    <cellStyle name="Normal 2 2" xfId="8" xr:uid="{00000000-0005-0000-0000-000008000000}"/>
    <cellStyle name="Normal 2 3" xfId="12" xr:uid="{262B9FC4-846A-45A6-AF3A-8BF401446485}"/>
    <cellStyle name="Normal 3" xfId="14" xr:uid="{28F0F0CA-CE00-4C53-B60D-95ACDC3CF02C}"/>
    <cellStyle name="Percent" xfId="9" builtinId="5"/>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28575</xdr:colOff>
      <xdr:row>1</xdr:row>
      <xdr:rowOff>0</xdr:rowOff>
    </xdr:from>
    <xdr:to>
      <xdr:col>1</xdr:col>
      <xdr:colOff>3465195</xdr:colOff>
      <xdr:row>2</xdr:row>
      <xdr:rowOff>13335</xdr:rowOff>
    </xdr:to>
    <xdr:pic>
      <xdr:nvPicPr>
        <xdr:cNvPr id="1101" name="Picture 1" descr="Australian Government. Australian Institute of Health and Welfare" title="logo">
          <a:extLst>
            <a:ext uri="{FF2B5EF4-FFF2-40B4-BE49-F238E27FC236}">
              <a16:creationId xmlns:a16="http://schemas.microsoft.com/office/drawing/2014/main" id="{00000000-0008-0000-0100-00004D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219075" y="190500"/>
          <a:ext cx="3436620" cy="708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aihw-bg">
  <a:themeElements>
    <a:clrScheme name="AIHW - blue/green">
      <a:dk1>
        <a:srgbClr val="262626"/>
      </a:dk1>
      <a:lt1>
        <a:sysClr val="window" lastClr="FFFFFF"/>
      </a:lt1>
      <a:dk2>
        <a:srgbClr val="45494B"/>
      </a:dk2>
      <a:lt2>
        <a:srgbClr val="E7E6E6"/>
      </a:lt2>
      <a:accent1>
        <a:srgbClr val="297D96"/>
      </a:accent1>
      <a:accent2>
        <a:srgbClr val="A1C77C"/>
      </a:accent2>
      <a:accent3>
        <a:srgbClr val="09374D"/>
      </a:accent3>
      <a:accent4>
        <a:srgbClr val="7863B0"/>
      </a:accent4>
      <a:accent5>
        <a:srgbClr val="175E75"/>
      </a:accent5>
      <a:accent6>
        <a:srgbClr val="7BA857"/>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B2:H49"/>
  <sheetViews>
    <sheetView tabSelected="1" workbookViewId="0"/>
  </sheetViews>
  <sheetFormatPr defaultRowHeight="15" x14ac:dyDescent="0.25"/>
  <cols>
    <col min="1" max="1" width="2.5" style="502" customWidth="1"/>
    <col min="2" max="2" width="98" style="502" customWidth="1"/>
    <col min="3" max="16384" width="9" style="502"/>
  </cols>
  <sheetData>
    <row r="2" spans="2:5" ht="54.75" customHeight="1" x14ac:dyDescent="0.25">
      <c r="B2" s="157"/>
    </row>
    <row r="3" spans="2:5" x14ac:dyDescent="0.25">
      <c r="B3" s="157"/>
    </row>
    <row r="4" spans="2:5" ht="18.75" x14ac:dyDescent="0.3">
      <c r="B4" s="503" t="s">
        <v>30</v>
      </c>
      <c r="C4" s="504"/>
      <c r="D4" s="504"/>
      <c r="E4" s="504"/>
    </row>
    <row r="5" spans="2:5" ht="18.75" x14ac:dyDescent="0.3">
      <c r="B5" s="505" t="s">
        <v>32</v>
      </c>
      <c r="C5" s="504"/>
      <c r="D5" s="504"/>
      <c r="E5" s="504"/>
    </row>
    <row r="6" spans="2:5" ht="18.75" x14ac:dyDescent="0.3">
      <c r="B6" s="503" t="s">
        <v>31</v>
      </c>
      <c r="C6" s="504"/>
      <c r="D6" s="504"/>
      <c r="E6" s="504"/>
    </row>
    <row r="7" spans="2:5" x14ac:dyDescent="0.25">
      <c r="B7" s="157"/>
    </row>
    <row r="8" spans="2:5" ht="15.95" customHeight="1" x14ac:dyDescent="0.25">
      <c r="B8" s="506" t="s">
        <v>28</v>
      </c>
    </row>
    <row r="9" spans="2:5" ht="15.95" customHeight="1" x14ac:dyDescent="0.25">
      <c r="B9" s="507" t="str">
        <f>'Table S2.1'!A1</f>
        <v>Table S2.1: Deaths by sex and age group, 2023</v>
      </c>
    </row>
    <row r="10" spans="2:5" ht="15.95" customHeight="1" x14ac:dyDescent="0.25">
      <c r="B10" s="507" t="str">
        <f>'Table S2.2'!A1</f>
        <v>Table S2.2: Child deaths (aged 0–4), number, per cent of all deaths and rates (per 100,000 population), by sex, 1907–2023</v>
      </c>
    </row>
    <row r="11" spans="2:5" ht="15.95" customHeight="1" x14ac:dyDescent="0.25">
      <c r="B11" s="507" t="str">
        <f>'Table S2.3'!A1</f>
        <v>Table S2.3: Potential years of life lost before age 75, number and rate, by sex, 1907–2023</v>
      </c>
    </row>
    <row r="12" spans="2:5" ht="15.95" customHeight="1" x14ac:dyDescent="0.25">
      <c r="B12" s="507" t="str">
        <f>'Table S3.1'!A1</f>
        <v>Table S3.1: Leading underlying causes of death, number, per cent of all deaths and age-standardised death rates, by sex, 2023</v>
      </c>
    </row>
    <row r="13" spans="2:5" ht="15.95" customHeight="1" x14ac:dyDescent="0.25">
      <c r="B13" s="500" t="str">
        <f>'Table S3.2'!A1</f>
        <v>Table S3.2: Leading underlying causes of death, number, per cent of all deaths and age-specific rates, by sex and age group, 2023</v>
      </c>
    </row>
    <row r="14" spans="2:5" ht="15.95" customHeight="1" x14ac:dyDescent="0.25">
      <c r="B14" s="507" t="str">
        <f>'Table S4.1'!A1</f>
        <v>Table S4.1: Deaths due to COVID-19, number and age-specific rates, by age and sex, 2023</v>
      </c>
    </row>
    <row r="15" spans="2:5" ht="15.95" customHeight="1" x14ac:dyDescent="0.25">
      <c r="B15" s="507" t="str">
        <f>'Table S5.1'!A1</f>
        <v>Table S5.1: Potentially avoidable deaths (among people aged under 75), numbers, per cent and rates, by sex, 1997–2023</v>
      </c>
    </row>
    <row r="16" spans="2:5" ht="15.95" customHeight="1" x14ac:dyDescent="0.25">
      <c r="B16" s="581" t="str">
        <f>'Table S5.2'!A1</f>
        <v>Table S5.2: Potentially avoidable causes of death (among people aged under 75), number, per cent and rates (deaths per 100,000 population), by sex and broad cause groups, 2023</v>
      </c>
    </row>
    <row r="17" spans="2:8" ht="15.95" customHeight="1" x14ac:dyDescent="0.25">
      <c r="B17" s="500" t="str">
        <f>'Table S5.3'!A1</f>
        <v>Table S5.3: Leading potentially avoidable deaths (among people aged under 75), number, per cent and rates (deaths per 100,000 population), by sex, 2023</v>
      </c>
    </row>
    <row r="18" spans="2:8" ht="15.95" customHeight="1" x14ac:dyDescent="0.25">
      <c r="B18" s="507" t="str">
        <f>'Table S6.1'!A1</f>
        <v>Table S6.1: Deaths, number and rates, by sex, 1907–2023</v>
      </c>
    </row>
    <row r="19" spans="2:8" ht="15.95" customHeight="1" x14ac:dyDescent="0.25">
      <c r="B19" s="507" t="str">
        <f>'Table S6.2'!A1</f>
        <v>Table S6.2: Deaths by broad cause of death, number and rates, 1907–2023</v>
      </c>
    </row>
    <row r="20" spans="2:8" ht="15.95" customHeight="1" x14ac:dyDescent="0.25">
      <c r="B20" s="507" t="str">
        <f>'Table S6.3'!A1</f>
        <v>Table S6.3: Leading underlying causes of death, number, per cent of all deaths and age-standardised death rates, by sex, 2013</v>
      </c>
    </row>
    <row r="21" spans="2:8" ht="15.95" customHeight="1" x14ac:dyDescent="0.25">
      <c r="B21" s="500" t="str">
        <f>'Table S6.4'!A1</f>
        <v>Table S6.4: Leading underlying causes of death, number, per cent of all deaths and age-standardised death rates, by sex, 2013–2023</v>
      </c>
    </row>
    <row r="22" spans="2:8" ht="15.95" customHeight="1" x14ac:dyDescent="0.25">
      <c r="B22" s="508" t="str">
        <f>'Table S7.1'!A1</f>
        <v>Table S7.1: Leading underlying causes of death, number, per cent of all deaths and rates, Aboriginal and Torres Strait Islander (First Nations) people, NSW, Qld, WA, SA and NT, 2021-2023</v>
      </c>
    </row>
    <row r="23" spans="2:8" ht="15.95" customHeight="1" x14ac:dyDescent="0.25">
      <c r="B23" s="508" t="s">
        <v>589</v>
      </c>
    </row>
    <row r="24" spans="2:8" ht="15.95" customHeight="1" x14ac:dyDescent="0.25">
      <c r="B24" s="500" t="str">
        <f>'Table S7.3'!A1</f>
        <v>Table S7.3: Leading potentially avoidable cause of death (among people aged under 75), number, per cent and rates, by Indigenous status and sex, NSW, Qld, WA, SA and NT, 2021-2023</v>
      </c>
    </row>
    <row r="25" spans="2:8" ht="15.95" customHeight="1" x14ac:dyDescent="0.25">
      <c r="B25" s="500" t="str">
        <f>'Table S7.4'!A1</f>
        <v>Table S7.4: Leading underlying causes of death, number, per cent and rates, by sex and Remoteness area, 2021-2023</v>
      </c>
    </row>
    <row r="26" spans="2:8" ht="15.95" customHeight="1" x14ac:dyDescent="0.25">
      <c r="B26" s="507" t="str">
        <f>'Table S7.5'!A1</f>
        <v>Table S7.5: Leading potentially avoidable cause of death (among people aged under 75), number, per cent and rates, by sex and Remoteness area, 2021–2023</v>
      </c>
    </row>
    <row r="27" spans="2:8" ht="15.95" customHeight="1" x14ac:dyDescent="0.25">
      <c r="B27" s="500" t="str">
        <f>'Table S7.6'!A1</f>
        <v>Table S7.6: Leading underlying causes of death, number, per cent and rates, by sex and Socioeconomic area, 2021-2023</v>
      </c>
    </row>
    <row r="28" spans="2:8" ht="15.95" customHeight="1" x14ac:dyDescent="0.25">
      <c r="B28" s="507" t="str">
        <f>'Table S7.7'!A1</f>
        <v>Table S7.7: Leading potentially avoidable cause of death (among people aged under 75), number, per cent and rates, by sex, by sex and Socioeconomic area, 2021–2023</v>
      </c>
      <c r="H28" s="509"/>
    </row>
    <row r="29" spans="2:8" ht="15.95" customHeight="1" x14ac:dyDescent="0.25">
      <c r="B29" s="500" t="str">
        <f>'Table S8.1'!A1</f>
        <v>Table S8.1: Number of deaths and number of causes recorded per death (%), 2015, 2019 and 2023</v>
      </c>
    </row>
    <row r="30" spans="2:8" ht="15.95" customHeight="1" x14ac:dyDescent="0.25">
      <c r="B30" s="500" t="str">
        <f>'Table S8.2'!A1</f>
        <v>Table S8.2: Number of deaths, number of causes, and average number of causes per death, by sex and age group, for years 2015, 2019 and 2023</v>
      </c>
    </row>
    <row r="31" spans="2:8" ht="15.95" customHeight="1" x14ac:dyDescent="0.25">
      <c r="B31" s="500" t="str">
        <f>'Table S8.3'!A1</f>
        <v>Table S8.3: Average number of causes per death, by cause group of the underlying cause, 2023</v>
      </c>
    </row>
    <row r="32" spans="2:8" ht="15.95" customHeight="1" x14ac:dyDescent="0.25">
      <c r="B32" s="500" t="str">
        <f>'Table S8.4'!A1</f>
        <v>Table S8.4: Cause of death, per cent involvement by cause type, cause group and specific causes, 2023</v>
      </c>
    </row>
    <row r="33" spans="2:2" ht="15.95" customHeight="1" x14ac:dyDescent="0.25">
      <c r="B33" s="500" t="str">
        <f>'Table S8.5'!A1</f>
        <v>Table S8.5: Most common causes of death, number and per cent of deaths, by cause type and sex, 2023</v>
      </c>
    </row>
    <row r="34" spans="2:2" ht="15.95" customHeight="1" x14ac:dyDescent="0.25">
      <c r="B34" s="500" t="str">
        <f>'Table S8.6'!A1</f>
        <v>Table S8.6: Most common causes of death, number and per cent of deaths, by cause type and age group, 2023</v>
      </c>
    </row>
    <row r="35" spans="2:2" ht="15.95" customHeight="1" x14ac:dyDescent="0.25">
      <c r="B35" s="500" t="str">
        <f>'Table S8.7'!A1</f>
        <v>Table S8.7: Most commonly involved psychosocial factors, coroner-referred deaths, number and per cent , by sex, 2023</v>
      </c>
    </row>
    <row r="36" spans="2:2" ht="15.95" customHeight="1" x14ac:dyDescent="0.25">
      <c r="B36" s="500" t="str">
        <f>'Table S8.8'!A1</f>
        <v>Table S8.8: Most common psychosocial factors, coroner-referred deaths, number and per cent of deaths, by underlying cause and sex, 2023</v>
      </c>
    </row>
    <row r="37" spans="2:2" ht="15.95" customHeight="1" x14ac:dyDescent="0.25">
      <c r="B37" s="500" t="str">
        <f>'Table S8.9'!A1</f>
        <v>Table S8.9: Most common psychosocial factors, coroner-referred deaths, number and per cent of deaths, by sex and age group, 2023</v>
      </c>
    </row>
    <row r="38" spans="2:2" ht="15.95" customHeight="1" x14ac:dyDescent="0.25">
      <c r="B38" s="507" t="str">
        <f>'Table S8.10'!A1</f>
        <v>Table S8.10: Most common causes of death, number and per cent of deaths, by cause type and Socioeconomic area, 2021–2023</v>
      </c>
    </row>
    <row r="39" spans="2:2" ht="15.95" customHeight="1" x14ac:dyDescent="0.25">
      <c r="B39" s="507" t="str">
        <f>'Table S8.11'!A1</f>
        <v>Table S8.11: Most commonly recorded psychosocial factors, coroner-referred deaths, number and per cent of deaths, by sex and Socioeconomic area (quintile), 2021–2023</v>
      </c>
    </row>
    <row r="40" spans="2:2" ht="15.95" customHeight="1" x14ac:dyDescent="0.25">
      <c r="B40" s="507" t="s">
        <v>659</v>
      </c>
    </row>
    <row r="41" spans="2:2" ht="15.95" customHeight="1" x14ac:dyDescent="0.25">
      <c r="B41" s="507" t="str">
        <f>'Table S9.1'!A1</f>
        <v>Table S9.1: Life expectancy (expected age at death in years) at different ages by sex, 1881–1890 to 2021–2023</v>
      </c>
    </row>
    <row r="42" spans="2:2" ht="15.95" customHeight="1" x14ac:dyDescent="0.25">
      <c r="B42" s="507" t="str">
        <f>'Table S9.2'!A1</f>
        <v>Table S9.2: Life expectancy (years) at birth by sex, OECD countries, 2023 (or nearest available year)</v>
      </c>
    </row>
    <row r="43" spans="2:2" ht="15.95" customHeight="1" x14ac:dyDescent="0.25">
      <c r="B43" s="157"/>
    </row>
    <row r="44" spans="2:2" ht="15.95" customHeight="1" x14ac:dyDescent="0.25">
      <c r="B44" s="157"/>
    </row>
    <row r="45" spans="2:2" x14ac:dyDescent="0.25">
      <c r="B45" s="157"/>
    </row>
    <row r="46" spans="2:2" x14ac:dyDescent="0.25">
      <c r="B46" s="157"/>
    </row>
    <row r="47" spans="2:2" x14ac:dyDescent="0.25">
      <c r="B47" s="157"/>
    </row>
    <row r="48" spans="2:2" x14ac:dyDescent="0.25">
      <c r="B48" s="157"/>
    </row>
    <row r="49" spans="2:2" x14ac:dyDescent="0.25">
      <c r="B49" s="157"/>
    </row>
  </sheetData>
  <hyperlinks>
    <hyperlink ref="B9" location="'Table S2.1'!A1" display="Table S2.1: Deaths by sex and age group, 2023" xr:uid="{00000000-0004-0000-0100-000000000000}"/>
    <hyperlink ref="B10" location="'Table S2.2'!A1" display="Table S2: Child (aged 0–4) deaths by sex, 1907–2014" xr:uid="{00000000-0004-0000-0100-000001000000}"/>
    <hyperlink ref="B12" location="'Table S3.1'!A1" display="TableS3.1: Leading underlying causes of death, number and age-standardised death rates (deaths per 100,000 population) by sex, 2023" xr:uid="{00000000-0004-0000-0100-000002000000}"/>
    <hyperlink ref="B13" location="'Table S3.2'!A1" display="Table S3.2: Leading underlying causes of death, number and age-specific rates (deaths per 100,000 population) by sex and age group, 2023" xr:uid="{4D2B8A6A-C6F9-4F73-A93E-0A599669C496}"/>
    <hyperlink ref="B11" location="'Table S2.3'!A1" display="Table S2.3: Potential years of life lost, number and rate (person-years per 1,000 population) before age 75, by sex, 1907–2023" xr:uid="{3AA15598-3C48-4301-8046-129C16226C4C}"/>
    <hyperlink ref="B14" location="'Table S4.1'!A1" display="Table S4.1: Deaths due to COVID-19, number and age-specific rates (per 100,000 population), by age and sex, 2023" xr:uid="{E562546A-D12C-4DB4-B870-6E6B1D5F699F}"/>
    <hyperlink ref="B17" location="'Table S5.2'!A1" display="Table S5.2: Potentially avoidable deaths, number and age-specific rates (deaths per 100,000 population) for broad group and specific causes of death by sex, 2023" xr:uid="{5918DD5E-91AD-47F4-B9DF-A592CA6C05CD}"/>
    <hyperlink ref="B18" location="'Table S6.1'!A1" display="Table S6.1: Deaths by sex, number and rates (deaths per 100,000 population), 1907–2023" xr:uid="{A2AEEB4C-457D-40EE-8AA3-61913681E1D0}"/>
    <hyperlink ref="B41" location="'Table S9.1'!A1" display="Table S9.1: Deaths by sex, number and rates (deaths per 100,000 population), 1907–2023" xr:uid="{75C0AE16-2BCC-48F6-8830-8F53D588B784}"/>
    <hyperlink ref="B42" location="'Table S9.2'!A1" display="Table S9.2: Life expectancy (years) at birth by sex, OECD countries, 2023 (or nearest available year)" xr:uid="{2681CA7D-1971-4658-8F99-20EB781BE469}"/>
    <hyperlink ref="B20" location="'Table S6.3'!A1" display="Table S6.3: Leading underlying causes of death, number and age-standardised death rates (deaths per 100,000 population) by sex, 2013" xr:uid="{660F961C-D019-4301-A1BA-641C9E07F756}"/>
    <hyperlink ref="B19" location="'Table S6.2'!A1" display="Table S6.2: Deaths by broad cause of death, number and rates (deaths per 100,000 population), 1907–2023" xr:uid="{0A25C2A5-F354-49CF-BDFF-32AD9BCDD3E3}"/>
    <hyperlink ref="B21" location="'Table S6.4'!A1" display="Table S6.4: Leading underlying causes of death, number and age-standardised rates (deaths per 100,000 population) by sex and year, 2013–2023" xr:uid="{73CE3C26-FDC1-490B-A208-57B29844ECB3}"/>
    <hyperlink ref="B24" location="'Table S7.3'!A1" display="'Table S7.3'!A1" xr:uid="{85EE2899-CC34-40AA-9566-2169948F1D3B}"/>
    <hyperlink ref="B25" location="'Table S7.4'!A1" display="'Table S7.4'!A1" xr:uid="{41FB0315-2F70-4253-90B6-2668730B152B}"/>
    <hyperlink ref="B27" location="'Table S7.6'!A1" display="'Table S7.6'!A1" xr:uid="{EDB78A85-5B4D-4F47-A507-5BFB083207E5}"/>
    <hyperlink ref="B29" location="'Table S8.1'!A1" display="'Table S8.1'!A1" xr:uid="{908D7557-11FA-4F16-A597-5323A936FBAE}"/>
    <hyperlink ref="B30" location="'Table S8.2'!A1" display="'Table S8.2'!A1" xr:uid="{7BC90DDD-9D88-4D73-9030-5C11C4E7DC05}"/>
    <hyperlink ref="B31" location="'Table S8.3'!A1" display="'Table S8.3'!A1" xr:uid="{1BBE7BE2-A67C-4B46-A25A-4A013BBE76BB}"/>
    <hyperlink ref="B32" location="'Table S8.4'!A1" display="'Table S8.4'!A1" xr:uid="{5EA4A15B-17E2-4B91-9781-2CD7FC601577}"/>
    <hyperlink ref="B33" location="'Table S8.5'!A1" display="'Table S8.5'!A1" xr:uid="{53C0453D-D17B-4A50-A4F4-A1F32ABA17C1}"/>
    <hyperlink ref="B34" location="'Table S8.6'!A1" display="'Table S8.6'!A1" xr:uid="{7BFA09E9-910C-4ED0-9D94-A1FD5355FE32}"/>
    <hyperlink ref="B35" location="'Table S8.7'!A1" display="'Table S8.7'!A1" xr:uid="{50F5C87C-E849-49C7-9ED6-36579227134F}"/>
    <hyperlink ref="B36" location="'Table S8.8'!A1" display="'Table S8.8'!A1" xr:uid="{0EDF7CB3-EEBA-40D7-B665-8D1C6C373C7B}"/>
    <hyperlink ref="B37" location="'Table S8.9'!A1" display="'Table S8.9'!A1" xr:uid="{D4BF06B9-40A9-45C2-8A01-54A755BF5B5D}"/>
    <hyperlink ref="B38" location="'Table S8.10'!A1" display="'Table S8.10'!A1" xr:uid="{59B1D4E4-E17D-47FB-B639-533AB6B74FBA}"/>
    <hyperlink ref="B39" location="'Table S8.11'!A1" display="'Table S8.11'!A1" xr:uid="{9CD5DE71-5681-48BA-83E5-768D36B7212E}"/>
    <hyperlink ref="B22" location="'Table S7.1'!A1" display="'Table S7.1: Leading underlying causes of death, number and rates (deaths per 100,000 population) Aboriginal and Torres Strait Islander (First Nations) people, NSW, Qld, WA, SA and NT, 2021-2023" xr:uid="{D713B627-627A-4D7C-8105-6ADEE353058E}"/>
    <hyperlink ref="B26" location="'Table S7.5'!A1" display="'Table S7.5'!A1" xr:uid="{37BD5E42-5E5A-4322-BF4A-D9273316A26C}"/>
    <hyperlink ref="B28" location="'Table S7.7'!A1" display="'Table S7.7'!A1" xr:uid="{9D60B5AD-91C1-4AF5-9444-6CB9321EF0EC}"/>
    <hyperlink ref="B15" location="'Table S5.1'!A1" display="'Table S5.1'!A1" xr:uid="{84CC0343-11A5-4A99-8275-F58A5CEBB042}"/>
    <hyperlink ref="B16" location="'Table S5.2'!A1" display="'Table S5.2'!A1" xr:uid="{F776B58F-A448-4E2A-B2D1-338B0F16AF10}"/>
    <hyperlink ref="B40" location="'Table S8.12'!A1" display="Table S8.12: Coroner-referred deaths, number and per cent with at least one psychosocial factor, 2023" xr:uid="{8A43C066-6D14-43B2-BDA8-4785347A1490}"/>
    <hyperlink ref="B23" location="'Table S7.2'!A1" display="Table S7.2: Leading underlying causes of death, number, per cent of all deaths and rates, non-Indigenous people, NSW, Qld, WA, SA and NT, 2021-2023" xr:uid="{705CDA01-7C6C-4DED-A49D-F13DE76DAFEA}"/>
  </hyperlinks>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3"/>
  <sheetViews>
    <sheetView zoomScaleNormal="100" workbookViewId="0"/>
  </sheetViews>
  <sheetFormatPr defaultRowHeight="15" x14ac:dyDescent="0.25"/>
  <cols>
    <col min="1" max="1" width="20.625" style="502" customWidth="1"/>
    <col min="2" max="16384" width="9" style="502"/>
  </cols>
  <sheetData>
    <row r="1" spans="1:8" ht="15" customHeight="1" x14ac:dyDescent="0.25">
      <c r="A1" s="570" t="s">
        <v>33</v>
      </c>
      <c r="B1" s="570"/>
      <c r="C1" s="570"/>
      <c r="D1" s="570"/>
    </row>
    <row r="2" spans="1:8" s="199" customFormat="1" ht="15" customHeight="1" x14ac:dyDescent="0.2">
      <c r="A2" s="500" t="s">
        <v>585</v>
      </c>
    </row>
    <row r="3" spans="1:8" s="573" customFormat="1" ht="15" customHeight="1" x14ac:dyDescent="0.2">
      <c r="A3" s="571" t="s">
        <v>5</v>
      </c>
      <c r="B3" s="572" t="s">
        <v>0</v>
      </c>
      <c r="C3" s="572" t="s">
        <v>1</v>
      </c>
      <c r="D3" s="572" t="s">
        <v>2</v>
      </c>
    </row>
    <row r="4" spans="1:8" s="573" customFormat="1" ht="15" customHeight="1" x14ac:dyDescent="0.2">
      <c r="A4" s="182" t="s">
        <v>34</v>
      </c>
      <c r="B4" s="178">
        <v>609</v>
      </c>
      <c r="C4" s="178">
        <v>476</v>
      </c>
      <c r="D4" s="178">
        <v>1085</v>
      </c>
      <c r="G4" s="574"/>
      <c r="H4" s="575"/>
    </row>
    <row r="5" spans="1:8" s="573" customFormat="1" ht="15" customHeight="1" x14ac:dyDescent="0.2">
      <c r="A5" s="182" t="s">
        <v>6</v>
      </c>
      <c r="B5" s="178">
        <v>75</v>
      </c>
      <c r="C5" s="178">
        <v>55</v>
      </c>
      <c r="D5" s="178">
        <v>130</v>
      </c>
    </row>
    <row r="6" spans="1:8" s="573" customFormat="1" ht="15" customHeight="1" x14ac:dyDescent="0.2">
      <c r="A6" s="182" t="s">
        <v>7</v>
      </c>
      <c r="B6" s="178">
        <v>99</v>
      </c>
      <c r="C6" s="178">
        <v>69</v>
      </c>
      <c r="D6" s="178">
        <v>168</v>
      </c>
    </row>
    <row r="7" spans="1:8" s="573" customFormat="1" ht="15" customHeight="1" x14ac:dyDescent="0.2">
      <c r="A7" s="182" t="s">
        <v>8</v>
      </c>
      <c r="B7" s="178">
        <v>322</v>
      </c>
      <c r="C7" s="178">
        <v>123</v>
      </c>
      <c r="D7" s="178">
        <v>445</v>
      </c>
    </row>
    <row r="8" spans="1:8" s="573" customFormat="1" ht="15" customHeight="1" x14ac:dyDescent="0.2">
      <c r="A8" s="182" t="s">
        <v>9</v>
      </c>
      <c r="B8" s="178">
        <v>481</v>
      </c>
      <c r="C8" s="178">
        <v>185</v>
      </c>
      <c r="D8" s="178">
        <v>666</v>
      </c>
    </row>
    <row r="9" spans="1:8" s="573" customFormat="1" ht="15" customHeight="1" x14ac:dyDescent="0.2">
      <c r="A9" s="182" t="s">
        <v>10</v>
      </c>
      <c r="B9" s="178">
        <v>621</v>
      </c>
      <c r="C9" s="178">
        <v>274</v>
      </c>
      <c r="D9" s="178">
        <v>895</v>
      </c>
    </row>
    <row r="10" spans="1:8" s="573" customFormat="1" ht="15" customHeight="1" x14ac:dyDescent="0.2">
      <c r="A10" s="182" t="s">
        <v>11</v>
      </c>
      <c r="B10" s="178">
        <v>716</v>
      </c>
      <c r="C10" s="178">
        <v>386</v>
      </c>
      <c r="D10" s="178">
        <v>1102</v>
      </c>
    </row>
    <row r="11" spans="1:8" s="573" customFormat="1" ht="15" customHeight="1" x14ac:dyDescent="0.2">
      <c r="A11" s="182" t="s">
        <v>12</v>
      </c>
      <c r="B11" s="178">
        <v>926</v>
      </c>
      <c r="C11" s="178">
        <v>517</v>
      </c>
      <c r="D11" s="178">
        <v>1443</v>
      </c>
    </row>
    <row r="12" spans="1:8" s="573" customFormat="1" ht="15" customHeight="1" x14ac:dyDescent="0.2">
      <c r="A12" s="182" t="s">
        <v>13</v>
      </c>
      <c r="B12" s="178">
        <v>1303</v>
      </c>
      <c r="C12" s="178">
        <v>766</v>
      </c>
      <c r="D12" s="178">
        <v>2069</v>
      </c>
    </row>
    <row r="13" spans="1:8" s="573" customFormat="1" ht="15" customHeight="1" x14ac:dyDescent="0.2">
      <c r="A13" s="182" t="s">
        <v>14</v>
      </c>
      <c r="B13" s="178">
        <v>1749</v>
      </c>
      <c r="C13" s="178">
        <v>1027</v>
      </c>
      <c r="D13" s="178">
        <v>2776</v>
      </c>
    </row>
    <row r="14" spans="1:8" s="573" customFormat="1" ht="15" customHeight="1" x14ac:dyDescent="0.2">
      <c r="A14" s="182" t="s">
        <v>15</v>
      </c>
      <c r="B14" s="178">
        <v>2724</v>
      </c>
      <c r="C14" s="178">
        <v>1680</v>
      </c>
      <c r="D14" s="178">
        <v>4404</v>
      </c>
    </row>
    <row r="15" spans="1:8" s="573" customFormat="1" ht="15" customHeight="1" x14ac:dyDescent="0.2">
      <c r="A15" s="182" t="s">
        <v>16</v>
      </c>
      <c r="B15" s="178">
        <v>3666</v>
      </c>
      <c r="C15" s="178">
        <v>2258</v>
      </c>
      <c r="D15" s="178">
        <v>5924</v>
      </c>
    </row>
    <row r="16" spans="1:8" s="573" customFormat="1" ht="15" customHeight="1" x14ac:dyDescent="0.2">
      <c r="A16" s="182" t="s">
        <v>17</v>
      </c>
      <c r="B16" s="178">
        <v>5400</v>
      </c>
      <c r="C16" s="178">
        <v>3431</v>
      </c>
      <c r="D16" s="178">
        <v>8831</v>
      </c>
    </row>
    <row r="17" spans="1:4" s="573" customFormat="1" ht="15" customHeight="1" x14ac:dyDescent="0.2">
      <c r="A17" s="182" t="s">
        <v>18</v>
      </c>
      <c r="B17" s="178">
        <v>7374</v>
      </c>
      <c r="C17" s="178">
        <v>4681</v>
      </c>
      <c r="D17" s="178">
        <v>12055</v>
      </c>
    </row>
    <row r="18" spans="1:4" s="573" customFormat="1" ht="15" customHeight="1" x14ac:dyDescent="0.2">
      <c r="A18" s="182" t="s">
        <v>19</v>
      </c>
      <c r="B18" s="178">
        <v>9890</v>
      </c>
      <c r="C18" s="178">
        <v>6585</v>
      </c>
      <c r="D18" s="178">
        <v>16475</v>
      </c>
    </row>
    <row r="19" spans="1:4" s="573" customFormat="1" ht="15" customHeight="1" x14ac:dyDescent="0.2">
      <c r="A19" s="182" t="s">
        <v>20</v>
      </c>
      <c r="B19" s="178">
        <v>13388</v>
      </c>
      <c r="C19" s="178">
        <v>9617</v>
      </c>
      <c r="D19" s="178">
        <v>23005</v>
      </c>
    </row>
    <row r="20" spans="1:4" s="573" customFormat="1" ht="15" customHeight="1" x14ac:dyDescent="0.2">
      <c r="A20" s="182" t="s">
        <v>21</v>
      </c>
      <c r="B20" s="178">
        <v>15101</v>
      </c>
      <c r="C20" s="178">
        <v>12502</v>
      </c>
      <c r="D20" s="178">
        <v>27603</v>
      </c>
    </row>
    <row r="21" spans="1:4" s="573" customFormat="1" ht="15" customHeight="1" x14ac:dyDescent="0.2">
      <c r="A21" s="182" t="s">
        <v>22</v>
      </c>
      <c r="B21" s="178">
        <v>15352</v>
      </c>
      <c r="C21" s="178">
        <v>15513</v>
      </c>
      <c r="D21" s="178">
        <v>30865</v>
      </c>
    </row>
    <row r="22" spans="1:4" s="573" customFormat="1" ht="15" customHeight="1" x14ac:dyDescent="0.2">
      <c r="A22" s="182" t="s">
        <v>23</v>
      </c>
      <c r="B22" s="178">
        <v>11399</v>
      </c>
      <c r="C22" s="178">
        <v>15893</v>
      </c>
      <c r="D22" s="178">
        <v>27292</v>
      </c>
    </row>
    <row r="23" spans="1:4" s="573" customFormat="1" ht="15" customHeight="1" x14ac:dyDescent="0.2">
      <c r="A23" s="182" t="s">
        <v>24</v>
      </c>
      <c r="B23" s="178">
        <v>4396</v>
      </c>
      <c r="C23" s="178">
        <v>8880</v>
      </c>
      <c r="D23" s="178">
        <v>13276</v>
      </c>
    </row>
    <row r="24" spans="1:4" s="573" customFormat="1" ht="15" customHeight="1" x14ac:dyDescent="0.2">
      <c r="A24" s="182" t="s">
        <v>25</v>
      </c>
      <c r="B24" s="178">
        <v>588</v>
      </c>
      <c r="C24" s="178">
        <v>2033</v>
      </c>
      <c r="D24" s="178">
        <v>2621</v>
      </c>
    </row>
    <row r="25" spans="1:4" s="573" customFormat="1" ht="15" customHeight="1" x14ac:dyDescent="0.2">
      <c r="A25" s="576" t="s">
        <v>3</v>
      </c>
      <c r="B25" s="577">
        <v>96180</v>
      </c>
      <c r="C25" s="577">
        <v>86951</v>
      </c>
      <c r="D25" s="577">
        <v>183131</v>
      </c>
    </row>
    <row r="26" spans="1:4" s="573" customFormat="1" ht="15" customHeight="1" x14ac:dyDescent="0.2">
      <c r="A26" s="578" t="s">
        <v>29</v>
      </c>
      <c r="B26" s="579">
        <v>79.552160000000001</v>
      </c>
      <c r="C26" s="579">
        <v>84.605689999999996</v>
      </c>
      <c r="D26" s="579">
        <v>81.950299999999999</v>
      </c>
    </row>
    <row r="27" spans="1:4" s="191" customFormat="1" ht="15" customHeight="1" x14ac:dyDescent="0.2">
      <c r="A27" s="95" t="s">
        <v>580</v>
      </c>
    </row>
    <row r="28" spans="1:4" s="199" customFormat="1" ht="15" customHeight="1" x14ac:dyDescent="0.2">
      <c r="A28" s="212" t="s">
        <v>555</v>
      </c>
      <c r="B28" s="20"/>
      <c r="C28" s="20"/>
      <c r="D28" s="88"/>
    </row>
    <row r="33" s="191" customFormat="1" ht="15" customHeight="1" x14ac:dyDescent="0.2"/>
  </sheetData>
  <hyperlinks>
    <hyperlink ref="A2" location="Contents!A1" display="Back to contents" xr:uid="{78321CF3-D3D5-4E05-BB01-BE9B8826D19D}"/>
  </hyperlinks>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27"/>
  <sheetViews>
    <sheetView workbookViewId="0">
      <pane ySplit="4" topLeftCell="A5" activePane="bottomLeft" state="frozen"/>
      <selection pane="bottomLeft" activeCell="A5" sqref="A5"/>
    </sheetView>
  </sheetViews>
  <sheetFormatPr defaultRowHeight="15" customHeight="1" x14ac:dyDescent="0.2"/>
  <cols>
    <col min="1" max="1" width="9" style="191"/>
    <col min="2" max="2" width="8.625" style="191" customWidth="1"/>
    <col min="3" max="3" width="11.625" style="191" customWidth="1"/>
    <col min="4" max="4" width="9.625" style="191" customWidth="1"/>
    <col min="5" max="5" width="2.625" style="191" customWidth="1"/>
    <col min="6" max="6" width="8.625" style="191" customWidth="1"/>
    <col min="7" max="7" width="11.625" style="191" customWidth="1"/>
    <col min="8" max="8" width="9.625" style="191" customWidth="1"/>
    <col min="9" max="9" width="2.625" style="191" customWidth="1"/>
    <col min="10" max="10" width="8.625" style="191" customWidth="1"/>
    <col min="11" max="11" width="11.625" style="191" customWidth="1"/>
    <col min="12" max="12" width="9.625" style="191" customWidth="1"/>
    <col min="13" max="16384" width="9" style="191"/>
  </cols>
  <sheetData>
    <row r="1" spans="1:15" ht="15" customHeight="1" x14ac:dyDescent="0.25">
      <c r="A1" s="151" t="s">
        <v>591</v>
      </c>
      <c r="B1" s="541"/>
      <c r="C1" s="541"/>
      <c r="D1" s="542"/>
      <c r="E1" s="154"/>
      <c r="F1" s="543"/>
      <c r="G1" s="543"/>
      <c r="H1" s="542"/>
      <c r="I1" s="154"/>
      <c r="J1" s="543"/>
      <c r="K1" s="543"/>
      <c r="L1" s="542"/>
    </row>
    <row r="2" spans="1:15" s="199" customFormat="1" ht="15" customHeight="1" x14ac:dyDescent="0.2">
      <c r="A2" s="500" t="s">
        <v>585</v>
      </c>
    </row>
    <row r="3" spans="1:15" s="165" customFormat="1" ht="15" customHeight="1" x14ac:dyDescent="0.2">
      <c r="A3" s="158"/>
      <c r="B3" s="598" t="s">
        <v>0</v>
      </c>
      <c r="C3" s="598"/>
      <c r="D3" s="598"/>
      <c r="E3" s="159"/>
      <c r="F3" s="598" t="s">
        <v>1</v>
      </c>
      <c r="G3" s="598"/>
      <c r="H3" s="598"/>
      <c r="I3" s="159"/>
      <c r="J3" s="598" t="s">
        <v>2</v>
      </c>
      <c r="K3" s="598"/>
      <c r="L3" s="598"/>
    </row>
    <row r="4" spans="1:15" s="165" customFormat="1" ht="45" customHeight="1" x14ac:dyDescent="0.2">
      <c r="A4" s="160" t="s">
        <v>26</v>
      </c>
      <c r="B4" s="161" t="s">
        <v>41</v>
      </c>
      <c r="C4" s="161" t="s">
        <v>521</v>
      </c>
      <c r="D4" s="161" t="s">
        <v>566</v>
      </c>
      <c r="E4" s="161"/>
      <c r="F4" s="161" t="s">
        <v>41</v>
      </c>
      <c r="G4" s="161" t="s">
        <v>521</v>
      </c>
      <c r="H4" s="161" t="s">
        <v>566</v>
      </c>
      <c r="I4" s="161"/>
      <c r="J4" s="161" t="s">
        <v>41</v>
      </c>
      <c r="K4" s="161" t="s">
        <v>521</v>
      </c>
      <c r="L4" s="161" t="s">
        <v>566</v>
      </c>
    </row>
    <row r="5" spans="1:15" s="165" customFormat="1" ht="15" customHeight="1" x14ac:dyDescent="0.2">
      <c r="A5" s="182">
        <v>1907</v>
      </c>
      <c r="B5" s="184">
        <v>6482</v>
      </c>
      <c r="C5" s="186">
        <v>25</v>
      </c>
      <c r="D5" s="177">
        <v>2604</v>
      </c>
      <c r="E5" s="177"/>
      <c r="F5" s="178">
        <v>5341</v>
      </c>
      <c r="G5" s="177">
        <v>27.6</v>
      </c>
      <c r="H5" s="177">
        <v>2213.6999999999998</v>
      </c>
      <c r="I5" s="177"/>
      <c r="J5" s="178">
        <v>11823</v>
      </c>
      <c r="K5" s="177">
        <v>26.1</v>
      </c>
      <c r="L5" s="177">
        <v>2411.9</v>
      </c>
    </row>
    <row r="6" spans="1:15" s="165" customFormat="1" ht="15" customHeight="1" x14ac:dyDescent="0.2">
      <c r="A6" s="182">
        <v>1908</v>
      </c>
      <c r="B6" s="184">
        <v>6339</v>
      </c>
      <c r="C6" s="186">
        <v>23.8</v>
      </c>
      <c r="D6" s="177">
        <v>2498.5</v>
      </c>
      <c r="E6" s="177"/>
      <c r="F6" s="178">
        <v>5029</v>
      </c>
      <c r="G6" s="177">
        <v>25.4</v>
      </c>
      <c r="H6" s="177">
        <v>2047.1</v>
      </c>
      <c r="I6" s="177"/>
      <c r="J6" s="178">
        <v>11368</v>
      </c>
      <c r="K6" s="177">
        <v>24.5</v>
      </c>
      <c r="L6" s="177">
        <v>2276.4</v>
      </c>
    </row>
    <row r="7" spans="1:15" s="165" customFormat="1" ht="15" customHeight="1" x14ac:dyDescent="0.2">
      <c r="A7" s="182">
        <v>1909</v>
      </c>
      <c r="B7" s="184">
        <v>5927</v>
      </c>
      <c r="C7" s="186">
        <v>23.2</v>
      </c>
      <c r="D7" s="177">
        <v>2292.9</v>
      </c>
      <c r="E7" s="177"/>
      <c r="F7" s="178">
        <v>4786</v>
      </c>
      <c r="G7" s="177">
        <v>25.7</v>
      </c>
      <c r="H7" s="177">
        <v>1913.9</v>
      </c>
      <c r="I7" s="177"/>
      <c r="J7" s="178">
        <v>10713</v>
      </c>
      <c r="K7" s="177">
        <v>24.3</v>
      </c>
      <c r="L7" s="177">
        <v>2106.5</v>
      </c>
      <c r="O7" s="547"/>
    </row>
    <row r="8" spans="1:15" s="165" customFormat="1" ht="15" customHeight="1" x14ac:dyDescent="0.2">
      <c r="A8" s="182">
        <v>1910</v>
      </c>
      <c r="B8" s="184">
        <v>6404</v>
      </c>
      <c r="C8" s="186">
        <v>24.5</v>
      </c>
      <c r="D8" s="177">
        <v>2432.3000000000002</v>
      </c>
      <c r="E8" s="177"/>
      <c r="F8" s="178">
        <v>5119</v>
      </c>
      <c r="G8" s="177">
        <v>26.3</v>
      </c>
      <c r="H8" s="177">
        <v>2011.7</v>
      </c>
      <c r="I8" s="177"/>
      <c r="J8" s="178">
        <v>11523</v>
      </c>
      <c r="K8" s="177">
        <v>25.3</v>
      </c>
      <c r="L8" s="177">
        <v>2225.6</v>
      </c>
    </row>
    <row r="9" spans="1:15" s="165" customFormat="1" ht="15" customHeight="1" x14ac:dyDescent="0.2">
      <c r="A9" s="182">
        <v>1911</v>
      </c>
      <c r="B9" s="184">
        <v>6126</v>
      </c>
      <c r="C9" s="186">
        <v>22.2</v>
      </c>
      <c r="D9" s="177">
        <v>2285.1999999999998</v>
      </c>
      <c r="E9" s="177"/>
      <c r="F9" s="178">
        <v>4871</v>
      </c>
      <c r="G9" s="177">
        <v>24</v>
      </c>
      <c r="H9" s="177">
        <v>1881.8</v>
      </c>
      <c r="I9" s="177"/>
      <c r="J9" s="178">
        <v>10997</v>
      </c>
      <c r="K9" s="177">
        <v>23</v>
      </c>
      <c r="L9" s="177">
        <v>2087</v>
      </c>
    </row>
    <row r="10" spans="1:15" s="165" customFormat="1" ht="15" customHeight="1" x14ac:dyDescent="0.2">
      <c r="A10" s="182">
        <v>1912</v>
      </c>
      <c r="B10" s="184">
        <v>7222</v>
      </c>
      <c r="C10" s="186">
        <v>23.8</v>
      </c>
      <c r="D10" s="177">
        <v>2655.2</v>
      </c>
      <c r="E10" s="177"/>
      <c r="F10" s="178">
        <v>5698</v>
      </c>
      <c r="G10" s="177">
        <v>26</v>
      </c>
      <c r="H10" s="177">
        <v>2169.9</v>
      </c>
      <c r="I10" s="177"/>
      <c r="J10" s="178">
        <v>12920</v>
      </c>
      <c r="K10" s="177">
        <v>24.8</v>
      </c>
      <c r="L10" s="177">
        <v>2416.8000000000002</v>
      </c>
    </row>
    <row r="11" spans="1:15" s="165" customFormat="1" ht="15" customHeight="1" x14ac:dyDescent="0.2">
      <c r="A11" s="182">
        <v>1913</v>
      </c>
      <c r="B11" s="184">
        <v>7183</v>
      </c>
      <c r="C11" s="186">
        <v>24.1</v>
      </c>
      <c r="D11" s="177">
        <v>2603.3000000000002</v>
      </c>
      <c r="E11" s="177"/>
      <c r="F11" s="178">
        <v>5835</v>
      </c>
      <c r="G11" s="177">
        <v>26.6</v>
      </c>
      <c r="H11" s="177">
        <v>2190.8000000000002</v>
      </c>
      <c r="I11" s="177"/>
      <c r="J11" s="178">
        <v>13018</v>
      </c>
      <c r="K11" s="177">
        <v>25.1</v>
      </c>
      <c r="L11" s="177">
        <v>2400.6999999999998</v>
      </c>
    </row>
    <row r="12" spans="1:15" s="165" customFormat="1" ht="15" customHeight="1" x14ac:dyDescent="0.2">
      <c r="A12" s="182">
        <v>1914</v>
      </c>
      <c r="B12" s="184">
        <v>7277</v>
      </c>
      <c r="C12" s="186">
        <v>24.4</v>
      </c>
      <c r="D12" s="177">
        <v>2600.4</v>
      </c>
      <c r="E12" s="177"/>
      <c r="F12" s="178">
        <v>5746</v>
      </c>
      <c r="G12" s="177">
        <v>26.3</v>
      </c>
      <c r="H12" s="177">
        <v>2127.5</v>
      </c>
      <c r="I12" s="177"/>
      <c r="J12" s="178">
        <v>13023</v>
      </c>
      <c r="K12" s="177">
        <v>25.2</v>
      </c>
      <c r="L12" s="177">
        <v>2368.1</v>
      </c>
    </row>
    <row r="13" spans="1:15" s="165" customFormat="1" ht="15" customHeight="1" x14ac:dyDescent="0.2">
      <c r="A13" s="182">
        <v>1915</v>
      </c>
      <c r="B13" s="184">
        <v>6989</v>
      </c>
      <c r="C13" s="186">
        <v>22.8</v>
      </c>
      <c r="D13" s="177">
        <v>2463</v>
      </c>
      <c r="E13" s="177"/>
      <c r="F13" s="178">
        <v>5523</v>
      </c>
      <c r="G13" s="177">
        <v>25</v>
      </c>
      <c r="H13" s="177">
        <v>2016.9</v>
      </c>
      <c r="I13" s="177"/>
      <c r="J13" s="178">
        <v>12512</v>
      </c>
      <c r="K13" s="177">
        <v>23.7</v>
      </c>
      <c r="L13" s="177">
        <v>2243.9</v>
      </c>
    </row>
    <row r="14" spans="1:15" s="165" customFormat="1" ht="15" customHeight="1" x14ac:dyDescent="0.2">
      <c r="A14" s="182">
        <v>1916</v>
      </c>
      <c r="B14" s="184">
        <v>7185</v>
      </c>
      <c r="C14" s="186">
        <v>23.2</v>
      </c>
      <c r="D14" s="177">
        <v>2497.5</v>
      </c>
      <c r="E14" s="177"/>
      <c r="F14" s="178">
        <v>5828</v>
      </c>
      <c r="G14" s="177">
        <v>25.1</v>
      </c>
      <c r="H14" s="177">
        <v>2099.6</v>
      </c>
      <c r="I14" s="177"/>
      <c r="J14" s="178">
        <v>13013</v>
      </c>
      <c r="K14" s="177">
        <v>24</v>
      </c>
      <c r="L14" s="177">
        <v>2302.1</v>
      </c>
    </row>
    <row r="15" spans="1:15" s="165" customFormat="1" ht="15" customHeight="1" x14ac:dyDescent="0.2">
      <c r="A15" s="182">
        <v>1917</v>
      </c>
      <c r="B15" s="184">
        <v>5640</v>
      </c>
      <c r="C15" s="186">
        <v>20.399999999999999</v>
      </c>
      <c r="D15" s="177">
        <v>1934.1</v>
      </c>
      <c r="E15" s="177"/>
      <c r="F15" s="178">
        <v>4247</v>
      </c>
      <c r="G15" s="177">
        <v>20.8</v>
      </c>
      <c r="H15" s="177">
        <v>1509.7</v>
      </c>
      <c r="I15" s="177"/>
      <c r="J15" s="178">
        <v>9887</v>
      </c>
      <c r="K15" s="177">
        <v>20.6</v>
      </c>
      <c r="L15" s="177">
        <v>1725.7</v>
      </c>
    </row>
    <row r="16" spans="1:15" s="165" customFormat="1" ht="15" customHeight="1" x14ac:dyDescent="0.2">
      <c r="A16" s="182">
        <v>1918</v>
      </c>
      <c r="B16" s="184">
        <v>5632</v>
      </c>
      <c r="C16" s="186">
        <v>19.7</v>
      </c>
      <c r="D16" s="177">
        <v>1905.7</v>
      </c>
      <c r="E16" s="177"/>
      <c r="F16" s="178">
        <v>4575</v>
      </c>
      <c r="G16" s="177">
        <v>21.1</v>
      </c>
      <c r="H16" s="177">
        <v>1604.9</v>
      </c>
      <c r="I16" s="177"/>
      <c r="J16" s="178">
        <v>10207</v>
      </c>
      <c r="K16" s="177">
        <v>20.3</v>
      </c>
      <c r="L16" s="177">
        <v>1758</v>
      </c>
    </row>
    <row r="17" spans="1:12" s="165" customFormat="1" ht="15" customHeight="1" x14ac:dyDescent="0.2">
      <c r="A17" s="182">
        <v>1919</v>
      </c>
      <c r="B17" s="184">
        <v>6627</v>
      </c>
      <c r="C17" s="186">
        <v>17.600000000000001</v>
      </c>
      <c r="D17" s="177">
        <v>2213</v>
      </c>
      <c r="E17" s="177"/>
      <c r="F17" s="178">
        <v>5206</v>
      </c>
      <c r="G17" s="177">
        <v>18.399999999999999</v>
      </c>
      <c r="H17" s="177">
        <v>1802.6</v>
      </c>
      <c r="I17" s="177"/>
      <c r="J17" s="178">
        <v>11833</v>
      </c>
      <c r="K17" s="177">
        <v>17.899999999999999</v>
      </c>
      <c r="L17" s="177">
        <v>2011.5</v>
      </c>
    </row>
    <row r="18" spans="1:12" s="165" customFormat="1" ht="15" customHeight="1" x14ac:dyDescent="0.2">
      <c r="A18" s="182">
        <v>1920</v>
      </c>
      <c r="B18" s="184">
        <v>7508</v>
      </c>
      <c r="C18" s="186">
        <v>23.4</v>
      </c>
      <c r="D18" s="177">
        <v>2474.8000000000002</v>
      </c>
      <c r="E18" s="177"/>
      <c r="F18" s="178">
        <v>5879</v>
      </c>
      <c r="G18" s="177">
        <v>24.3</v>
      </c>
      <c r="H18" s="177">
        <v>2009.5</v>
      </c>
      <c r="I18" s="177"/>
      <c r="J18" s="178">
        <v>13387</v>
      </c>
      <c r="K18" s="177">
        <v>23.8</v>
      </c>
      <c r="L18" s="177">
        <v>2246.4</v>
      </c>
    </row>
    <row r="19" spans="1:12" s="165" customFormat="1" ht="15" customHeight="1" x14ac:dyDescent="0.2">
      <c r="A19" s="182">
        <v>1921</v>
      </c>
      <c r="B19" s="184">
        <v>6802</v>
      </c>
      <c r="C19" s="186">
        <v>22.2</v>
      </c>
      <c r="D19" s="177">
        <v>2213.5</v>
      </c>
      <c r="E19" s="177"/>
      <c r="F19" s="178">
        <v>5246</v>
      </c>
      <c r="G19" s="177">
        <v>22.4</v>
      </c>
      <c r="H19" s="177">
        <v>1770.5</v>
      </c>
      <c r="I19" s="177"/>
      <c r="J19" s="178">
        <v>12048</v>
      </c>
      <c r="K19" s="177">
        <v>22.3</v>
      </c>
      <c r="L19" s="177">
        <v>1996</v>
      </c>
    </row>
    <row r="20" spans="1:12" s="165" customFormat="1" ht="15" customHeight="1" x14ac:dyDescent="0.2">
      <c r="A20" s="182">
        <v>1922</v>
      </c>
      <c r="B20" s="184">
        <v>5595</v>
      </c>
      <c r="C20" s="186">
        <v>19.100000000000001</v>
      </c>
      <c r="D20" s="177">
        <v>1793.8</v>
      </c>
      <c r="E20" s="177"/>
      <c r="F20" s="178">
        <v>4050</v>
      </c>
      <c r="G20" s="177">
        <v>18.399999999999999</v>
      </c>
      <c r="H20" s="177">
        <v>1350</v>
      </c>
      <c r="I20" s="177"/>
      <c r="J20" s="178">
        <v>9645</v>
      </c>
      <c r="K20" s="177">
        <v>18.8</v>
      </c>
      <c r="L20" s="177">
        <v>1576.2</v>
      </c>
    </row>
    <row r="21" spans="1:12" s="165" customFormat="1" ht="15" customHeight="1" x14ac:dyDescent="0.2">
      <c r="A21" s="182">
        <v>1923</v>
      </c>
      <c r="B21" s="184">
        <v>6116</v>
      </c>
      <c r="C21" s="186">
        <v>19.3</v>
      </c>
      <c r="D21" s="177">
        <v>1924.5</v>
      </c>
      <c r="E21" s="177"/>
      <c r="F21" s="178">
        <v>4744</v>
      </c>
      <c r="G21" s="177">
        <v>19.3</v>
      </c>
      <c r="H21" s="177">
        <v>1553.4</v>
      </c>
      <c r="I21" s="177"/>
      <c r="J21" s="178">
        <v>10860</v>
      </c>
      <c r="K21" s="177">
        <v>19.3</v>
      </c>
      <c r="L21" s="177">
        <v>1742.6</v>
      </c>
    </row>
    <row r="22" spans="1:12" s="165" customFormat="1" ht="15" customHeight="1" x14ac:dyDescent="0.2">
      <c r="A22" s="182">
        <v>1924</v>
      </c>
      <c r="B22" s="184">
        <v>5721</v>
      </c>
      <c r="C22" s="186">
        <v>18.399999999999999</v>
      </c>
      <c r="D22" s="177">
        <v>1772.3</v>
      </c>
      <c r="E22" s="177"/>
      <c r="F22" s="178">
        <v>4630</v>
      </c>
      <c r="G22" s="177">
        <v>19.399999999999999</v>
      </c>
      <c r="H22" s="177">
        <v>1492.1</v>
      </c>
      <c r="I22" s="177"/>
      <c r="J22" s="178">
        <v>10351</v>
      </c>
      <c r="K22" s="177">
        <v>18.8</v>
      </c>
      <c r="L22" s="177">
        <v>1635</v>
      </c>
    </row>
    <row r="23" spans="1:12" s="165" customFormat="1" ht="15" customHeight="1" x14ac:dyDescent="0.2">
      <c r="A23" s="182">
        <v>1925</v>
      </c>
      <c r="B23" s="184">
        <v>5299</v>
      </c>
      <c r="C23" s="186">
        <v>17</v>
      </c>
      <c r="D23" s="177">
        <v>1621.5</v>
      </c>
      <c r="E23" s="177"/>
      <c r="F23" s="178">
        <v>4228</v>
      </c>
      <c r="G23" s="177">
        <v>18</v>
      </c>
      <c r="H23" s="177">
        <v>1338.8</v>
      </c>
      <c r="I23" s="177"/>
      <c r="J23" s="178">
        <v>9527</v>
      </c>
      <c r="K23" s="177">
        <v>17.5</v>
      </c>
      <c r="L23" s="177">
        <v>1482.6</v>
      </c>
    </row>
    <row r="24" spans="1:12" s="165" customFormat="1" ht="15" customHeight="1" x14ac:dyDescent="0.2">
      <c r="A24" s="182">
        <v>1926</v>
      </c>
      <c r="B24" s="184">
        <v>5487</v>
      </c>
      <c r="C24" s="186">
        <v>16.899999999999999</v>
      </c>
      <c r="D24" s="177">
        <v>1684.2</v>
      </c>
      <c r="E24" s="177"/>
      <c r="F24" s="178">
        <v>4106</v>
      </c>
      <c r="G24" s="177">
        <v>16.7</v>
      </c>
      <c r="H24" s="177">
        <v>1303.5</v>
      </c>
      <c r="I24" s="177"/>
      <c r="J24" s="178">
        <v>9593</v>
      </c>
      <c r="K24" s="177">
        <v>16.8</v>
      </c>
      <c r="L24" s="177">
        <v>1497</v>
      </c>
    </row>
    <row r="25" spans="1:12" s="165" customFormat="1" ht="15" customHeight="1" x14ac:dyDescent="0.2">
      <c r="A25" s="182">
        <v>1927</v>
      </c>
      <c r="B25" s="184">
        <v>5502</v>
      </c>
      <c r="C25" s="186">
        <v>16.7</v>
      </c>
      <c r="D25" s="177">
        <v>1700.2</v>
      </c>
      <c r="E25" s="177"/>
      <c r="F25" s="178">
        <v>4326</v>
      </c>
      <c r="G25" s="177">
        <v>17</v>
      </c>
      <c r="H25" s="177">
        <v>1380.3</v>
      </c>
      <c r="I25" s="177"/>
      <c r="J25" s="178">
        <v>9828</v>
      </c>
      <c r="K25" s="177">
        <v>16.899999999999999</v>
      </c>
      <c r="L25" s="177">
        <v>1542.9</v>
      </c>
    </row>
    <row r="26" spans="1:12" s="165" customFormat="1" ht="15" customHeight="1" x14ac:dyDescent="0.2">
      <c r="A26" s="182">
        <v>1928</v>
      </c>
      <c r="B26" s="184">
        <v>5352</v>
      </c>
      <c r="C26" s="186">
        <v>16.100000000000001</v>
      </c>
      <c r="D26" s="177">
        <v>1658.5</v>
      </c>
      <c r="E26" s="177"/>
      <c r="F26" s="178">
        <v>4301</v>
      </c>
      <c r="G26" s="177">
        <v>16.399999999999999</v>
      </c>
      <c r="H26" s="177">
        <v>1378.5</v>
      </c>
      <c r="I26" s="177"/>
      <c r="J26" s="178">
        <v>9653</v>
      </c>
      <c r="K26" s="177">
        <v>16.3</v>
      </c>
      <c r="L26" s="177">
        <v>1520.9</v>
      </c>
    </row>
    <row r="27" spans="1:12" s="165" customFormat="1" ht="15" customHeight="1" x14ac:dyDescent="0.2">
      <c r="A27" s="182">
        <v>1929</v>
      </c>
      <c r="B27" s="184">
        <v>5236</v>
      </c>
      <c r="C27" s="186">
        <v>15.1</v>
      </c>
      <c r="D27" s="177">
        <v>1627.6</v>
      </c>
      <c r="E27" s="177"/>
      <c r="F27" s="178">
        <v>3875</v>
      </c>
      <c r="G27" s="177">
        <v>14.8</v>
      </c>
      <c r="H27" s="177">
        <v>1250.4000000000001</v>
      </c>
      <c r="I27" s="177"/>
      <c r="J27" s="178">
        <v>9111</v>
      </c>
      <c r="K27" s="177">
        <v>15</v>
      </c>
      <c r="L27" s="177">
        <v>1442.5</v>
      </c>
    </row>
    <row r="28" spans="1:12" s="165" customFormat="1" ht="15" customHeight="1" x14ac:dyDescent="0.2">
      <c r="A28" s="182">
        <v>1930</v>
      </c>
      <c r="B28" s="184">
        <v>4651</v>
      </c>
      <c r="C28" s="186">
        <v>14.9</v>
      </c>
      <c r="D28" s="177">
        <v>1465.8</v>
      </c>
      <c r="E28" s="177"/>
      <c r="F28" s="178">
        <v>3671</v>
      </c>
      <c r="G28" s="177">
        <v>15.2</v>
      </c>
      <c r="H28" s="177">
        <v>1207.2</v>
      </c>
      <c r="I28" s="177"/>
      <c r="J28" s="178">
        <v>8322</v>
      </c>
      <c r="K28" s="177">
        <v>15</v>
      </c>
      <c r="L28" s="177">
        <v>1339.2</v>
      </c>
    </row>
    <row r="29" spans="1:12" s="165" customFormat="1" ht="15" customHeight="1" x14ac:dyDescent="0.2">
      <c r="A29" s="182">
        <v>1931</v>
      </c>
      <c r="B29" s="184">
        <v>3895</v>
      </c>
      <c r="C29" s="186">
        <v>12.2</v>
      </c>
      <c r="D29" s="177">
        <v>1247.5999999999999</v>
      </c>
      <c r="E29" s="177"/>
      <c r="F29" s="178">
        <v>2939</v>
      </c>
      <c r="G29" s="177">
        <v>11.9</v>
      </c>
      <c r="H29" s="177">
        <v>982</v>
      </c>
      <c r="I29" s="177"/>
      <c r="J29" s="178">
        <v>6834</v>
      </c>
      <c r="K29" s="177">
        <v>12.1</v>
      </c>
      <c r="L29" s="177">
        <v>1117.5999999999999</v>
      </c>
    </row>
    <row r="30" spans="1:12" s="165" customFormat="1" ht="15" customHeight="1" x14ac:dyDescent="0.2">
      <c r="A30" s="182">
        <v>1932</v>
      </c>
      <c r="B30" s="184">
        <v>3657</v>
      </c>
      <c r="C30" s="186">
        <v>11.5</v>
      </c>
      <c r="D30" s="177">
        <v>1203.8</v>
      </c>
      <c r="E30" s="177"/>
      <c r="F30" s="178">
        <v>2770</v>
      </c>
      <c r="G30" s="177">
        <v>11.1</v>
      </c>
      <c r="H30" s="177">
        <v>954.5</v>
      </c>
      <c r="I30" s="177"/>
      <c r="J30" s="178">
        <v>6427</v>
      </c>
      <c r="K30" s="177">
        <v>11.3</v>
      </c>
      <c r="L30" s="177">
        <v>1082</v>
      </c>
    </row>
    <row r="31" spans="1:12" s="165" customFormat="1" ht="15" customHeight="1" x14ac:dyDescent="0.2">
      <c r="A31" s="182">
        <v>1933</v>
      </c>
      <c r="B31" s="184">
        <v>3427</v>
      </c>
      <c r="C31" s="186">
        <v>10.3</v>
      </c>
      <c r="D31" s="177">
        <v>1166.4000000000001</v>
      </c>
      <c r="E31" s="177"/>
      <c r="F31" s="178">
        <v>2695</v>
      </c>
      <c r="G31" s="177">
        <v>10.4</v>
      </c>
      <c r="H31" s="177">
        <v>961.8</v>
      </c>
      <c r="I31" s="177"/>
      <c r="J31" s="178">
        <v>6122</v>
      </c>
      <c r="K31" s="177">
        <v>10.4</v>
      </c>
      <c r="L31" s="177">
        <v>1066.5999999999999</v>
      </c>
    </row>
    <row r="32" spans="1:12" s="165" customFormat="1" ht="15" customHeight="1" x14ac:dyDescent="0.2">
      <c r="A32" s="182">
        <v>1934</v>
      </c>
      <c r="B32" s="184">
        <v>3673</v>
      </c>
      <c r="C32" s="186">
        <v>10.6</v>
      </c>
      <c r="D32" s="177">
        <v>1294.7</v>
      </c>
      <c r="E32" s="177"/>
      <c r="F32" s="178">
        <v>2891</v>
      </c>
      <c r="G32" s="177">
        <v>10.5</v>
      </c>
      <c r="H32" s="177">
        <v>1065.2</v>
      </c>
      <c r="I32" s="177"/>
      <c r="J32" s="178">
        <v>6564</v>
      </c>
      <c r="K32" s="177">
        <v>10.5</v>
      </c>
      <c r="L32" s="177">
        <v>1182.5</v>
      </c>
    </row>
    <row r="33" spans="1:12" s="165" customFormat="1" ht="15" customHeight="1" x14ac:dyDescent="0.2">
      <c r="A33" s="182">
        <v>1935</v>
      </c>
      <c r="B33" s="184">
        <v>3374</v>
      </c>
      <c r="C33" s="186">
        <v>9.5</v>
      </c>
      <c r="D33" s="177">
        <v>1225.5999999999999</v>
      </c>
      <c r="E33" s="177"/>
      <c r="F33" s="178">
        <v>2652</v>
      </c>
      <c r="G33" s="177">
        <v>9.5</v>
      </c>
      <c r="H33" s="177">
        <v>1003</v>
      </c>
      <c r="I33" s="177"/>
      <c r="J33" s="178">
        <v>6026</v>
      </c>
      <c r="K33" s="177">
        <v>9.5</v>
      </c>
      <c r="L33" s="177">
        <v>1116.5</v>
      </c>
    </row>
    <row r="34" spans="1:12" s="165" customFormat="1" ht="15" customHeight="1" x14ac:dyDescent="0.2">
      <c r="A34" s="182">
        <v>1936</v>
      </c>
      <c r="B34" s="184">
        <v>3522</v>
      </c>
      <c r="C34" s="186">
        <v>9.9</v>
      </c>
      <c r="D34" s="177">
        <v>1303.5</v>
      </c>
      <c r="E34" s="177"/>
      <c r="F34" s="178">
        <v>2852</v>
      </c>
      <c r="G34" s="177">
        <v>10.1</v>
      </c>
      <c r="H34" s="177">
        <v>1099</v>
      </c>
      <c r="I34" s="177"/>
      <c r="J34" s="178">
        <v>6374</v>
      </c>
      <c r="K34" s="177">
        <v>10</v>
      </c>
      <c r="L34" s="177">
        <v>1203.3</v>
      </c>
    </row>
    <row r="35" spans="1:12" s="165" customFormat="1" ht="15" customHeight="1" x14ac:dyDescent="0.2">
      <c r="A35" s="182">
        <v>1937</v>
      </c>
      <c r="B35" s="184">
        <v>3326</v>
      </c>
      <c r="C35" s="186">
        <v>9.1999999999999993</v>
      </c>
      <c r="D35" s="177">
        <v>1217.9000000000001</v>
      </c>
      <c r="E35" s="177"/>
      <c r="F35" s="178">
        <v>2621</v>
      </c>
      <c r="G35" s="177">
        <v>9.3000000000000007</v>
      </c>
      <c r="H35" s="177">
        <v>997</v>
      </c>
      <c r="I35" s="177"/>
      <c r="J35" s="178">
        <v>5947</v>
      </c>
      <c r="K35" s="177">
        <v>9.1999999999999993</v>
      </c>
      <c r="L35" s="177">
        <v>1109.5</v>
      </c>
    </row>
    <row r="36" spans="1:12" s="165" customFormat="1" ht="15" customHeight="1" x14ac:dyDescent="0.2">
      <c r="A36" s="182">
        <v>1938</v>
      </c>
      <c r="B36" s="184">
        <v>3496</v>
      </c>
      <c r="C36" s="186">
        <v>9.4</v>
      </c>
      <c r="D36" s="177">
        <v>1258.5</v>
      </c>
      <c r="E36" s="177"/>
      <c r="F36" s="178">
        <v>2587</v>
      </c>
      <c r="G36" s="177">
        <v>8.8000000000000007</v>
      </c>
      <c r="H36" s="177">
        <v>967.5</v>
      </c>
      <c r="I36" s="177"/>
      <c r="J36" s="178">
        <v>6083</v>
      </c>
      <c r="K36" s="177">
        <v>9.1999999999999993</v>
      </c>
      <c r="L36" s="177">
        <v>1115.7</v>
      </c>
    </row>
    <row r="37" spans="1:12" s="165" customFormat="1" ht="15" customHeight="1" x14ac:dyDescent="0.2">
      <c r="A37" s="182">
        <v>1939</v>
      </c>
      <c r="B37" s="184">
        <v>3510</v>
      </c>
      <c r="C37" s="186">
        <v>9</v>
      </c>
      <c r="D37" s="177">
        <v>1233.3</v>
      </c>
      <c r="E37" s="177"/>
      <c r="F37" s="178">
        <v>2665</v>
      </c>
      <c r="G37" s="177">
        <v>8.8000000000000007</v>
      </c>
      <c r="H37" s="177">
        <v>971.2</v>
      </c>
      <c r="I37" s="177"/>
      <c r="J37" s="178">
        <v>6175</v>
      </c>
      <c r="K37" s="177">
        <v>8.9</v>
      </c>
      <c r="L37" s="177">
        <v>1104.7</v>
      </c>
    </row>
    <row r="38" spans="1:12" s="165" customFormat="1" ht="15" customHeight="1" x14ac:dyDescent="0.2">
      <c r="A38" s="182">
        <v>1940</v>
      </c>
      <c r="B38" s="184">
        <v>3545</v>
      </c>
      <c r="C38" s="186">
        <v>9.1999999999999993</v>
      </c>
      <c r="D38" s="177">
        <v>1214.9000000000001</v>
      </c>
      <c r="E38" s="177"/>
      <c r="F38" s="178">
        <v>2703</v>
      </c>
      <c r="G38" s="177">
        <v>9.1</v>
      </c>
      <c r="H38" s="177">
        <v>963.3</v>
      </c>
      <c r="I38" s="177"/>
      <c r="J38" s="178">
        <v>6248</v>
      </c>
      <c r="K38" s="177">
        <v>9.1</v>
      </c>
      <c r="L38" s="177">
        <v>1091.5</v>
      </c>
    </row>
    <row r="39" spans="1:12" s="165" customFormat="1" ht="15" customHeight="1" x14ac:dyDescent="0.2">
      <c r="A39" s="182">
        <v>1941</v>
      </c>
      <c r="B39" s="184">
        <v>3865</v>
      </c>
      <c r="C39" s="186">
        <v>9.8000000000000007</v>
      </c>
      <c r="D39" s="177">
        <v>1288.8</v>
      </c>
      <c r="E39" s="177"/>
      <c r="F39" s="178">
        <v>2951</v>
      </c>
      <c r="G39" s="177">
        <v>9.3000000000000007</v>
      </c>
      <c r="H39" s="177">
        <v>1022.2</v>
      </c>
      <c r="I39" s="177"/>
      <c r="J39" s="178">
        <v>6816</v>
      </c>
      <c r="K39" s="177">
        <v>9.6</v>
      </c>
      <c r="L39" s="177">
        <v>1158</v>
      </c>
    </row>
    <row r="40" spans="1:12" s="165" customFormat="1" ht="15" customHeight="1" x14ac:dyDescent="0.2">
      <c r="A40" s="182">
        <v>1942</v>
      </c>
      <c r="B40" s="184">
        <v>3937</v>
      </c>
      <c r="C40" s="186">
        <v>9.5</v>
      </c>
      <c r="D40" s="177">
        <v>1265.5</v>
      </c>
      <c r="E40" s="177"/>
      <c r="F40" s="178">
        <v>3025</v>
      </c>
      <c r="G40" s="177">
        <v>9</v>
      </c>
      <c r="H40" s="177">
        <v>1011.4</v>
      </c>
      <c r="I40" s="177"/>
      <c r="J40" s="178">
        <v>6962</v>
      </c>
      <c r="K40" s="177">
        <v>9.3000000000000007</v>
      </c>
      <c r="L40" s="177">
        <v>1140.9000000000001</v>
      </c>
    </row>
    <row r="41" spans="1:12" s="165" customFormat="1" ht="15" customHeight="1" x14ac:dyDescent="0.2">
      <c r="A41" s="182">
        <v>1943</v>
      </c>
      <c r="B41" s="184">
        <v>3954</v>
      </c>
      <c r="C41" s="186">
        <v>9.6999999999999993</v>
      </c>
      <c r="D41" s="177">
        <v>1241.8</v>
      </c>
      <c r="E41" s="177"/>
      <c r="F41" s="178">
        <v>3089</v>
      </c>
      <c r="G41" s="177">
        <v>9.1999999999999993</v>
      </c>
      <c r="H41" s="177">
        <v>1008.5</v>
      </c>
      <c r="I41" s="177"/>
      <c r="J41" s="178">
        <v>7043</v>
      </c>
      <c r="K41" s="177">
        <v>9.5</v>
      </c>
      <c r="L41" s="177">
        <v>1127.4000000000001</v>
      </c>
    </row>
    <row r="42" spans="1:12" s="165" customFormat="1" ht="15" customHeight="1" x14ac:dyDescent="0.2">
      <c r="A42" s="182">
        <v>1944</v>
      </c>
      <c r="B42" s="184">
        <v>3472</v>
      </c>
      <c r="C42" s="186">
        <v>9.1999999999999993</v>
      </c>
      <c r="D42" s="177">
        <v>1038.5999999999999</v>
      </c>
      <c r="E42" s="177"/>
      <c r="F42" s="178">
        <v>2660</v>
      </c>
      <c r="G42" s="177">
        <v>8.4</v>
      </c>
      <c r="H42" s="177">
        <v>827.1</v>
      </c>
      <c r="I42" s="177"/>
      <c r="J42" s="178">
        <v>6132</v>
      </c>
      <c r="K42" s="177">
        <v>8.8000000000000007</v>
      </c>
      <c r="L42" s="177">
        <v>934.9</v>
      </c>
    </row>
    <row r="43" spans="1:12" s="165" customFormat="1" ht="15" customHeight="1" x14ac:dyDescent="0.2">
      <c r="A43" s="182">
        <v>1945</v>
      </c>
      <c r="B43" s="184">
        <v>3329</v>
      </c>
      <c r="C43" s="186">
        <v>8.6999999999999993</v>
      </c>
      <c r="D43" s="177">
        <v>945.5</v>
      </c>
      <c r="E43" s="177"/>
      <c r="F43" s="178">
        <v>2528</v>
      </c>
      <c r="G43" s="177">
        <v>7.9</v>
      </c>
      <c r="H43" s="177">
        <v>745.9</v>
      </c>
      <c r="I43" s="177"/>
      <c r="J43" s="178">
        <v>5857</v>
      </c>
      <c r="K43" s="177">
        <v>8.3000000000000007</v>
      </c>
      <c r="L43" s="177">
        <v>847.6</v>
      </c>
    </row>
    <row r="44" spans="1:12" s="165" customFormat="1" ht="15" customHeight="1" x14ac:dyDescent="0.2">
      <c r="A44" s="182">
        <v>1946</v>
      </c>
      <c r="B44" s="184">
        <v>3541</v>
      </c>
      <c r="C44" s="186">
        <v>8.6</v>
      </c>
      <c r="D44" s="177">
        <v>968.5</v>
      </c>
      <c r="E44" s="177"/>
      <c r="F44" s="178">
        <v>2731</v>
      </c>
      <c r="G44" s="177">
        <v>8.1999999999999993</v>
      </c>
      <c r="H44" s="177">
        <v>779.4</v>
      </c>
      <c r="I44" s="177"/>
      <c r="J44" s="178">
        <v>6272</v>
      </c>
      <c r="K44" s="177">
        <v>8.4</v>
      </c>
      <c r="L44" s="177">
        <v>876</v>
      </c>
    </row>
    <row r="45" spans="1:12" s="165" customFormat="1" ht="15" customHeight="1" x14ac:dyDescent="0.2">
      <c r="A45" s="182">
        <v>1947</v>
      </c>
      <c r="B45" s="184">
        <v>3578</v>
      </c>
      <c r="C45" s="186">
        <v>8.8000000000000007</v>
      </c>
      <c r="D45" s="177">
        <v>911.6</v>
      </c>
      <c r="E45" s="177"/>
      <c r="F45" s="178">
        <v>2689</v>
      </c>
      <c r="G45" s="177">
        <v>8.1999999999999993</v>
      </c>
      <c r="H45" s="177">
        <v>715.9</v>
      </c>
      <c r="I45" s="177"/>
      <c r="J45" s="178">
        <v>6267</v>
      </c>
      <c r="K45" s="177">
        <v>8.5</v>
      </c>
      <c r="L45" s="177">
        <v>815.9</v>
      </c>
    </row>
    <row r="46" spans="1:12" s="165" customFormat="1" ht="15" customHeight="1" x14ac:dyDescent="0.2">
      <c r="A46" s="182">
        <v>1948</v>
      </c>
      <c r="B46" s="184">
        <v>3497</v>
      </c>
      <c r="C46" s="186">
        <v>8.1999999999999993</v>
      </c>
      <c r="D46" s="177">
        <v>843.1</v>
      </c>
      <c r="E46" s="177"/>
      <c r="F46" s="178">
        <v>2549</v>
      </c>
      <c r="G46" s="177">
        <v>7.5</v>
      </c>
      <c r="H46" s="177">
        <v>642.9</v>
      </c>
      <c r="I46" s="177"/>
      <c r="J46" s="178">
        <v>6046</v>
      </c>
      <c r="K46" s="177">
        <v>7.9</v>
      </c>
      <c r="L46" s="177">
        <v>745.2</v>
      </c>
    </row>
    <row r="47" spans="1:12" s="165" customFormat="1" ht="15" customHeight="1" x14ac:dyDescent="0.2">
      <c r="A47" s="182">
        <v>1949</v>
      </c>
      <c r="B47" s="184">
        <v>3222</v>
      </c>
      <c r="C47" s="186">
        <v>7.6</v>
      </c>
      <c r="D47" s="177">
        <v>748.3</v>
      </c>
      <c r="E47" s="177"/>
      <c r="F47" s="178">
        <v>2427</v>
      </c>
      <c r="G47" s="177">
        <v>7.3</v>
      </c>
      <c r="H47" s="177">
        <v>590.70000000000005</v>
      </c>
      <c r="I47" s="177"/>
      <c r="J47" s="178">
        <v>5649</v>
      </c>
      <c r="K47" s="177">
        <v>7.5</v>
      </c>
      <c r="L47" s="177">
        <v>671.3</v>
      </c>
    </row>
    <row r="48" spans="1:12" s="165" customFormat="1" ht="15" customHeight="1" x14ac:dyDescent="0.2">
      <c r="A48" s="182">
        <v>1950</v>
      </c>
      <c r="B48" s="184">
        <v>3322</v>
      </c>
      <c r="C48" s="186">
        <v>7.6</v>
      </c>
      <c r="D48" s="177">
        <v>730.1</v>
      </c>
      <c r="E48" s="177"/>
      <c r="F48" s="178">
        <v>2467</v>
      </c>
      <c r="G48" s="177">
        <v>7.2</v>
      </c>
      <c r="H48" s="177">
        <v>568.29999999999995</v>
      </c>
      <c r="I48" s="177"/>
      <c r="J48" s="178">
        <v>5789</v>
      </c>
      <c r="K48" s="177">
        <v>7.4</v>
      </c>
      <c r="L48" s="177">
        <v>651.1</v>
      </c>
    </row>
    <row r="49" spans="1:12" s="165" customFormat="1" ht="15" customHeight="1" x14ac:dyDescent="0.2">
      <c r="A49" s="182">
        <v>1951</v>
      </c>
      <c r="B49" s="184">
        <v>3459</v>
      </c>
      <c r="C49" s="186">
        <v>7.5</v>
      </c>
      <c r="D49" s="177">
        <v>723.5</v>
      </c>
      <c r="E49" s="177"/>
      <c r="F49" s="178">
        <v>2702</v>
      </c>
      <c r="G49" s="177">
        <v>7.5</v>
      </c>
      <c r="H49" s="177">
        <v>592</v>
      </c>
      <c r="I49" s="177"/>
      <c r="J49" s="178">
        <v>6161</v>
      </c>
      <c r="K49" s="177">
        <v>7.5</v>
      </c>
      <c r="L49" s="177">
        <v>659.3</v>
      </c>
    </row>
    <row r="50" spans="1:12" s="165" customFormat="1" ht="15" customHeight="1" x14ac:dyDescent="0.2">
      <c r="A50" s="182">
        <v>1952</v>
      </c>
      <c r="B50" s="184">
        <v>3429</v>
      </c>
      <c r="C50" s="186">
        <v>7.5</v>
      </c>
      <c r="D50" s="177">
        <v>716</v>
      </c>
      <c r="E50" s="177"/>
      <c r="F50" s="178">
        <v>2571</v>
      </c>
      <c r="G50" s="177">
        <v>7.2</v>
      </c>
      <c r="H50" s="177">
        <v>562.1</v>
      </c>
      <c r="I50" s="177"/>
      <c r="J50" s="178">
        <v>6000</v>
      </c>
      <c r="K50" s="177">
        <v>7.4</v>
      </c>
      <c r="L50" s="177">
        <v>640.79999999999995</v>
      </c>
    </row>
    <row r="51" spans="1:12" s="165" customFormat="1" ht="15" customHeight="1" x14ac:dyDescent="0.2">
      <c r="A51" s="182">
        <v>1953</v>
      </c>
      <c r="B51" s="184">
        <v>3323</v>
      </c>
      <c r="C51" s="186">
        <v>7.4</v>
      </c>
      <c r="D51" s="177">
        <v>680.5</v>
      </c>
      <c r="E51" s="177"/>
      <c r="F51" s="178">
        <v>2595</v>
      </c>
      <c r="G51" s="177">
        <v>7.3</v>
      </c>
      <c r="H51" s="177">
        <v>555.1</v>
      </c>
      <c r="I51" s="177"/>
      <c r="J51" s="178">
        <v>5918</v>
      </c>
      <c r="K51" s="177">
        <v>7.4</v>
      </c>
      <c r="L51" s="177">
        <v>619.20000000000005</v>
      </c>
    </row>
    <row r="52" spans="1:12" s="165" customFormat="1" ht="15" customHeight="1" x14ac:dyDescent="0.2">
      <c r="A52" s="182">
        <v>1954</v>
      </c>
      <c r="B52" s="184">
        <v>3307</v>
      </c>
      <c r="C52" s="186">
        <v>7.2</v>
      </c>
      <c r="D52" s="177">
        <v>664.1</v>
      </c>
      <c r="E52" s="177"/>
      <c r="F52" s="178">
        <v>2426</v>
      </c>
      <c r="G52" s="177">
        <v>6.7</v>
      </c>
      <c r="H52" s="177">
        <v>508.1</v>
      </c>
      <c r="I52" s="177"/>
      <c r="J52" s="178">
        <v>5733</v>
      </c>
      <c r="K52" s="177">
        <v>7</v>
      </c>
      <c r="L52" s="177">
        <v>587.70000000000005</v>
      </c>
    </row>
    <row r="53" spans="1:12" s="165" customFormat="1" ht="15" customHeight="1" x14ac:dyDescent="0.2">
      <c r="A53" s="182">
        <v>1955</v>
      </c>
      <c r="B53" s="184">
        <v>3279</v>
      </c>
      <c r="C53" s="186">
        <v>7.1</v>
      </c>
      <c r="D53" s="177">
        <v>647</v>
      </c>
      <c r="E53" s="177"/>
      <c r="F53" s="178">
        <v>2463</v>
      </c>
      <c r="G53" s="177">
        <v>6.9</v>
      </c>
      <c r="H53" s="177">
        <v>506.7</v>
      </c>
      <c r="I53" s="177"/>
      <c r="J53" s="178">
        <v>5742</v>
      </c>
      <c r="K53" s="177">
        <v>7</v>
      </c>
      <c r="L53" s="177">
        <v>578.29999999999995</v>
      </c>
    </row>
    <row r="54" spans="1:12" s="165" customFormat="1" ht="15" customHeight="1" x14ac:dyDescent="0.2">
      <c r="A54" s="182">
        <v>1956</v>
      </c>
      <c r="B54" s="184">
        <v>3169</v>
      </c>
      <c r="C54" s="186">
        <v>6.6</v>
      </c>
      <c r="D54" s="177">
        <v>613.20000000000005</v>
      </c>
      <c r="E54" s="177"/>
      <c r="F54" s="178">
        <v>2509</v>
      </c>
      <c r="G54" s="177">
        <v>6.6</v>
      </c>
      <c r="H54" s="177">
        <v>507.8</v>
      </c>
      <c r="I54" s="177"/>
      <c r="J54" s="178">
        <v>5678</v>
      </c>
      <c r="K54" s="177">
        <v>6.6</v>
      </c>
      <c r="L54" s="177">
        <v>561.70000000000005</v>
      </c>
    </row>
    <row r="55" spans="1:12" s="165" customFormat="1" ht="15" customHeight="1" x14ac:dyDescent="0.2">
      <c r="A55" s="182">
        <v>1957</v>
      </c>
      <c r="B55" s="184">
        <v>3320</v>
      </c>
      <c r="C55" s="186">
        <v>7</v>
      </c>
      <c r="D55" s="177">
        <v>631.1</v>
      </c>
      <c r="E55" s="177"/>
      <c r="F55" s="178">
        <v>2494</v>
      </c>
      <c r="G55" s="177">
        <v>6.7</v>
      </c>
      <c r="H55" s="177">
        <v>496.5</v>
      </c>
      <c r="I55" s="177"/>
      <c r="J55" s="178">
        <v>5814</v>
      </c>
      <c r="K55" s="177">
        <v>6.8</v>
      </c>
      <c r="L55" s="177">
        <v>565.29999999999995</v>
      </c>
    </row>
    <row r="56" spans="1:12" s="165" customFormat="1" ht="15" customHeight="1" x14ac:dyDescent="0.2">
      <c r="A56" s="182">
        <v>1958</v>
      </c>
      <c r="B56" s="184">
        <v>3146</v>
      </c>
      <c r="C56" s="186">
        <v>6.7</v>
      </c>
      <c r="D56" s="177">
        <v>587.70000000000005</v>
      </c>
      <c r="E56" s="177"/>
      <c r="F56" s="178">
        <v>2396</v>
      </c>
      <c r="G56" s="177">
        <v>6.5</v>
      </c>
      <c r="H56" s="177">
        <v>469.7</v>
      </c>
      <c r="I56" s="177"/>
      <c r="J56" s="178">
        <v>5542</v>
      </c>
      <c r="K56" s="177">
        <v>6.6</v>
      </c>
      <c r="L56" s="177">
        <v>530.1</v>
      </c>
    </row>
    <row r="57" spans="1:12" s="165" customFormat="1" ht="15" customHeight="1" x14ac:dyDescent="0.2">
      <c r="A57" s="182">
        <v>1959</v>
      </c>
      <c r="B57" s="184">
        <v>3370</v>
      </c>
      <c r="C57" s="186">
        <v>6.7</v>
      </c>
      <c r="D57" s="177">
        <v>615.6</v>
      </c>
      <c r="E57" s="177"/>
      <c r="F57" s="178">
        <v>2522</v>
      </c>
      <c r="G57" s="177">
        <v>6.5</v>
      </c>
      <c r="H57" s="177">
        <v>483.3</v>
      </c>
      <c r="I57" s="177"/>
      <c r="J57" s="178">
        <v>5892</v>
      </c>
      <c r="K57" s="177">
        <v>6.6</v>
      </c>
      <c r="L57" s="177">
        <v>551.1</v>
      </c>
    </row>
    <row r="58" spans="1:12" s="165" customFormat="1" ht="15" customHeight="1" x14ac:dyDescent="0.2">
      <c r="A58" s="182">
        <v>1960</v>
      </c>
      <c r="B58" s="184">
        <v>3173</v>
      </c>
      <c r="C58" s="186">
        <v>6.4</v>
      </c>
      <c r="D58" s="177">
        <v>566.6</v>
      </c>
      <c r="E58" s="177"/>
      <c r="F58" s="178">
        <v>2465</v>
      </c>
      <c r="G58" s="177">
        <v>6.3</v>
      </c>
      <c r="H58" s="177">
        <v>462.7</v>
      </c>
      <c r="I58" s="177"/>
      <c r="J58" s="178">
        <v>5638</v>
      </c>
      <c r="K58" s="177">
        <v>6.4</v>
      </c>
      <c r="L58" s="177">
        <v>516</v>
      </c>
    </row>
    <row r="59" spans="1:12" s="165" customFormat="1" ht="15" customHeight="1" x14ac:dyDescent="0.2">
      <c r="A59" s="182">
        <v>1961</v>
      </c>
      <c r="B59" s="184">
        <v>3233</v>
      </c>
      <c r="C59" s="186">
        <v>6.4</v>
      </c>
      <c r="D59" s="177">
        <v>563.5</v>
      </c>
      <c r="E59" s="177"/>
      <c r="F59" s="178">
        <v>2419</v>
      </c>
      <c r="G59" s="177">
        <v>6.2</v>
      </c>
      <c r="H59" s="177">
        <v>442.7</v>
      </c>
      <c r="I59" s="177"/>
      <c r="J59" s="178">
        <v>5652</v>
      </c>
      <c r="K59" s="177">
        <v>6.4</v>
      </c>
      <c r="L59" s="177">
        <v>504.6</v>
      </c>
    </row>
    <row r="60" spans="1:12" s="165" customFormat="1" ht="15" customHeight="1" x14ac:dyDescent="0.2">
      <c r="A60" s="182">
        <v>1962</v>
      </c>
      <c r="B60" s="184">
        <v>3290</v>
      </c>
      <c r="C60" s="186">
        <v>6.3</v>
      </c>
      <c r="D60" s="177">
        <v>563.5</v>
      </c>
      <c r="E60" s="177"/>
      <c r="F60" s="178">
        <v>2457</v>
      </c>
      <c r="G60" s="177">
        <v>6</v>
      </c>
      <c r="H60" s="177">
        <v>441.1</v>
      </c>
      <c r="I60" s="177"/>
      <c r="J60" s="178">
        <v>5747</v>
      </c>
      <c r="K60" s="177">
        <v>6.2</v>
      </c>
      <c r="L60" s="177">
        <v>503.8</v>
      </c>
    </row>
    <row r="61" spans="1:12" s="165" customFormat="1" ht="15" customHeight="1" x14ac:dyDescent="0.2">
      <c r="A61" s="182">
        <v>1963</v>
      </c>
      <c r="B61" s="184">
        <v>3103</v>
      </c>
      <c r="C61" s="186">
        <v>5.8</v>
      </c>
      <c r="D61" s="177">
        <v>524.70000000000005</v>
      </c>
      <c r="E61" s="177"/>
      <c r="F61" s="178">
        <v>2379</v>
      </c>
      <c r="G61" s="177">
        <v>5.7</v>
      </c>
      <c r="H61" s="177">
        <v>422.3</v>
      </c>
      <c r="I61" s="177"/>
      <c r="J61" s="178">
        <v>5482</v>
      </c>
      <c r="K61" s="177">
        <v>5.8</v>
      </c>
      <c r="L61" s="177">
        <v>474.7</v>
      </c>
    </row>
    <row r="62" spans="1:12" s="165" customFormat="1" ht="15" customHeight="1" x14ac:dyDescent="0.2">
      <c r="A62" s="182">
        <v>1964</v>
      </c>
      <c r="B62" s="184">
        <v>3017</v>
      </c>
      <c r="C62" s="186">
        <v>5.4</v>
      </c>
      <c r="D62" s="177">
        <v>505.7</v>
      </c>
      <c r="E62" s="177"/>
      <c r="F62" s="178">
        <v>2273</v>
      </c>
      <c r="G62" s="177">
        <v>5.0999999999999996</v>
      </c>
      <c r="H62" s="177">
        <v>400.8</v>
      </c>
      <c r="I62" s="177"/>
      <c r="J62" s="178">
        <v>5290</v>
      </c>
      <c r="K62" s="177">
        <v>5.3</v>
      </c>
      <c r="L62" s="177">
        <v>454.6</v>
      </c>
    </row>
    <row r="63" spans="1:12" s="165" customFormat="1" ht="15" customHeight="1" x14ac:dyDescent="0.2">
      <c r="A63" s="182">
        <v>1965</v>
      </c>
      <c r="B63" s="184">
        <v>2872</v>
      </c>
      <c r="C63" s="186">
        <v>5.0999999999999996</v>
      </c>
      <c r="D63" s="177">
        <v>481.2</v>
      </c>
      <c r="E63" s="177"/>
      <c r="F63" s="178">
        <v>2164</v>
      </c>
      <c r="G63" s="177">
        <v>4.9000000000000004</v>
      </c>
      <c r="H63" s="177">
        <v>381.5</v>
      </c>
      <c r="I63" s="177"/>
      <c r="J63" s="178">
        <v>5036</v>
      </c>
      <c r="K63" s="177">
        <v>5.0999999999999996</v>
      </c>
      <c r="L63" s="177">
        <v>432.6</v>
      </c>
    </row>
    <row r="64" spans="1:12" s="165" customFormat="1" ht="15" customHeight="1" x14ac:dyDescent="0.2">
      <c r="A64" s="182">
        <v>1966</v>
      </c>
      <c r="B64" s="184">
        <v>2847</v>
      </c>
      <c r="C64" s="186">
        <v>4.9000000000000004</v>
      </c>
      <c r="D64" s="177">
        <v>478.6</v>
      </c>
      <c r="E64" s="177"/>
      <c r="F64" s="178">
        <v>2045</v>
      </c>
      <c r="G64" s="177">
        <v>4.4000000000000004</v>
      </c>
      <c r="H64" s="177">
        <v>361.7</v>
      </c>
      <c r="I64" s="177"/>
      <c r="J64" s="178">
        <v>4892</v>
      </c>
      <c r="K64" s="177">
        <v>4.7</v>
      </c>
      <c r="L64" s="177">
        <v>421.6</v>
      </c>
    </row>
    <row r="65" spans="1:12" s="165" customFormat="1" ht="15" customHeight="1" x14ac:dyDescent="0.2">
      <c r="A65" s="182">
        <v>1967</v>
      </c>
      <c r="B65" s="184">
        <v>2883</v>
      </c>
      <c r="C65" s="186">
        <v>5</v>
      </c>
      <c r="D65" s="177">
        <v>488.8</v>
      </c>
      <c r="E65" s="177"/>
      <c r="F65" s="178">
        <v>2149</v>
      </c>
      <c r="G65" s="177">
        <v>4.8</v>
      </c>
      <c r="H65" s="177">
        <v>384</v>
      </c>
      <c r="I65" s="177"/>
      <c r="J65" s="178">
        <v>5032</v>
      </c>
      <c r="K65" s="177">
        <v>4.9000000000000004</v>
      </c>
      <c r="L65" s="177">
        <v>437.8</v>
      </c>
    </row>
    <row r="66" spans="1:12" s="165" customFormat="1" ht="15" customHeight="1" x14ac:dyDescent="0.2">
      <c r="A66" s="182">
        <v>1968</v>
      </c>
      <c r="B66" s="184">
        <v>2899</v>
      </c>
      <c r="C66" s="186">
        <v>4.7</v>
      </c>
      <c r="D66" s="177">
        <v>493.7</v>
      </c>
      <c r="E66" s="177"/>
      <c r="F66" s="178">
        <v>2217</v>
      </c>
      <c r="G66" s="177">
        <v>4.5999999999999996</v>
      </c>
      <c r="H66" s="177">
        <v>397.7</v>
      </c>
      <c r="I66" s="177"/>
      <c r="J66" s="178">
        <v>5116</v>
      </c>
      <c r="K66" s="177">
        <v>4.7</v>
      </c>
      <c r="L66" s="177">
        <v>446.9</v>
      </c>
    </row>
    <row r="67" spans="1:12" s="165" customFormat="1" ht="15" customHeight="1" x14ac:dyDescent="0.2">
      <c r="A67" s="182">
        <v>1969</v>
      </c>
      <c r="B67" s="184">
        <v>3032</v>
      </c>
      <c r="C67" s="186">
        <v>5.0999999999999996</v>
      </c>
      <c r="D67" s="177">
        <v>509.7</v>
      </c>
      <c r="E67" s="177"/>
      <c r="F67" s="178">
        <v>2287</v>
      </c>
      <c r="G67" s="177">
        <v>4.9000000000000004</v>
      </c>
      <c r="H67" s="177">
        <v>403.5</v>
      </c>
      <c r="I67" s="177"/>
      <c r="J67" s="178">
        <v>5319</v>
      </c>
      <c r="K67" s="177">
        <v>5</v>
      </c>
      <c r="L67" s="177">
        <v>457.9</v>
      </c>
    </row>
    <row r="68" spans="1:12" s="165" customFormat="1" ht="15" customHeight="1" x14ac:dyDescent="0.2">
      <c r="A68" s="182">
        <v>1970</v>
      </c>
      <c r="B68" s="184">
        <v>3233</v>
      </c>
      <c r="C68" s="186">
        <v>5.0999999999999996</v>
      </c>
      <c r="D68" s="177">
        <v>532</v>
      </c>
      <c r="E68" s="177"/>
      <c r="F68" s="178">
        <v>2253</v>
      </c>
      <c r="G68" s="177">
        <v>4.5</v>
      </c>
      <c r="H68" s="177">
        <v>388.5</v>
      </c>
      <c r="I68" s="177"/>
      <c r="J68" s="178">
        <v>5486</v>
      </c>
      <c r="K68" s="177">
        <v>4.9000000000000004</v>
      </c>
      <c r="L68" s="177">
        <v>462</v>
      </c>
    </row>
    <row r="69" spans="1:12" s="165" customFormat="1" ht="15" customHeight="1" x14ac:dyDescent="0.2">
      <c r="A69" s="182">
        <v>1971</v>
      </c>
      <c r="B69" s="184">
        <v>3151</v>
      </c>
      <c r="C69" s="186">
        <v>5.2</v>
      </c>
      <c r="D69" s="177">
        <v>493.2</v>
      </c>
      <c r="E69" s="177"/>
      <c r="F69" s="178">
        <v>2468</v>
      </c>
      <c r="G69" s="177">
        <v>5</v>
      </c>
      <c r="H69" s="177">
        <v>404</v>
      </c>
      <c r="I69" s="177"/>
      <c r="J69" s="178">
        <v>5619</v>
      </c>
      <c r="K69" s="177">
        <v>5.0999999999999996</v>
      </c>
      <c r="L69" s="177">
        <v>449.6</v>
      </c>
    </row>
    <row r="70" spans="1:12" s="165" customFormat="1" ht="15" customHeight="1" x14ac:dyDescent="0.2">
      <c r="A70" s="182">
        <v>1972</v>
      </c>
      <c r="B70" s="184">
        <v>3082</v>
      </c>
      <c r="C70" s="186">
        <v>5</v>
      </c>
      <c r="D70" s="177">
        <v>470.6</v>
      </c>
      <c r="E70" s="177"/>
      <c r="F70" s="178">
        <v>2231</v>
      </c>
      <c r="G70" s="177">
        <v>4.5999999999999996</v>
      </c>
      <c r="H70" s="177">
        <v>355.5</v>
      </c>
      <c r="I70" s="177"/>
      <c r="J70" s="178">
        <v>5313</v>
      </c>
      <c r="K70" s="177">
        <v>4.8</v>
      </c>
      <c r="L70" s="177">
        <v>414.3</v>
      </c>
    </row>
    <row r="71" spans="1:12" s="165" customFormat="1" ht="15" customHeight="1" x14ac:dyDescent="0.2">
      <c r="A71" s="182">
        <v>1973</v>
      </c>
      <c r="B71" s="184">
        <v>2869</v>
      </c>
      <c r="C71" s="186">
        <v>4.7</v>
      </c>
      <c r="D71" s="177">
        <v>433.3</v>
      </c>
      <c r="E71" s="177"/>
      <c r="F71" s="178">
        <v>2098</v>
      </c>
      <c r="G71" s="177">
        <v>4.3</v>
      </c>
      <c r="H71" s="177">
        <v>330.5</v>
      </c>
      <c r="I71" s="177"/>
      <c r="J71" s="178">
        <v>4967</v>
      </c>
      <c r="K71" s="177">
        <v>4.5</v>
      </c>
      <c r="L71" s="177">
        <v>383</v>
      </c>
    </row>
    <row r="72" spans="1:12" s="165" customFormat="1" ht="15" customHeight="1" x14ac:dyDescent="0.2">
      <c r="A72" s="182">
        <v>1974</v>
      </c>
      <c r="B72" s="184">
        <v>2825</v>
      </c>
      <c r="C72" s="186">
        <v>4.4000000000000004</v>
      </c>
      <c r="D72" s="177">
        <v>427.1</v>
      </c>
      <c r="E72" s="177"/>
      <c r="F72" s="178">
        <v>1998</v>
      </c>
      <c r="G72" s="177">
        <v>3.9</v>
      </c>
      <c r="H72" s="177">
        <v>315.7</v>
      </c>
      <c r="I72" s="177"/>
      <c r="J72" s="178">
        <v>4823</v>
      </c>
      <c r="K72" s="177">
        <v>4.2</v>
      </c>
      <c r="L72" s="177">
        <v>372.7</v>
      </c>
    </row>
    <row r="73" spans="1:12" s="165" customFormat="1" ht="15" customHeight="1" x14ac:dyDescent="0.2">
      <c r="A73" s="182">
        <v>1975</v>
      </c>
      <c r="B73" s="184">
        <v>2398</v>
      </c>
      <c r="C73" s="186">
        <v>3.9</v>
      </c>
      <c r="D73" s="177">
        <v>366.4</v>
      </c>
      <c r="E73" s="177"/>
      <c r="F73" s="178">
        <v>1706</v>
      </c>
      <c r="G73" s="177">
        <v>3.5</v>
      </c>
      <c r="H73" s="177">
        <v>272.5</v>
      </c>
      <c r="I73" s="177"/>
      <c r="J73" s="178">
        <v>4104</v>
      </c>
      <c r="K73" s="177">
        <v>3.8</v>
      </c>
      <c r="L73" s="177">
        <v>320.5</v>
      </c>
    </row>
    <row r="74" spans="1:12" s="165" customFormat="1" ht="15" customHeight="1" x14ac:dyDescent="0.2">
      <c r="A74" s="182">
        <v>1976</v>
      </c>
      <c r="B74" s="184">
        <v>2163</v>
      </c>
      <c r="C74" s="186">
        <v>3.5</v>
      </c>
      <c r="D74" s="177">
        <v>342.1</v>
      </c>
      <c r="E74" s="177"/>
      <c r="F74" s="178">
        <v>1647</v>
      </c>
      <c r="G74" s="177">
        <v>3.3</v>
      </c>
      <c r="H74" s="177">
        <v>272</v>
      </c>
      <c r="I74" s="177"/>
      <c r="J74" s="178">
        <v>3810</v>
      </c>
      <c r="K74" s="177">
        <v>3.4</v>
      </c>
      <c r="L74" s="177">
        <v>307.8</v>
      </c>
    </row>
    <row r="75" spans="1:12" s="165" customFormat="1" ht="15" customHeight="1" x14ac:dyDescent="0.2">
      <c r="A75" s="182">
        <v>1977</v>
      </c>
      <c r="B75" s="184">
        <v>1992</v>
      </c>
      <c r="C75" s="186">
        <v>3.3</v>
      </c>
      <c r="D75" s="177">
        <v>326.39999999999998</v>
      </c>
      <c r="E75" s="177"/>
      <c r="F75" s="178">
        <v>1460</v>
      </c>
      <c r="G75" s="177">
        <v>3</v>
      </c>
      <c r="H75" s="177">
        <v>250.3</v>
      </c>
      <c r="I75" s="177"/>
      <c r="J75" s="178">
        <v>3452</v>
      </c>
      <c r="K75" s="177">
        <v>3.2</v>
      </c>
      <c r="L75" s="177">
        <v>289.2</v>
      </c>
    </row>
    <row r="76" spans="1:12" s="165" customFormat="1" ht="15" customHeight="1" x14ac:dyDescent="0.2">
      <c r="A76" s="182">
        <v>1978</v>
      </c>
      <c r="B76" s="184">
        <v>1909</v>
      </c>
      <c r="C76" s="186">
        <v>3.2</v>
      </c>
      <c r="D76" s="177">
        <v>320</v>
      </c>
      <c r="E76" s="177"/>
      <c r="F76" s="178">
        <v>1400</v>
      </c>
      <c r="G76" s="177">
        <v>2.9</v>
      </c>
      <c r="H76" s="177">
        <v>246.4</v>
      </c>
      <c r="I76" s="177"/>
      <c r="J76" s="178">
        <v>3309</v>
      </c>
      <c r="K76" s="177">
        <v>3.1</v>
      </c>
      <c r="L76" s="177">
        <v>284.10000000000002</v>
      </c>
    </row>
    <row r="77" spans="1:12" s="165" customFormat="1" ht="15" customHeight="1" x14ac:dyDescent="0.2">
      <c r="A77" s="182">
        <v>1979</v>
      </c>
      <c r="B77" s="184">
        <v>1740</v>
      </c>
      <c r="C77" s="186">
        <v>2.9</v>
      </c>
      <c r="D77" s="177">
        <v>297.7</v>
      </c>
      <c r="E77" s="177"/>
      <c r="F77" s="178">
        <v>1335</v>
      </c>
      <c r="G77" s="177">
        <v>2.8</v>
      </c>
      <c r="H77" s="177">
        <v>239.4</v>
      </c>
      <c r="I77" s="177"/>
      <c r="J77" s="178">
        <v>3075</v>
      </c>
      <c r="K77" s="177">
        <v>2.9</v>
      </c>
      <c r="L77" s="177">
        <v>269.2</v>
      </c>
    </row>
    <row r="78" spans="1:12" s="165" customFormat="1" ht="15" customHeight="1" x14ac:dyDescent="0.2">
      <c r="A78" s="182">
        <v>1980</v>
      </c>
      <c r="B78" s="184">
        <v>1691</v>
      </c>
      <c r="C78" s="186">
        <v>2.8</v>
      </c>
      <c r="D78" s="177">
        <v>291.60000000000002</v>
      </c>
      <c r="E78" s="177"/>
      <c r="F78" s="178">
        <v>1249</v>
      </c>
      <c r="G78" s="177">
        <v>2.6</v>
      </c>
      <c r="H78" s="177">
        <v>226.1</v>
      </c>
      <c r="I78" s="177"/>
      <c r="J78" s="178">
        <v>2940</v>
      </c>
      <c r="K78" s="177">
        <v>2.7</v>
      </c>
      <c r="L78" s="177">
        <v>259.7</v>
      </c>
    </row>
    <row r="79" spans="1:12" s="165" customFormat="1" ht="15" customHeight="1" x14ac:dyDescent="0.2">
      <c r="A79" s="182">
        <v>1981</v>
      </c>
      <c r="B79" s="184">
        <v>1637</v>
      </c>
      <c r="C79" s="186">
        <v>2.7</v>
      </c>
      <c r="D79" s="177">
        <v>280.7</v>
      </c>
      <c r="E79" s="177"/>
      <c r="F79" s="178">
        <v>1203</v>
      </c>
      <c r="G79" s="177">
        <v>2.5</v>
      </c>
      <c r="H79" s="177">
        <v>216.2</v>
      </c>
      <c r="I79" s="177"/>
      <c r="J79" s="178">
        <v>2840</v>
      </c>
      <c r="K79" s="177">
        <v>2.6</v>
      </c>
      <c r="L79" s="177">
        <v>249.2</v>
      </c>
    </row>
    <row r="80" spans="1:12" s="165" customFormat="1" ht="15" customHeight="1" x14ac:dyDescent="0.2">
      <c r="A80" s="182">
        <v>1982</v>
      </c>
      <c r="B80" s="184">
        <v>1738</v>
      </c>
      <c r="C80" s="186">
        <v>2.7</v>
      </c>
      <c r="D80" s="177">
        <v>293.7</v>
      </c>
      <c r="E80" s="177"/>
      <c r="F80" s="178">
        <v>1283</v>
      </c>
      <c r="G80" s="177">
        <v>2.5</v>
      </c>
      <c r="H80" s="177">
        <v>227.7</v>
      </c>
      <c r="I80" s="177"/>
      <c r="J80" s="178">
        <v>3021</v>
      </c>
      <c r="K80" s="177">
        <v>2.6</v>
      </c>
      <c r="L80" s="177">
        <v>261.5</v>
      </c>
    </row>
    <row r="81" spans="1:12" s="165" customFormat="1" ht="15" customHeight="1" x14ac:dyDescent="0.2">
      <c r="A81" s="182">
        <v>1983</v>
      </c>
      <c r="B81" s="184">
        <v>1588</v>
      </c>
      <c r="C81" s="186">
        <v>2.6</v>
      </c>
      <c r="D81" s="177">
        <v>264.60000000000002</v>
      </c>
      <c r="E81" s="177"/>
      <c r="F81" s="178">
        <v>1231</v>
      </c>
      <c r="G81" s="177">
        <v>2.5</v>
      </c>
      <c r="H81" s="177">
        <v>215.9</v>
      </c>
      <c r="I81" s="177"/>
      <c r="J81" s="178">
        <v>2819</v>
      </c>
      <c r="K81" s="177">
        <v>2.6</v>
      </c>
      <c r="L81" s="177">
        <v>240.9</v>
      </c>
    </row>
    <row r="82" spans="1:12" s="165" customFormat="1" ht="15" customHeight="1" x14ac:dyDescent="0.2">
      <c r="A82" s="182">
        <v>1984</v>
      </c>
      <c r="B82" s="184">
        <v>1533</v>
      </c>
      <c r="C82" s="186">
        <v>2.6</v>
      </c>
      <c r="D82" s="177">
        <v>252.6</v>
      </c>
      <c r="E82" s="177"/>
      <c r="F82" s="178">
        <v>1085</v>
      </c>
      <c r="G82" s="177">
        <v>2.2000000000000002</v>
      </c>
      <c r="H82" s="177">
        <v>188.1</v>
      </c>
      <c r="I82" s="177"/>
      <c r="J82" s="178">
        <v>2618</v>
      </c>
      <c r="K82" s="177">
        <v>2.4</v>
      </c>
      <c r="L82" s="177">
        <v>221.1</v>
      </c>
    </row>
    <row r="83" spans="1:12" s="165" customFormat="1" ht="15" customHeight="1" x14ac:dyDescent="0.2">
      <c r="A83" s="182">
        <v>1985</v>
      </c>
      <c r="B83" s="184">
        <v>1675</v>
      </c>
      <c r="C83" s="186">
        <v>2.6</v>
      </c>
      <c r="D83" s="177">
        <v>272.7</v>
      </c>
      <c r="E83" s="177"/>
      <c r="F83" s="178">
        <v>1264</v>
      </c>
      <c r="G83" s="177">
        <v>2.2999999999999998</v>
      </c>
      <c r="H83" s="177">
        <v>215.9</v>
      </c>
      <c r="I83" s="177"/>
      <c r="J83" s="178">
        <v>2939</v>
      </c>
      <c r="K83" s="177">
        <v>2.5</v>
      </c>
      <c r="L83" s="177">
        <v>245</v>
      </c>
    </row>
    <row r="84" spans="1:12" s="165" customFormat="1" ht="15" customHeight="1" x14ac:dyDescent="0.2">
      <c r="A84" s="182">
        <v>1986</v>
      </c>
      <c r="B84" s="184">
        <v>1511</v>
      </c>
      <c r="C84" s="186">
        <v>2.4</v>
      </c>
      <c r="D84" s="177">
        <v>244.1</v>
      </c>
      <c r="E84" s="177"/>
      <c r="F84" s="178">
        <v>1112</v>
      </c>
      <c r="G84" s="177">
        <v>2.1</v>
      </c>
      <c r="H84" s="177">
        <v>188.6</v>
      </c>
      <c r="I84" s="177"/>
      <c r="J84" s="178">
        <v>2623</v>
      </c>
      <c r="K84" s="177">
        <v>2.2999999999999998</v>
      </c>
      <c r="L84" s="177">
        <v>217</v>
      </c>
    </row>
    <row r="85" spans="1:12" s="165" customFormat="1" ht="15" customHeight="1" x14ac:dyDescent="0.2">
      <c r="A85" s="182">
        <v>1987</v>
      </c>
      <c r="B85" s="184">
        <v>1490</v>
      </c>
      <c r="C85" s="186">
        <v>2.2999999999999998</v>
      </c>
      <c r="D85" s="177">
        <v>238.7</v>
      </c>
      <c r="E85" s="177"/>
      <c r="F85" s="178">
        <v>1037</v>
      </c>
      <c r="G85" s="177">
        <v>1.9</v>
      </c>
      <c r="H85" s="177">
        <v>174.4</v>
      </c>
      <c r="I85" s="177"/>
      <c r="J85" s="178">
        <v>2527</v>
      </c>
      <c r="K85" s="177">
        <v>2.2000000000000002</v>
      </c>
      <c r="L85" s="177">
        <v>207.4</v>
      </c>
    </row>
    <row r="86" spans="1:12" s="165" customFormat="1" ht="15" customHeight="1" x14ac:dyDescent="0.2">
      <c r="A86" s="182">
        <v>1988</v>
      </c>
      <c r="B86" s="184">
        <v>1456</v>
      </c>
      <c r="C86" s="186">
        <v>2.2000000000000002</v>
      </c>
      <c r="D86" s="177">
        <v>231.3</v>
      </c>
      <c r="E86" s="177"/>
      <c r="F86" s="178">
        <v>1104</v>
      </c>
      <c r="G86" s="177">
        <v>2</v>
      </c>
      <c r="H86" s="177">
        <v>184</v>
      </c>
      <c r="I86" s="177"/>
      <c r="J86" s="178">
        <v>2560</v>
      </c>
      <c r="K86" s="177">
        <v>2.1</v>
      </c>
      <c r="L86" s="177">
        <v>208.2</v>
      </c>
    </row>
    <row r="87" spans="1:12" s="165" customFormat="1" ht="15" customHeight="1" x14ac:dyDescent="0.2">
      <c r="A87" s="182">
        <v>1989</v>
      </c>
      <c r="B87" s="184">
        <v>1362</v>
      </c>
      <c r="C87" s="186">
        <v>2</v>
      </c>
      <c r="D87" s="177">
        <v>213.8</v>
      </c>
      <c r="E87" s="177"/>
      <c r="F87" s="178">
        <v>1059</v>
      </c>
      <c r="G87" s="177">
        <v>1.8</v>
      </c>
      <c r="H87" s="177">
        <v>174.5</v>
      </c>
      <c r="I87" s="177"/>
      <c r="J87" s="178">
        <v>2421</v>
      </c>
      <c r="K87" s="177">
        <v>1.9</v>
      </c>
      <c r="L87" s="177">
        <v>194.6</v>
      </c>
    </row>
    <row r="88" spans="1:12" s="165" customFormat="1" ht="15" customHeight="1" x14ac:dyDescent="0.2">
      <c r="A88" s="182">
        <v>1990</v>
      </c>
      <c r="B88" s="184">
        <v>1480</v>
      </c>
      <c r="C88" s="186">
        <v>2.2999999999999998</v>
      </c>
      <c r="D88" s="177">
        <v>229.4</v>
      </c>
      <c r="E88" s="177"/>
      <c r="F88" s="178">
        <v>1089</v>
      </c>
      <c r="G88" s="177">
        <v>2</v>
      </c>
      <c r="H88" s="177">
        <v>177.7</v>
      </c>
      <c r="I88" s="177"/>
      <c r="J88" s="178">
        <v>2569</v>
      </c>
      <c r="K88" s="177">
        <v>2.1</v>
      </c>
      <c r="L88" s="177">
        <v>204.2</v>
      </c>
    </row>
    <row r="89" spans="1:12" s="165" customFormat="1" ht="15" customHeight="1" x14ac:dyDescent="0.2">
      <c r="A89" s="182">
        <v>1991</v>
      </c>
      <c r="B89" s="184">
        <v>1244</v>
      </c>
      <c r="C89" s="186">
        <v>1.9</v>
      </c>
      <c r="D89" s="177">
        <v>190.7</v>
      </c>
      <c r="E89" s="177"/>
      <c r="F89" s="178">
        <v>935</v>
      </c>
      <c r="G89" s="177">
        <v>1.7</v>
      </c>
      <c r="H89" s="177">
        <v>151</v>
      </c>
      <c r="I89" s="177"/>
      <c r="J89" s="178">
        <v>2179</v>
      </c>
      <c r="K89" s="177">
        <v>1.8</v>
      </c>
      <c r="L89" s="177">
        <v>171.3</v>
      </c>
    </row>
    <row r="90" spans="1:12" s="165" customFormat="1" ht="15" customHeight="1" x14ac:dyDescent="0.2">
      <c r="A90" s="182">
        <v>1992</v>
      </c>
      <c r="B90" s="184">
        <v>1293</v>
      </c>
      <c r="C90" s="186">
        <v>2</v>
      </c>
      <c r="D90" s="177">
        <v>196.4</v>
      </c>
      <c r="E90" s="177"/>
      <c r="F90" s="178">
        <v>948</v>
      </c>
      <c r="G90" s="177">
        <v>1.6</v>
      </c>
      <c r="H90" s="177">
        <v>151.6</v>
      </c>
      <c r="I90" s="177"/>
      <c r="J90" s="178">
        <v>2241</v>
      </c>
      <c r="K90" s="177">
        <v>1.8</v>
      </c>
      <c r="L90" s="177">
        <v>174.5</v>
      </c>
    </row>
    <row r="91" spans="1:12" s="165" customFormat="1" ht="15" customHeight="1" x14ac:dyDescent="0.2">
      <c r="A91" s="182">
        <v>1993</v>
      </c>
      <c r="B91" s="184">
        <v>1161</v>
      </c>
      <c r="C91" s="186">
        <v>1.8</v>
      </c>
      <c r="D91" s="177">
        <v>175.3</v>
      </c>
      <c r="E91" s="177"/>
      <c r="F91" s="178">
        <v>834</v>
      </c>
      <c r="G91" s="177">
        <v>1.5</v>
      </c>
      <c r="H91" s="177">
        <v>132.6</v>
      </c>
      <c r="I91" s="177"/>
      <c r="J91" s="178">
        <v>1995</v>
      </c>
      <c r="K91" s="177">
        <v>1.6</v>
      </c>
      <c r="L91" s="177">
        <v>154.5</v>
      </c>
    </row>
    <row r="92" spans="1:12" s="165" customFormat="1" ht="15" customHeight="1" x14ac:dyDescent="0.2">
      <c r="A92" s="182">
        <v>1994</v>
      </c>
      <c r="B92" s="184">
        <v>1067</v>
      </c>
      <c r="C92" s="186">
        <v>1.6</v>
      </c>
      <c r="D92" s="177">
        <v>160.5</v>
      </c>
      <c r="E92" s="177"/>
      <c r="F92" s="178">
        <v>806</v>
      </c>
      <c r="G92" s="177">
        <v>1.4</v>
      </c>
      <c r="H92" s="177">
        <v>127.7</v>
      </c>
      <c r="I92" s="177"/>
      <c r="J92" s="178">
        <v>1873</v>
      </c>
      <c r="K92" s="177">
        <v>1.5</v>
      </c>
      <c r="L92" s="177">
        <v>144.5</v>
      </c>
    </row>
    <row r="93" spans="1:12" s="165" customFormat="1" ht="15" customHeight="1" x14ac:dyDescent="0.2">
      <c r="A93" s="182">
        <v>1995</v>
      </c>
      <c r="B93" s="184">
        <v>1013</v>
      </c>
      <c r="C93" s="186">
        <v>1.5</v>
      </c>
      <c r="D93" s="177">
        <v>152.30000000000001</v>
      </c>
      <c r="E93" s="177"/>
      <c r="F93" s="178">
        <v>793</v>
      </c>
      <c r="G93" s="177">
        <v>1.3</v>
      </c>
      <c r="H93" s="177">
        <v>125.6</v>
      </c>
      <c r="I93" s="177"/>
      <c r="J93" s="178">
        <v>1806</v>
      </c>
      <c r="K93" s="177">
        <v>1.4</v>
      </c>
      <c r="L93" s="177">
        <v>139.30000000000001</v>
      </c>
    </row>
    <row r="94" spans="1:12" s="165" customFormat="1" ht="15" customHeight="1" x14ac:dyDescent="0.2">
      <c r="A94" s="182">
        <v>1996</v>
      </c>
      <c r="B94" s="184">
        <v>1048</v>
      </c>
      <c r="C94" s="186">
        <v>1.5</v>
      </c>
      <c r="D94" s="177">
        <v>158.1</v>
      </c>
      <c r="E94" s="177"/>
      <c r="F94" s="178">
        <v>763</v>
      </c>
      <c r="G94" s="177">
        <v>1.3</v>
      </c>
      <c r="H94" s="177">
        <v>121.4</v>
      </c>
      <c r="I94" s="177"/>
      <c r="J94" s="178">
        <v>1811</v>
      </c>
      <c r="K94" s="177">
        <v>1.4</v>
      </c>
      <c r="L94" s="177">
        <v>140.19999999999999</v>
      </c>
    </row>
    <row r="95" spans="1:12" s="165" customFormat="1" ht="15" customHeight="1" x14ac:dyDescent="0.2">
      <c r="A95" s="182">
        <v>1997</v>
      </c>
      <c r="B95" s="184">
        <v>950</v>
      </c>
      <c r="C95" s="186">
        <v>1.4</v>
      </c>
      <c r="D95" s="177">
        <v>143.30000000000001</v>
      </c>
      <c r="E95" s="177"/>
      <c r="F95" s="178">
        <v>718</v>
      </c>
      <c r="G95" s="177">
        <v>1.2</v>
      </c>
      <c r="H95" s="177">
        <v>114.2</v>
      </c>
      <c r="I95" s="177"/>
      <c r="J95" s="178">
        <v>1668</v>
      </c>
      <c r="K95" s="177">
        <v>1.3</v>
      </c>
      <c r="L95" s="177">
        <v>129.19999999999999</v>
      </c>
    </row>
    <row r="96" spans="1:12" s="165" customFormat="1" ht="15" customHeight="1" x14ac:dyDescent="0.2">
      <c r="A96" s="182">
        <v>1998</v>
      </c>
      <c r="B96" s="184">
        <v>905</v>
      </c>
      <c r="C96" s="186">
        <v>1.3</v>
      </c>
      <c r="D96" s="177">
        <v>137.19999999999999</v>
      </c>
      <c r="E96" s="177"/>
      <c r="F96" s="178">
        <v>694</v>
      </c>
      <c r="G96" s="177">
        <v>1.2</v>
      </c>
      <c r="H96" s="177">
        <v>111</v>
      </c>
      <c r="I96" s="177"/>
      <c r="J96" s="178">
        <v>1599</v>
      </c>
      <c r="K96" s="177">
        <v>1.3</v>
      </c>
      <c r="L96" s="177">
        <v>124.4</v>
      </c>
    </row>
    <row r="97" spans="1:12" s="165" customFormat="1" ht="15" customHeight="1" x14ac:dyDescent="0.2">
      <c r="A97" s="182">
        <v>1999</v>
      </c>
      <c r="B97" s="184">
        <v>976</v>
      </c>
      <c r="C97" s="186">
        <v>1.5</v>
      </c>
      <c r="D97" s="177">
        <v>148.69999999999999</v>
      </c>
      <c r="E97" s="177"/>
      <c r="F97" s="178">
        <v>725</v>
      </c>
      <c r="G97" s="177">
        <v>1.2</v>
      </c>
      <c r="H97" s="177">
        <v>116.4</v>
      </c>
      <c r="I97" s="177"/>
      <c r="J97" s="178">
        <v>1701</v>
      </c>
      <c r="K97" s="177">
        <v>1.3</v>
      </c>
      <c r="L97" s="177">
        <v>132.9</v>
      </c>
    </row>
    <row r="98" spans="1:12" s="165" customFormat="1" ht="15" customHeight="1" x14ac:dyDescent="0.2">
      <c r="A98" s="182">
        <v>2000</v>
      </c>
      <c r="B98" s="184">
        <v>881</v>
      </c>
      <c r="C98" s="186">
        <v>1.3</v>
      </c>
      <c r="D98" s="177">
        <v>134.9</v>
      </c>
      <c r="E98" s="177"/>
      <c r="F98" s="178">
        <v>677</v>
      </c>
      <c r="G98" s="177">
        <v>1.1000000000000001</v>
      </c>
      <c r="H98" s="177">
        <v>109.1</v>
      </c>
      <c r="I98" s="177"/>
      <c r="J98" s="178">
        <v>1558</v>
      </c>
      <c r="K98" s="177">
        <v>1.2</v>
      </c>
      <c r="L98" s="177">
        <v>122.3</v>
      </c>
    </row>
    <row r="99" spans="1:12" s="165" customFormat="1" ht="15" customHeight="1" x14ac:dyDescent="0.2">
      <c r="A99" s="182">
        <v>2001</v>
      </c>
      <c r="B99" s="184">
        <v>898</v>
      </c>
      <c r="C99" s="186">
        <v>1.3</v>
      </c>
      <c r="D99" s="177">
        <v>137.5</v>
      </c>
      <c r="E99" s="177"/>
      <c r="F99" s="178">
        <v>670</v>
      </c>
      <c r="G99" s="177">
        <v>1.1000000000000001</v>
      </c>
      <c r="H99" s="177">
        <v>108</v>
      </c>
      <c r="I99" s="177"/>
      <c r="J99" s="178">
        <v>1568</v>
      </c>
      <c r="K99" s="177">
        <v>1.2</v>
      </c>
      <c r="L99" s="177">
        <v>123.1</v>
      </c>
    </row>
    <row r="100" spans="1:12" s="165" customFormat="1" ht="15" customHeight="1" x14ac:dyDescent="0.2">
      <c r="A100" s="182">
        <v>2002</v>
      </c>
      <c r="B100" s="184">
        <v>862</v>
      </c>
      <c r="C100" s="186">
        <v>1.3</v>
      </c>
      <c r="D100" s="177">
        <v>132.5</v>
      </c>
      <c r="E100" s="177"/>
      <c r="F100" s="178">
        <v>662</v>
      </c>
      <c r="G100" s="177">
        <v>1</v>
      </c>
      <c r="H100" s="177">
        <v>107</v>
      </c>
      <c r="I100" s="177"/>
      <c r="J100" s="178">
        <v>1524</v>
      </c>
      <c r="K100" s="177">
        <v>1.1000000000000001</v>
      </c>
      <c r="L100" s="177">
        <v>120.1</v>
      </c>
    </row>
    <row r="101" spans="1:12" s="165" customFormat="1" ht="15" customHeight="1" x14ac:dyDescent="0.2">
      <c r="A101" s="182">
        <v>2003</v>
      </c>
      <c r="B101" s="184">
        <v>828</v>
      </c>
      <c r="C101" s="186">
        <v>1.2</v>
      </c>
      <c r="D101" s="177">
        <v>127.3</v>
      </c>
      <c r="E101" s="177"/>
      <c r="F101" s="178">
        <v>642</v>
      </c>
      <c r="G101" s="177">
        <v>1</v>
      </c>
      <c r="H101" s="177">
        <v>103.8</v>
      </c>
      <c r="I101" s="177"/>
      <c r="J101" s="178">
        <v>1470</v>
      </c>
      <c r="K101" s="177">
        <v>1.1000000000000001</v>
      </c>
      <c r="L101" s="177">
        <v>115.8</v>
      </c>
    </row>
    <row r="102" spans="1:12" s="165" customFormat="1" ht="15" customHeight="1" x14ac:dyDescent="0.2">
      <c r="A102" s="182">
        <v>2004</v>
      </c>
      <c r="B102" s="184">
        <v>825</v>
      </c>
      <c r="C102" s="186">
        <v>1.2</v>
      </c>
      <c r="D102" s="177">
        <v>126.6</v>
      </c>
      <c r="E102" s="177"/>
      <c r="F102" s="178">
        <v>619</v>
      </c>
      <c r="G102" s="177">
        <v>1</v>
      </c>
      <c r="H102" s="177">
        <v>100.1</v>
      </c>
      <c r="I102" s="177"/>
      <c r="J102" s="178">
        <v>1444</v>
      </c>
      <c r="K102" s="177">
        <v>1.1000000000000001</v>
      </c>
      <c r="L102" s="177">
        <v>113.7</v>
      </c>
    </row>
    <row r="103" spans="1:12" s="165" customFormat="1" ht="15" customHeight="1" x14ac:dyDescent="0.2">
      <c r="A103" s="182">
        <v>2005</v>
      </c>
      <c r="B103" s="184">
        <v>853</v>
      </c>
      <c r="C103" s="186">
        <v>1.3</v>
      </c>
      <c r="D103" s="177">
        <v>130</v>
      </c>
      <c r="E103" s="177"/>
      <c r="F103" s="178">
        <v>692</v>
      </c>
      <c r="G103" s="177">
        <v>1.1000000000000001</v>
      </c>
      <c r="H103" s="177">
        <v>111.3</v>
      </c>
      <c r="I103" s="177"/>
      <c r="J103" s="178">
        <v>1545</v>
      </c>
      <c r="K103" s="177">
        <v>1.2</v>
      </c>
      <c r="L103" s="177">
        <v>120.9</v>
      </c>
    </row>
    <row r="104" spans="1:12" s="165" customFormat="1" ht="15" customHeight="1" x14ac:dyDescent="0.2">
      <c r="A104" s="182">
        <v>2006</v>
      </c>
      <c r="B104" s="184">
        <v>851</v>
      </c>
      <c r="C104" s="186">
        <v>1.2</v>
      </c>
      <c r="D104" s="177">
        <v>128.1</v>
      </c>
      <c r="E104" s="177"/>
      <c r="F104" s="178">
        <v>648</v>
      </c>
      <c r="G104" s="177">
        <v>1</v>
      </c>
      <c r="H104" s="177">
        <v>102.8</v>
      </c>
      <c r="I104" s="177"/>
      <c r="J104" s="178">
        <v>1499</v>
      </c>
      <c r="K104" s="177">
        <v>1.1000000000000001</v>
      </c>
      <c r="L104" s="177">
        <v>115.8</v>
      </c>
    </row>
    <row r="105" spans="1:12" s="165" customFormat="1" ht="15" customHeight="1" x14ac:dyDescent="0.2">
      <c r="A105" s="182">
        <v>2007</v>
      </c>
      <c r="B105" s="184">
        <v>796</v>
      </c>
      <c r="C105" s="186">
        <v>1.1000000000000001</v>
      </c>
      <c r="D105" s="177">
        <v>116</v>
      </c>
      <c r="E105" s="177"/>
      <c r="F105" s="178">
        <v>631</v>
      </c>
      <c r="G105" s="177">
        <v>0.9</v>
      </c>
      <c r="H105" s="177">
        <v>97</v>
      </c>
      <c r="I105" s="177"/>
      <c r="J105" s="178">
        <v>1427</v>
      </c>
      <c r="K105" s="177">
        <v>1</v>
      </c>
      <c r="L105" s="177">
        <v>106.8</v>
      </c>
    </row>
    <row r="106" spans="1:12" s="165" customFormat="1" ht="15" customHeight="1" x14ac:dyDescent="0.2">
      <c r="A106" s="182">
        <v>2008</v>
      </c>
      <c r="B106" s="184">
        <v>841</v>
      </c>
      <c r="C106" s="186">
        <v>1.1000000000000001</v>
      </c>
      <c r="D106" s="177">
        <v>118.4</v>
      </c>
      <c r="E106" s="177"/>
      <c r="F106" s="178">
        <v>626</v>
      </c>
      <c r="G106" s="177">
        <v>0.9</v>
      </c>
      <c r="H106" s="177">
        <v>93</v>
      </c>
      <c r="I106" s="177"/>
      <c r="J106" s="178">
        <v>1467</v>
      </c>
      <c r="K106" s="177">
        <v>1</v>
      </c>
      <c r="L106" s="177">
        <v>106.1</v>
      </c>
    </row>
    <row r="107" spans="1:12" s="165" customFormat="1" ht="15" customHeight="1" x14ac:dyDescent="0.2">
      <c r="A107" s="182">
        <v>2009</v>
      </c>
      <c r="B107" s="184">
        <v>850</v>
      </c>
      <c r="C107" s="186">
        <v>1.2</v>
      </c>
      <c r="D107" s="177">
        <v>116.1</v>
      </c>
      <c r="E107" s="177"/>
      <c r="F107" s="178">
        <v>622</v>
      </c>
      <c r="G107" s="177">
        <v>0.9</v>
      </c>
      <c r="H107" s="177">
        <v>89.7</v>
      </c>
      <c r="I107" s="177"/>
      <c r="J107" s="178">
        <v>1472</v>
      </c>
      <c r="K107" s="177">
        <v>1</v>
      </c>
      <c r="L107" s="177">
        <v>103.2</v>
      </c>
    </row>
    <row r="108" spans="1:12" s="165" customFormat="1" ht="15" customHeight="1" x14ac:dyDescent="0.2">
      <c r="A108" s="182">
        <v>2010</v>
      </c>
      <c r="B108" s="184">
        <v>865</v>
      </c>
      <c r="C108" s="186">
        <v>1.2</v>
      </c>
      <c r="D108" s="177">
        <v>115.9</v>
      </c>
      <c r="E108" s="177"/>
      <c r="F108" s="178">
        <v>587</v>
      </c>
      <c r="G108" s="177">
        <v>0.8</v>
      </c>
      <c r="H108" s="177">
        <v>82.9</v>
      </c>
      <c r="I108" s="177"/>
      <c r="J108" s="178">
        <v>1452</v>
      </c>
      <c r="K108" s="177">
        <v>1</v>
      </c>
      <c r="L108" s="177">
        <v>99.9</v>
      </c>
    </row>
    <row r="109" spans="1:12" s="165" customFormat="1" ht="15" customHeight="1" x14ac:dyDescent="0.2">
      <c r="A109" s="182">
        <v>2011</v>
      </c>
      <c r="B109" s="184">
        <v>748</v>
      </c>
      <c r="C109" s="186">
        <v>1</v>
      </c>
      <c r="D109" s="177">
        <v>99.9</v>
      </c>
      <c r="E109" s="177"/>
      <c r="F109" s="178">
        <v>595</v>
      </c>
      <c r="G109" s="177">
        <v>0.8</v>
      </c>
      <c r="H109" s="177">
        <v>83.9</v>
      </c>
      <c r="I109" s="177"/>
      <c r="J109" s="178">
        <v>1343</v>
      </c>
      <c r="K109" s="177">
        <v>0.9</v>
      </c>
      <c r="L109" s="177">
        <v>92.1</v>
      </c>
    </row>
    <row r="110" spans="1:12" s="165" customFormat="1" ht="15" customHeight="1" x14ac:dyDescent="0.2">
      <c r="A110" s="182">
        <v>2012</v>
      </c>
      <c r="B110" s="184">
        <v>679</v>
      </c>
      <c r="C110" s="186">
        <v>0.9</v>
      </c>
      <c r="D110" s="177">
        <v>88.5</v>
      </c>
      <c r="E110" s="177"/>
      <c r="F110" s="178">
        <v>551</v>
      </c>
      <c r="G110" s="177">
        <v>0.8</v>
      </c>
      <c r="H110" s="177">
        <v>75.7</v>
      </c>
      <c r="I110" s="177"/>
      <c r="J110" s="178">
        <v>1230</v>
      </c>
      <c r="K110" s="177">
        <v>0.8</v>
      </c>
      <c r="L110" s="177">
        <v>82.3</v>
      </c>
    </row>
    <row r="111" spans="1:12" s="165" customFormat="1" ht="15" customHeight="1" x14ac:dyDescent="0.2">
      <c r="A111" s="182">
        <v>2013</v>
      </c>
      <c r="B111" s="184">
        <v>711</v>
      </c>
      <c r="C111" s="186">
        <v>0.9</v>
      </c>
      <c r="D111" s="177">
        <v>90.8</v>
      </c>
      <c r="E111" s="177"/>
      <c r="F111" s="178">
        <v>605</v>
      </c>
      <c r="G111" s="177">
        <v>0.8</v>
      </c>
      <c r="H111" s="177">
        <v>81.599999999999994</v>
      </c>
      <c r="I111" s="177"/>
      <c r="J111" s="178">
        <v>1316</v>
      </c>
      <c r="K111" s="177">
        <v>0.9</v>
      </c>
      <c r="L111" s="177">
        <v>86.3</v>
      </c>
    </row>
    <row r="112" spans="1:12" s="165" customFormat="1" ht="15" customHeight="1" x14ac:dyDescent="0.2">
      <c r="A112" s="182">
        <v>2014</v>
      </c>
      <c r="B112" s="184">
        <v>636</v>
      </c>
      <c r="C112" s="186">
        <v>0.8</v>
      </c>
      <c r="D112" s="177">
        <v>80.400000000000006</v>
      </c>
      <c r="E112" s="177"/>
      <c r="F112" s="178">
        <v>556</v>
      </c>
      <c r="G112" s="177">
        <v>0.7</v>
      </c>
      <c r="H112" s="177">
        <v>74.099999999999994</v>
      </c>
      <c r="I112" s="177"/>
      <c r="J112" s="178">
        <v>1192</v>
      </c>
      <c r="K112" s="177">
        <v>0.8</v>
      </c>
      <c r="L112" s="177">
        <v>77.3</v>
      </c>
    </row>
    <row r="113" spans="1:15" s="165" customFormat="1" ht="15" customHeight="1" x14ac:dyDescent="0.2">
      <c r="A113" s="182">
        <v>2015</v>
      </c>
      <c r="B113" s="184">
        <v>663</v>
      </c>
      <c r="C113" s="186">
        <v>0.8</v>
      </c>
      <c r="D113" s="177">
        <v>83.2</v>
      </c>
      <c r="E113" s="177"/>
      <c r="F113" s="178">
        <v>540</v>
      </c>
      <c r="G113" s="177">
        <v>0.7</v>
      </c>
      <c r="H113" s="177">
        <v>71.5</v>
      </c>
      <c r="I113" s="177"/>
      <c r="J113" s="178">
        <v>1203</v>
      </c>
      <c r="K113" s="177">
        <v>0.8</v>
      </c>
      <c r="L113" s="177">
        <v>77.5</v>
      </c>
    </row>
    <row r="114" spans="1:15" s="165" customFormat="1" ht="15" customHeight="1" x14ac:dyDescent="0.2">
      <c r="A114" s="182">
        <v>2016</v>
      </c>
      <c r="B114" s="184">
        <v>657</v>
      </c>
      <c r="C114" s="186">
        <v>0.8</v>
      </c>
      <c r="D114" s="177">
        <v>81.3</v>
      </c>
      <c r="E114" s="177"/>
      <c r="F114" s="178">
        <v>508</v>
      </c>
      <c r="G114" s="177">
        <v>0.7</v>
      </c>
      <c r="H114" s="177">
        <v>66.3</v>
      </c>
      <c r="I114" s="177"/>
      <c r="J114" s="178">
        <v>1165</v>
      </c>
      <c r="K114" s="177">
        <v>0.7</v>
      </c>
      <c r="L114" s="177">
        <v>74</v>
      </c>
    </row>
    <row r="115" spans="1:15" s="165" customFormat="1" ht="15" customHeight="1" x14ac:dyDescent="0.2">
      <c r="A115" s="182">
        <v>2017</v>
      </c>
      <c r="B115" s="184">
        <v>668</v>
      </c>
      <c r="C115" s="186">
        <v>0.8</v>
      </c>
      <c r="D115" s="177">
        <v>82.6</v>
      </c>
      <c r="E115" s="177"/>
      <c r="F115" s="178">
        <v>546</v>
      </c>
      <c r="G115" s="177">
        <v>0.7</v>
      </c>
      <c r="H115" s="177">
        <v>71.3</v>
      </c>
      <c r="I115" s="177"/>
      <c r="J115" s="178">
        <v>1214</v>
      </c>
      <c r="K115" s="177">
        <v>0.7</v>
      </c>
      <c r="L115" s="177">
        <v>77.099999999999994</v>
      </c>
    </row>
    <row r="116" spans="1:15" s="165" customFormat="1" ht="15" customHeight="1" x14ac:dyDescent="0.2">
      <c r="A116" s="182">
        <v>2018</v>
      </c>
      <c r="B116" s="184">
        <v>668</v>
      </c>
      <c r="C116" s="186">
        <v>0.8</v>
      </c>
      <c r="D116" s="177">
        <v>83.1</v>
      </c>
      <c r="E116" s="177"/>
      <c r="F116" s="178">
        <v>488</v>
      </c>
      <c r="G116" s="177">
        <v>0.6</v>
      </c>
      <c r="H116" s="177">
        <v>64.2</v>
      </c>
      <c r="I116" s="177"/>
      <c r="J116" s="178">
        <v>1156</v>
      </c>
      <c r="K116" s="177">
        <v>0.7</v>
      </c>
      <c r="L116" s="177">
        <v>73.900000000000006</v>
      </c>
    </row>
    <row r="117" spans="1:15" s="165" customFormat="1" ht="15" customHeight="1" x14ac:dyDescent="0.2">
      <c r="A117" s="182">
        <v>2019</v>
      </c>
      <c r="B117" s="184">
        <v>671</v>
      </c>
      <c r="C117" s="186">
        <v>0.8</v>
      </c>
      <c r="D117" s="177">
        <v>83.9</v>
      </c>
      <c r="E117" s="177"/>
      <c r="F117" s="178">
        <v>506</v>
      </c>
      <c r="G117" s="177">
        <v>0.6</v>
      </c>
      <c r="H117" s="177">
        <v>67.099999999999994</v>
      </c>
      <c r="I117" s="177"/>
      <c r="J117" s="178">
        <v>1177</v>
      </c>
      <c r="K117" s="177">
        <v>0.7</v>
      </c>
      <c r="L117" s="177">
        <v>75.7</v>
      </c>
    </row>
    <row r="118" spans="1:15" s="165" customFormat="1" ht="15" customHeight="1" x14ac:dyDescent="0.2">
      <c r="A118" s="182">
        <v>2020</v>
      </c>
      <c r="B118" s="184">
        <v>597</v>
      </c>
      <c r="C118" s="186">
        <v>0.7</v>
      </c>
      <c r="D118" s="177">
        <v>75.599999999999994</v>
      </c>
      <c r="E118" s="177"/>
      <c r="F118" s="178">
        <v>507</v>
      </c>
      <c r="G118" s="177">
        <v>0.7</v>
      </c>
      <c r="H118" s="177">
        <v>68</v>
      </c>
      <c r="I118" s="177"/>
      <c r="J118" s="178">
        <v>1104</v>
      </c>
      <c r="K118" s="177">
        <v>0.7</v>
      </c>
      <c r="L118" s="177">
        <v>71.900000000000006</v>
      </c>
    </row>
    <row r="119" spans="1:15" s="165" customFormat="1" ht="15" customHeight="1" x14ac:dyDescent="0.2">
      <c r="A119" s="182">
        <v>2021</v>
      </c>
      <c r="B119" s="184">
        <v>651</v>
      </c>
      <c r="C119" s="186">
        <v>0.7</v>
      </c>
      <c r="D119" s="177">
        <v>83.9</v>
      </c>
      <c r="E119" s="177"/>
      <c r="F119" s="178">
        <v>510</v>
      </c>
      <c r="G119" s="177">
        <v>0.6</v>
      </c>
      <c r="H119" s="177">
        <v>69.599999999999994</v>
      </c>
      <c r="I119" s="177"/>
      <c r="J119" s="178">
        <v>1161</v>
      </c>
      <c r="K119" s="177">
        <v>0.7</v>
      </c>
      <c r="L119" s="177">
        <v>76.900000000000006</v>
      </c>
    </row>
    <row r="120" spans="1:15" s="165" customFormat="1" ht="15" customHeight="1" x14ac:dyDescent="0.2">
      <c r="A120" s="182">
        <v>2022</v>
      </c>
      <c r="B120" s="184">
        <v>605</v>
      </c>
      <c r="C120" s="186">
        <v>0.6</v>
      </c>
      <c r="D120" s="177">
        <v>77.8</v>
      </c>
      <c r="E120" s="177"/>
      <c r="F120" s="178">
        <v>535</v>
      </c>
      <c r="G120" s="177">
        <v>0.6</v>
      </c>
      <c r="H120" s="177">
        <v>72.7</v>
      </c>
      <c r="I120" s="177"/>
      <c r="J120" s="178">
        <v>1140</v>
      </c>
      <c r="K120" s="177">
        <v>0.6</v>
      </c>
      <c r="L120" s="177">
        <v>75.3</v>
      </c>
      <c r="O120" s="545"/>
    </row>
    <row r="121" spans="1:15" s="165" customFormat="1" ht="15" customHeight="1" x14ac:dyDescent="0.2">
      <c r="A121" s="492">
        <v>2023</v>
      </c>
      <c r="B121" s="493">
        <v>609</v>
      </c>
      <c r="C121" s="197">
        <v>0.6</v>
      </c>
      <c r="D121" s="198">
        <v>78.400000000000006</v>
      </c>
      <c r="E121" s="198"/>
      <c r="F121" s="494">
        <v>476</v>
      </c>
      <c r="G121" s="198">
        <v>0.5</v>
      </c>
      <c r="H121" s="198">
        <v>64.7</v>
      </c>
      <c r="I121" s="198"/>
      <c r="J121" s="494">
        <v>1085</v>
      </c>
      <c r="K121" s="198">
        <v>0.6</v>
      </c>
      <c r="L121" s="198">
        <v>71.8</v>
      </c>
      <c r="M121" s="545"/>
    </row>
    <row r="122" spans="1:15" s="199" customFormat="1" ht="15" customHeight="1" x14ac:dyDescent="0.2">
      <c r="A122" s="212" t="s">
        <v>4</v>
      </c>
      <c r="B122" s="484"/>
      <c r="C122" s="484"/>
      <c r="D122" s="214"/>
      <c r="E122" s="20"/>
      <c r="F122" s="86"/>
      <c r="G122" s="86"/>
      <c r="H122" s="20"/>
      <c r="I122" s="20"/>
      <c r="J122" s="86"/>
      <c r="K122" s="86"/>
      <c r="L122" s="88"/>
    </row>
    <row r="123" spans="1:15" ht="15" customHeight="1" x14ac:dyDescent="0.2">
      <c r="A123" s="95" t="s">
        <v>579</v>
      </c>
    </row>
    <row r="124" spans="1:15" s="199" customFormat="1" ht="39.950000000000003" customHeight="1" x14ac:dyDescent="0.2">
      <c r="A124" s="599" t="s">
        <v>36</v>
      </c>
      <c r="B124" s="600"/>
      <c r="C124" s="600"/>
      <c r="D124" s="600"/>
      <c r="E124" s="600"/>
      <c r="F124" s="600"/>
      <c r="G124" s="600"/>
      <c r="H124" s="600"/>
      <c r="I124" s="600"/>
      <c r="J124" s="600"/>
      <c r="K124" s="600"/>
      <c r="L124" s="600"/>
      <c r="M124" s="600"/>
      <c r="N124" s="600"/>
      <c r="O124" s="601"/>
    </row>
    <row r="125" spans="1:15" s="199" customFormat="1" ht="15" customHeight="1" x14ac:dyDescent="0.2">
      <c r="A125" s="20" t="s">
        <v>559</v>
      </c>
      <c r="B125" s="86"/>
      <c r="C125" s="86"/>
      <c r="D125" s="214"/>
      <c r="E125" s="87"/>
      <c r="F125" s="20"/>
      <c r="G125" s="20"/>
      <c r="H125" s="20"/>
      <c r="I125" s="86"/>
      <c r="J125" s="87"/>
      <c r="K125" s="87"/>
      <c r="L125" s="87"/>
    </row>
    <row r="126" spans="1:15" s="199" customFormat="1" ht="15" customHeight="1" x14ac:dyDescent="0.2">
      <c r="A126" s="20" t="s">
        <v>144</v>
      </c>
      <c r="B126" s="86"/>
      <c r="C126" s="86"/>
      <c r="D126" s="214"/>
      <c r="E126" s="20"/>
      <c r="F126" s="86"/>
      <c r="G126" s="86"/>
      <c r="H126" s="20"/>
      <c r="I126" s="20"/>
      <c r="J126" s="86"/>
      <c r="K126" s="86"/>
      <c r="L126" s="88"/>
    </row>
    <row r="127" spans="1:15" s="199" customFormat="1" ht="15" customHeight="1" x14ac:dyDescent="0.2">
      <c r="A127" s="212" t="s">
        <v>554</v>
      </c>
      <c r="B127" s="484"/>
      <c r="C127" s="484"/>
      <c r="D127" s="214"/>
      <c r="E127" s="20"/>
      <c r="F127" s="86"/>
      <c r="G127" s="86"/>
      <c r="H127" s="20"/>
      <c r="I127" s="20"/>
      <c r="J127" s="86"/>
      <c r="K127" s="86"/>
      <c r="L127" s="88"/>
    </row>
  </sheetData>
  <mergeCells count="4">
    <mergeCell ref="B3:D3"/>
    <mergeCell ref="F3:H3"/>
    <mergeCell ref="J3:L3"/>
    <mergeCell ref="A124:O124"/>
  </mergeCells>
  <hyperlinks>
    <hyperlink ref="A2" location="Contents!A1" display="Back to contents" xr:uid="{8F8DF03C-3EC0-4208-861B-051CAFD1BA40}"/>
  </hyperlinks>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2C426-745C-44ED-8407-027C635B8071}">
  <dimension ref="A1:N127"/>
  <sheetViews>
    <sheetView workbookViewId="0">
      <pane ySplit="4" topLeftCell="A5" activePane="bottomLeft" state="frozen"/>
      <selection pane="bottomLeft" activeCell="A5" sqref="A5"/>
    </sheetView>
  </sheetViews>
  <sheetFormatPr defaultRowHeight="15" customHeight="1" x14ac:dyDescent="0.2"/>
  <cols>
    <col min="1" max="1" width="9" style="191"/>
    <col min="2" max="3" width="19.625" style="191" customWidth="1"/>
    <col min="4" max="4" width="2.625" style="191" customWidth="1"/>
    <col min="5" max="6" width="19.625" style="191" customWidth="1"/>
    <col min="7" max="7" width="2.625" style="191" customWidth="1"/>
    <col min="8" max="9" width="19.625" style="191" customWidth="1"/>
    <col min="10" max="16384" width="9" style="191"/>
  </cols>
  <sheetData>
    <row r="1" spans="1:12" ht="15" customHeight="1" x14ac:dyDescent="0.25">
      <c r="A1" s="151" t="s">
        <v>590</v>
      </c>
      <c r="B1" s="152"/>
      <c r="C1" s="154"/>
      <c r="D1" s="154"/>
      <c r="E1" s="155"/>
      <c r="F1" s="154"/>
      <c r="G1" s="154"/>
      <c r="H1" s="155"/>
      <c r="I1" s="154"/>
    </row>
    <row r="2" spans="1:12" s="199" customFormat="1" ht="15" customHeight="1" x14ac:dyDescent="0.2">
      <c r="A2" s="569" t="s">
        <v>585</v>
      </c>
    </row>
    <row r="3" spans="1:12" s="165" customFormat="1" ht="15" customHeight="1" x14ac:dyDescent="0.2">
      <c r="A3" s="158"/>
      <c r="B3" s="598" t="s">
        <v>0</v>
      </c>
      <c r="C3" s="598"/>
      <c r="D3" s="159"/>
      <c r="E3" s="598" t="s">
        <v>1</v>
      </c>
      <c r="F3" s="598"/>
      <c r="G3" s="159"/>
      <c r="H3" s="598" t="s">
        <v>2</v>
      </c>
      <c r="I3" s="598"/>
    </row>
    <row r="4" spans="1:12" s="165" customFormat="1" ht="35.1" customHeight="1" x14ac:dyDescent="0.2">
      <c r="A4" s="160" t="s">
        <v>26</v>
      </c>
      <c r="B4" s="161" t="s">
        <v>632</v>
      </c>
      <c r="C4" s="161" t="s">
        <v>633</v>
      </c>
      <c r="D4" s="161"/>
      <c r="E4" s="161" t="s">
        <v>632</v>
      </c>
      <c r="F4" s="161" t="s">
        <v>633</v>
      </c>
      <c r="G4" s="161"/>
      <c r="H4" s="161" t="s">
        <v>632</v>
      </c>
      <c r="I4" s="161" t="s">
        <v>633</v>
      </c>
    </row>
    <row r="5" spans="1:12" s="165" customFormat="1" ht="15" customHeight="1" x14ac:dyDescent="0.2">
      <c r="A5" s="182">
        <v>1907</v>
      </c>
      <c r="B5" s="184">
        <v>870650</v>
      </c>
      <c r="C5" s="177">
        <v>404.6</v>
      </c>
      <c r="D5" s="177"/>
      <c r="E5" s="178">
        <v>705732.5</v>
      </c>
      <c r="F5" s="177">
        <v>356.4</v>
      </c>
      <c r="G5" s="177"/>
      <c r="H5" s="178">
        <v>1576382.5</v>
      </c>
      <c r="I5" s="177">
        <v>381.5</v>
      </c>
    </row>
    <row r="6" spans="1:12" s="165" customFormat="1" ht="15" customHeight="1" x14ac:dyDescent="0.2">
      <c r="A6" s="182">
        <v>1908</v>
      </c>
      <c r="B6" s="184">
        <v>880792.5</v>
      </c>
      <c r="C6" s="177">
        <v>403.2</v>
      </c>
      <c r="D6" s="177"/>
      <c r="E6" s="178">
        <v>705257.5</v>
      </c>
      <c r="F6" s="177">
        <v>350.3</v>
      </c>
      <c r="G6" s="177"/>
      <c r="H6" s="178">
        <v>1586050</v>
      </c>
      <c r="I6" s="177">
        <v>377.8</v>
      </c>
    </row>
    <row r="7" spans="1:12" s="165" customFormat="1" ht="15" customHeight="1" x14ac:dyDescent="0.2">
      <c r="A7" s="182">
        <v>1909</v>
      </c>
      <c r="B7" s="184">
        <v>831830</v>
      </c>
      <c r="C7" s="177">
        <v>375.2</v>
      </c>
      <c r="D7" s="177"/>
      <c r="E7" s="178">
        <v>660180</v>
      </c>
      <c r="F7" s="177">
        <v>322.5</v>
      </c>
      <c r="G7" s="177"/>
      <c r="H7" s="178">
        <v>1492010</v>
      </c>
      <c r="I7" s="177">
        <v>349.9</v>
      </c>
      <c r="L7" s="547"/>
    </row>
    <row r="8" spans="1:12" s="165" customFormat="1" ht="15" customHeight="1" x14ac:dyDescent="0.2">
      <c r="A8" s="182">
        <v>1910</v>
      </c>
      <c r="B8" s="184">
        <v>871410</v>
      </c>
      <c r="C8" s="177">
        <v>387.4</v>
      </c>
      <c r="D8" s="177"/>
      <c r="E8" s="178">
        <v>687100</v>
      </c>
      <c r="F8" s="177">
        <v>330.3</v>
      </c>
      <c r="G8" s="177"/>
      <c r="H8" s="178">
        <v>1558510</v>
      </c>
      <c r="I8" s="177">
        <v>359.9</v>
      </c>
    </row>
    <row r="9" spans="1:12" s="165" customFormat="1" ht="15" customHeight="1" x14ac:dyDescent="0.2">
      <c r="A9" s="182">
        <v>1911</v>
      </c>
      <c r="B9" s="184">
        <v>880475</v>
      </c>
      <c r="C9" s="177">
        <v>385.9</v>
      </c>
      <c r="D9" s="177"/>
      <c r="E9" s="178">
        <v>687372.5</v>
      </c>
      <c r="F9" s="177">
        <v>325.10000000000002</v>
      </c>
      <c r="G9" s="177"/>
      <c r="H9" s="178">
        <v>1567847.5</v>
      </c>
      <c r="I9" s="177">
        <v>356.7</v>
      </c>
    </row>
    <row r="10" spans="1:12" s="165" customFormat="1" ht="15" customHeight="1" x14ac:dyDescent="0.2">
      <c r="A10" s="182">
        <v>1912</v>
      </c>
      <c r="B10" s="184">
        <v>1002087.5</v>
      </c>
      <c r="C10" s="177">
        <v>430.6</v>
      </c>
      <c r="D10" s="177"/>
      <c r="E10" s="178">
        <v>769617.5</v>
      </c>
      <c r="F10" s="177">
        <v>355.1</v>
      </c>
      <c r="G10" s="177"/>
      <c r="H10" s="178">
        <v>1771705</v>
      </c>
      <c r="I10" s="177">
        <v>394.2</v>
      </c>
    </row>
    <row r="11" spans="1:12" s="165" customFormat="1" ht="15" customHeight="1" x14ac:dyDescent="0.2">
      <c r="A11" s="182">
        <v>1913</v>
      </c>
      <c r="B11" s="184">
        <v>997285</v>
      </c>
      <c r="C11" s="177">
        <v>420.3</v>
      </c>
      <c r="D11" s="177"/>
      <c r="E11" s="178">
        <v>777635</v>
      </c>
      <c r="F11" s="177">
        <v>350.2</v>
      </c>
      <c r="G11" s="177"/>
      <c r="H11" s="178">
        <v>1774920</v>
      </c>
      <c r="I11" s="177">
        <v>386.4</v>
      </c>
    </row>
    <row r="12" spans="1:12" s="165" customFormat="1" ht="15" customHeight="1" x14ac:dyDescent="0.2">
      <c r="A12" s="182">
        <v>1914</v>
      </c>
      <c r="B12" s="184">
        <v>999567.5</v>
      </c>
      <c r="C12" s="177">
        <v>413.3</v>
      </c>
      <c r="D12" s="177"/>
      <c r="E12" s="178">
        <v>758992.5</v>
      </c>
      <c r="F12" s="177">
        <v>333.8</v>
      </c>
      <c r="G12" s="177"/>
      <c r="H12" s="178">
        <v>1758560</v>
      </c>
      <c r="I12" s="177">
        <v>374.8</v>
      </c>
    </row>
    <row r="13" spans="1:12" s="165" customFormat="1" ht="15" customHeight="1" x14ac:dyDescent="0.2">
      <c r="A13" s="182">
        <v>1915</v>
      </c>
      <c r="B13" s="184">
        <v>997180</v>
      </c>
      <c r="C13" s="177">
        <v>404.7</v>
      </c>
      <c r="D13" s="177"/>
      <c r="E13" s="178">
        <v>754797.5</v>
      </c>
      <c r="F13" s="177">
        <v>324.39999999999998</v>
      </c>
      <c r="G13" s="177"/>
      <c r="H13" s="178">
        <v>1751977.5</v>
      </c>
      <c r="I13" s="177">
        <v>365.7</v>
      </c>
    </row>
    <row r="14" spans="1:12" s="165" customFormat="1" ht="15" customHeight="1" x14ac:dyDescent="0.2">
      <c r="A14" s="182">
        <v>1916</v>
      </c>
      <c r="B14" s="184">
        <v>1000457.5</v>
      </c>
      <c r="C14" s="177">
        <v>398.6</v>
      </c>
      <c r="D14" s="177"/>
      <c r="E14" s="178">
        <v>798032.5</v>
      </c>
      <c r="F14" s="177">
        <v>335.3</v>
      </c>
      <c r="G14" s="177"/>
      <c r="H14" s="178">
        <v>1798490</v>
      </c>
      <c r="I14" s="177">
        <v>367.8</v>
      </c>
    </row>
    <row r="15" spans="1:12" s="165" customFormat="1" ht="15" customHeight="1" x14ac:dyDescent="0.2">
      <c r="A15" s="182">
        <v>1917</v>
      </c>
      <c r="B15" s="184">
        <v>833510</v>
      </c>
      <c r="C15" s="177">
        <v>326.2</v>
      </c>
      <c r="D15" s="177"/>
      <c r="E15" s="178">
        <v>642595</v>
      </c>
      <c r="F15" s="177">
        <v>264</v>
      </c>
      <c r="G15" s="177"/>
      <c r="H15" s="178">
        <v>1476105</v>
      </c>
      <c r="I15" s="177">
        <v>295.89999999999998</v>
      </c>
    </row>
    <row r="16" spans="1:12" s="165" customFormat="1" ht="15" customHeight="1" x14ac:dyDescent="0.2">
      <c r="A16" s="182">
        <v>1918</v>
      </c>
      <c r="B16" s="184">
        <v>849867.5</v>
      </c>
      <c r="C16" s="177">
        <v>326.7</v>
      </c>
      <c r="D16" s="177"/>
      <c r="E16" s="178">
        <v>674345</v>
      </c>
      <c r="F16" s="177">
        <v>271.2</v>
      </c>
      <c r="G16" s="177"/>
      <c r="H16" s="178">
        <v>1524212.5</v>
      </c>
      <c r="I16" s="177">
        <v>299.60000000000002</v>
      </c>
    </row>
    <row r="17" spans="1:9" s="165" customFormat="1" ht="15" customHeight="1" x14ac:dyDescent="0.2">
      <c r="A17" s="182">
        <v>1919</v>
      </c>
      <c r="B17" s="184">
        <v>1209760</v>
      </c>
      <c r="C17" s="177">
        <v>457.1</v>
      </c>
      <c r="D17" s="177"/>
      <c r="E17" s="178">
        <v>922940</v>
      </c>
      <c r="F17" s="177">
        <v>363.3</v>
      </c>
      <c r="G17" s="177"/>
      <c r="H17" s="178">
        <v>2132700</v>
      </c>
      <c r="I17" s="177">
        <v>411.2</v>
      </c>
    </row>
    <row r="18" spans="1:9" s="165" customFormat="1" ht="15" customHeight="1" x14ac:dyDescent="0.2">
      <c r="A18" s="182">
        <v>1920</v>
      </c>
      <c r="B18" s="184">
        <v>1020315</v>
      </c>
      <c r="C18" s="177">
        <v>379</v>
      </c>
      <c r="D18" s="177"/>
      <c r="E18" s="178">
        <v>797027.5</v>
      </c>
      <c r="F18" s="177">
        <v>307.3</v>
      </c>
      <c r="G18" s="177"/>
      <c r="H18" s="178">
        <v>1817342.5</v>
      </c>
      <c r="I18" s="177">
        <v>343.8</v>
      </c>
    </row>
    <row r="19" spans="1:9" s="165" customFormat="1" ht="15" customHeight="1" x14ac:dyDescent="0.2">
      <c r="A19" s="182">
        <v>1921</v>
      </c>
      <c r="B19" s="184">
        <v>970660</v>
      </c>
      <c r="C19" s="177">
        <v>354.5</v>
      </c>
      <c r="D19" s="177"/>
      <c r="E19" s="178">
        <v>761317.5</v>
      </c>
      <c r="F19" s="177">
        <v>287.60000000000002</v>
      </c>
      <c r="G19" s="177"/>
      <c r="H19" s="178">
        <v>1731977.5</v>
      </c>
      <c r="I19" s="177">
        <v>321.7</v>
      </c>
    </row>
    <row r="20" spans="1:9" s="165" customFormat="1" ht="15" customHeight="1" x14ac:dyDescent="0.2">
      <c r="A20" s="182">
        <v>1922</v>
      </c>
      <c r="B20" s="184">
        <v>858600</v>
      </c>
      <c r="C20" s="177">
        <v>307</v>
      </c>
      <c r="D20" s="177"/>
      <c r="E20" s="178">
        <v>645050</v>
      </c>
      <c r="F20" s="177">
        <v>238.8</v>
      </c>
      <c r="G20" s="177"/>
      <c r="H20" s="178">
        <v>1503650</v>
      </c>
      <c r="I20" s="177">
        <v>273.5</v>
      </c>
    </row>
    <row r="21" spans="1:9" s="165" customFormat="1" ht="15" customHeight="1" x14ac:dyDescent="0.2">
      <c r="A21" s="182">
        <v>1923</v>
      </c>
      <c r="B21" s="184">
        <v>916580</v>
      </c>
      <c r="C21" s="177">
        <v>320.10000000000002</v>
      </c>
      <c r="D21" s="177"/>
      <c r="E21" s="178">
        <v>724162.5</v>
      </c>
      <c r="F21" s="177">
        <v>262.7</v>
      </c>
      <c r="G21" s="177"/>
      <c r="H21" s="178">
        <v>1640742.5</v>
      </c>
      <c r="I21" s="177">
        <v>292</v>
      </c>
    </row>
    <row r="22" spans="1:9" s="165" customFormat="1" ht="15" customHeight="1" x14ac:dyDescent="0.2">
      <c r="A22" s="182">
        <v>1924</v>
      </c>
      <c r="B22" s="184">
        <v>884795</v>
      </c>
      <c r="C22" s="177">
        <v>302.5</v>
      </c>
      <c r="D22" s="177"/>
      <c r="E22" s="178">
        <v>702202.5</v>
      </c>
      <c r="F22" s="177">
        <v>249.8</v>
      </c>
      <c r="G22" s="177"/>
      <c r="H22" s="178">
        <v>1586997.5</v>
      </c>
      <c r="I22" s="177">
        <v>276.7</v>
      </c>
    </row>
    <row r="23" spans="1:9" s="165" customFormat="1" ht="15" customHeight="1" x14ac:dyDescent="0.2">
      <c r="A23" s="182">
        <v>1925</v>
      </c>
      <c r="B23" s="184">
        <v>861782.5</v>
      </c>
      <c r="C23" s="177">
        <v>287.89999999999998</v>
      </c>
      <c r="D23" s="177"/>
      <c r="E23" s="178">
        <v>663780</v>
      </c>
      <c r="F23" s="177">
        <v>231.5</v>
      </c>
      <c r="G23" s="177"/>
      <c r="H23" s="178">
        <v>1525562.5</v>
      </c>
      <c r="I23" s="177">
        <v>260.3</v>
      </c>
    </row>
    <row r="24" spans="1:9" s="165" customFormat="1" ht="15" customHeight="1" x14ac:dyDescent="0.2">
      <c r="A24" s="182">
        <v>1926</v>
      </c>
      <c r="B24" s="184">
        <v>886587.5</v>
      </c>
      <c r="C24" s="177">
        <v>290.39999999999998</v>
      </c>
      <c r="D24" s="177"/>
      <c r="E24" s="178">
        <v>676332.5</v>
      </c>
      <c r="F24" s="177">
        <v>231.4</v>
      </c>
      <c r="G24" s="177"/>
      <c r="H24" s="178">
        <v>1562920</v>
      </c>
      <c r="I24" s="177">
        <v>261.5</v>
      </c>
    </row>
    <row r="25" spans="1:9" s="165" customFormat="1" ht="15" customHeight="1" x14ac:dyDescent="0.2">
      <c r="A25" s="182">
        <v>1927</v>
      </c>
      <c r="B25" s="184">
        <v>892875</v>
      </c>
      <c r="C25" s="177">
        <v>286.2</v>
      </c>
      <c r="D25" s="177"/>
      <c r="E25" s="178">
        <v>697835</v>
      </c>
      <c r="F25" s="177">
        <v>234.1</v>
      </c>
      <c r="G25" s="177"/>
      <c r="H25" s="178">
        <v>1590710</v>
      </c>
      <c r="I25" s="177">
        <v>260.8</v>
      </c>
    </row>
    <row r="26" spans="1:9" s="165" customFormat="1" ht="15" customHeight="1" x14ac:dyDescent="0.2">
      <c r="A26" s="182">
        <v>1928</v>
      </c>
      <c r="B26" s="184">
        <v>892327.5</v>
      </c>
      <c r="C26" s="177">
        <v>280.60000000000002</v>
      </c>
      <c r="D26" s="177"/>
      <c r="E26" s="178">
        <v>715132.5</v>
      </c>
      <c r="F26" s="177">
        <v>235.5</v>
      </c>
      <c r="G26" s="177"/>
      <c r="H26" s="178">
        <v>1607460</v>
      </c>
      <c r="I26" s="177">
        <v>258.5</v>
      </c>
    </row>
    <row r="27" spans="1:9" s="165" customFormat="1" ht="15" customHeight="1" x14ac:dyDescent="0.2">
      <c r="A27" s="182">
        <v>1929</v>
      </c>
      <c r="B27" s="184">
        <v>896835</v>
      </c>
      <c r="C27" s="177">
        <v>278.3</v>
      </c>
      <c r="D27" s="177"/>
      <c r="E27" s="178">
        <v>672922.5</v>
      </c>
      <c r="F27" s="177">
        <v>218.3</v>
      </c>
      <c r="G27" s="177"/>
      <c r="H27" s="178">
        <v>1569757.5</v>
      </c>
      <c r="I27" s="177">
        <v>249</v>
      </c>
    </row>
    <row r="28" spans="1:9" s="165" customFormat="1" ht="15" customHeight="1" x14ac:dyDescent="0.2">
      <c r="A28" s="182">
        <v>1930</v>
      </c>
      <c r="B28" s="184">
        <v>797447.5</v>
      </c>
      <c r="C28" s="177">
        <v>245.4</v>
      </c>
      <c r="D28" s="177"/>
      <c r="E28" s="178">
        <v>620545</v>
      </c>
      <c r="F28" s="177">
        <v>199</v>
      </c>
      <c r="G28" s="177"/>
      <c r="H28" s="178">
        <v>1417992.5</v>
      </c>
      <c r="I28" s="177">
        <v>222.6</v>
      </c>
    </row>
    <row r="29" spans="1:9" s="165" customFormat="1" ht="15" customHeight="1" x14ac:dyDescent="0.2">
      <c r="A29" s="182">
        <v>1931</v>
      </c>
      <c r="B29" s="184">
        <v>745770</v>
      </c>
      <c r="C29" s="177">
        <v>227.9</v>
      </c>
      <c r="D29" s="177"/>
      <c r="E29" s="178">
        <v>573932.5</v>
      </c>
      <c r="F29" s="177">
        <v>182</v>
      </c>
      <c r="G29" s="177"/>
      <c r="H29" s="178">
        <v>1319702.5</v>
      </c>
      <c r="I29" s="177">
        <v>205.4</v>
      </c>
    </row>
    <row r="30" spans="1:9" s="165" customFormat="1" ht="15" customHeight="1" x14ac:dyDescent="0.2">
      <c r="A30" s="182">
        <v>1932</v>
      </c>
      <c r="B30" s="184">
        <v>722017.5</v>
      </c>
      <c r="C30" s="177">
        <v>219.4</v>
      </c>
      <c r="D30" s="177"/>
      <c r="E30" s="178">
        <v>559837.5</v>
      </c>
      <c r="F30" s="177">
        <v>176.2</v>
      </c>
      <c r="G30" s="177"/>
      <c r="H30" s="178">
        <v>1281855</v>
      </c>
      <c r="I30" s="177">
        <v>198.2</v>
      </c>
    </row>
    <row r="31" spans="1:9" s="165" customFormat="1" ht="15" customHeight="1" x14ac:dyDescent="0.2">
      <c r="A31" s="182">
        <v>1933</v>
      </c>
      <c r="B31" s="184">
        <v>714950</v>
      </c>
      <c r="C31" s="177">
        <v>215.9</v>
      </c>
      <c r="D31" s="177"/>
      <c r="E31" s="178">
        <v>557777.5</v>
      </c>
      <c r="F31" s="177">
        <v>174.2</v>
      </c>
      <c r="G31" s="177"/>
      <c r="H31" s="178">
        <v>1272727.5</v>
      </c>
      <c r="I31" s="177">
        <v>195.4</v>
      </c>
    </row>
    <row r="32" spans="1:9" s="165" customFormat="1" ht="15" customHeight="1" x14ac:dyDescent="0.2">
      <c r="A32" s="182">
        <v>1934</v>
      </c>
      <c r="B32" s="184">
        <v>753377.5</v>
      </c>
      <c r="C32" s="177">
        <v>226.2</v>
      </c>
      <c r="D32" s="177"/>
      <c r="E32" s="178">
        <v>594330</v>
      </c>
      <c r="F32" s="177">
        <v>184.3</v>
      </c>
      <c r="G32" s="177"/>
      <c r="H32" s="178">
        <v>1347707.5</v>
      </c>
      <c r="I32" s="177">
        <v>205.6</v>
      </c>
    </row>
    <row r="33" spans="1:9" s="165" customFormat="1" ht="15" customHeight="1" x14ac:dyDescent="0.2">
      <c r="A33" s="182">
        <v>1935</v>
      </c>
      <c r="B33" s="184">
        <v>743785</v>
      </c>
      <c r="C33" s="177">
        <v>222.1</v>
      </c>
      <c r="D33" s="177"/>
      <c r="E33" s="178">
        <v>570845</v>
      </c>
      <c r="F33" s="177">
        <v>175.7</v>
      </c>
      <c r="G33" s="177"/>
      <c r="H33" s="178">
        <v>1314630</v>
      </c>
      <c r="I33" s="177">
        <v>199.3</v>
      </c>
    </row>
    <row r="34" spans="1:9" s="165" customFormat="1" ht="15" customHeight="1" x14ac:dyDescent="0.2">
      <c r="A34" s="182">
        <v>1936</v>
      </c>
      <c r="B34" s="184">
        <v>752647.5</v>
      </c>
      <c r="C34" s="177">
        <v>223.4</v>
      </c>
      <c r="D34" s="177"/>
      <c r="E34" s="178">
        <v>589552.5</v>
      </c>
      <c r="F34" s="177">
        <v>180.1</v>
      </c>
      <c r="G34" s="177"/>
      <c r="H34" s="178">
        <v>1342200</v>
      </c>
      <c r="I34" s="177">
        <v>202.1</v>
      </c>
    </row>
    <row r="35" spans="1:9" s="165" customFormat="1" ht="15" customHeight="1" x14ac:dyDescent="0.2">
      <c r="A35" s="182">
        <v>1937</v>
      </c>
      <c r="B35" s="184">
        <v>737962.5</v>
      </c>
      <c r="C35" s="177">
        <v>217.5</v>
      </c>
      <c r="D35" s="177"/>
      <c r="E35" s="178">
        <v>556172.5</v>
      </c>
      <c r="F35" s="177">
        <v>168.5</v>
      </c>
      <c r="G35" s="177"/>
      <c r="H35" s="178">
        <v>1294135</v>
      </c>
      <c r="I35" s="177">
        <v>193.4</v>
      </c>
    </row>
    <row r="36" spans="1:9" s="165" customFormat="1" ht="15" customHeight="1" x14ac:dyDescent="0.2">
      <c r="A36" s="182">
        <v>1938</v>
      </c>
      <c r="B36" s="184">
        <v>745942.5</v>
      </c>
      <c r="C36" s="177">
        <v>218.1</v>
      </c>
      <c r="D36" s="177"/>
      <c r="E36" s="178">
        <v>560020</v>
      </c>
      <c r="F36" s="177">
        <v>168.2</v>
      </c>
      <c r="G36" s="177"/>
      <c r="H36" s="178">
        <v>1305962.5</v>
      </c>
      <c r="I36" s="177">
        <v>193.5</v>
      </c>
    </row>
    <row r="37" spans="1:9" s="165" customFormat="1" ht="15" customHeight="1" x14ac:dyDescent="0.2">
      <c r="A37" s="182">
        <v>1939</v>
      </c>
      <c r="B37" s="184">
        <v>754652.5</v>
      </c>
      <c r="C37" s="177">
        <v>218.8</v>
      </c>
      <c r="D37" s="177"/>
      <c r="E37" s="178">
        <v>554235</v>
      </c>
      <c r="F37" s="177">
        <v>164.8</v>
      </c>
      <c r="G37" s="177"/>
      <c r="H37" s="178">
        <v>1308887.5</v>
      </c>
      <c r="I37" s="177">
        <v>192.1</v>
      </c>
    </row>
    <row r="38" spans="1:9" s="165" customFormat="1" ht="15" customHeight="1" x14ac:dyDescent="0.2">
      <c r="A38" s="182">
        <v>1940</v>
      </c>
      <c r="B38" s="184">
        <v>753647.5</v>
      </c>
      <c r="C38" s="177">
        <v>216.6</v>
      </c>
      <c r="D38" s="177"/>
      <c r="E38" s="178">
        <v>544875</v>
      </c>
      <c r="F38" s="177">
        <v>160.30000000000001</v>
      </c>
      <c r="G38" s="177"/>
      <c r="H38" s="178">
        <v>1298522.5</v>
      </c>
      <c r="I38" s="177">
        <v>188.8</v>
      </c>
    </row>
    <row r="39" spans="1:9" s="165" customFormat="1" ht="15" customHeight="1" x14ac:dyDescent="0.2">
      <c r="A39" s="182">
        <v>1941</v>
      </c>
      <c r="B39" s="184">
        <v>758235</v>
      </c>
      <c r="C39" s="177">
        <v>216.3</v>
      </c>
      <c r="D39" s="177"/>
      <c r="E39" s="178">
        <v>569222.5</v>
      </c>
      <c r="F39" s="177">
        <v>165.7</v>
      </c>
      <c r="G39" s="177"/>
      <c r="H39" s="178">
        <v>1327457.5</v>
      </c>
      <c r="I39" s="177">
        <v>191.2</v>
      </c>
    </row>
    <row r="40" spans="1:9" s="165" customFormat="1" ht="15" customHeight="1" x14ac:dyDescent="0.2">
      <c r="A40" s="182">
        <v>1942</v>
      </c>
      <c r="B40" s="184">
        <v>765722.5</v>
      </c>
      <c r="C40" s="177">
        <v>216.7</v>
      </c>
      <c r="D40" s="177"/>
      <c r="E40" s="178">
        <v>591517.5</v>
      </c>
      <c r="F40" s="177">
        <v>170.3</v>
      </c>
      <c r="G40" s="177"/>
      <c r="H40" s="178">
        <v>1357240</v>
      </c>
      <c r="I40" s="177">
        <v>193.7</v>
      </c>
    </row>
    <row r="41" spans="1:9" s="165" customFormat="1" ht="15" customHeight="1" x14ac:dyDescent="0.2">
      <c r="A41" s="182">
        <v>1943</v>
      </c>
      <c r="B41" s="184">
        <v>741920</v>
      </c>
      <c r="C41" s="177">
        <v>208.8</v>
      </c>
      <c r="D41" s="177"/>
      <c r="E41" s="178">
        <v>590302.5</v>
      </c>
      <c r="F41" s="177">
        <v>168.5</v>
      </c>
      <c r="G41" s="177"/>
      <c r="H41" s="178">
        <v>1332222.5</v>
      </c>
      <c r="I41" s="177">
        <v>188.8</v>
      </c>
    </row>
    <row r="42" spans="1:9" s="165" customFormat="1" ht="15" customHeight="1" x14ac:dyDescent="0.2">
      <c r="A42" s="182">
        <v>1944</v>
      </c>
      <c r="B42" s="184">
        <v>668447.5</v>
      </c>
      <c r="C42" s="177">
        <v>186.5</v>
      </c>
      <c r="D42" s="177"/>
      <c r="E42" s="178">
        <v>530512.5</v>
      </c>
      <c r="F42" s="177">
        <v>149.69999999999999</v>
      </c>
      <c r="G42" s="177"/>
      <c r="H42" s="178">
        <v>1198960</v>
      </c>
      <c r="I42" s="177">
        <v>168.2</v>
      </c>
    </row>
    <row r="43" spans="1:9" s="165" customFormat="1" ht="15" customHeight="1" x14ac:dyDescent="0.2">
      <c r="A43" s="182">
        <v>1945</v>
      </c>
      <c r="B43" s="184">
        <v>655870</v>
      </c>
      <c r="C43" s="177">
        <v>181.3</v>
      </c>
      <c r="D43" s="177"/>
      <c r="E43" s="178">
        <v>512485</v>
      </c>
      <c r="F43" s="177">
        <v>143</v>
      </c>
      <c r="G43" s="177"/>
      <c r="H43" s="178">
        <v>1168355</v>
      </c>
      <c r="I43" s="177">
        <v>162.19999999999999</v>
      </c>
    </row>
    <row r="44" spans="1:9" s="165" customFormat="1" ht="15" customHeight="1" x14ac:dyDescent="0.2">
      <c r="A44" s="182">
        <v>1946</v>
      </c>
      <c r="B44" s="184">
        <v>709557.5</v>
      </c>
      <c r="C44" s="177">
        <v>194.3</v>
      </c>
      <c r="D44" s="177"/>
      <c r="E44" s="178">
        <v>528617.5</v>
      </c>
      <c r="F44" s="177">
        <v>146.19999999999999</v>
      </c>
      <c r="G44" s="177"/>
      <c r="H44" s="178">
        <v>1238175</v>
      </c>
      <c r="I44" s="177">
        <v>170.3</v>
      </c>
    </row>
    <row r="45" spans="1:9" s="165" customFormat="1" ht="15" customHeight="1" x14ac:dyDescent="0.2">
      <c r="A45" s="182">
        <v>1947</v>
      </c>
      <c r="B45" s="184">
        <v>716380</v>
      </c>
      <c r="C45" s="177">
        <v>193.2</v>
      </c>
      <c r="D45" s="177"/>
      <c r="E45" s="178">
        <v>509257.5</v>
      </c>
      <c r="F45" s="177">
        <v>138.69999999999999</v>
      </c>
      <c r="G45" s="177"/>
      <c r="H45" s="178">
        <v>1225637.5</v>
      </c>
      <c r="I45" s="177">
        <v>166.1</v>
      </c>
    </row>
    <row r="46" spans="1:9" s="165" customFormat="1" ht="15" customHeight="1" x14ac:dyDescent="0.2">
      <c r="A46" s="182">
        <v>1948</v>
      </c>
      <c r="B46" s="184">
        <v>722620</v>
      </c>
      <c r="C46" s="177">
        <v>191.4</v>
      </c>
      <c r="D46" s="177"/>
      <c r="E46" s="178">
        <v>497255</v>
      </c>
      <c r="F46" s="177">
        <v>133.30000000000001</v>
      </c>
      <c r="G46" s="177"/>
      <c r="H46" s="178">
        <v>1219875</v>
      </c>
      <c r="I46" s="177">
        <v>162.5</v>
      </c>
    </row>
    <row r="47" spans="1:9" s="165" customFormat="1" ht="15" customHeight="1" x14ac:dyDescent="0.2">
      <c r="A47" s="182">
        <v>1949</v>
      </c>
      <c r="B47" s="184">
        <v>702105</v>
      </c>
      <c r="C47" s="177">
        <v>180.8</v>
      </c>
      <c r="D47" s="177"/>
      <c r="E47" s="178">
        <v>474687.5</v>
      </c>
      <c r="F47" s="177">
        <v>124.3</v>
      </c>
      <c r="G47" s="177"/>
      <c r="H47" s="178">
        <v>1176792.5</v>
      </c>
      <c r="I47" s="177">
        <v>152.80000000000001</v>
      </c>
    </row>
    <row r="48" spans="1:9" s="165" customFormat="1" ht="15" customHeight="1" x14ac:dyDescent="0.2">
      <c r="A48" s="182">
        <v>1950</v>
      </c>
      <c r="B48" s="184">
        <v>725462.5</v>
      </c>
      <c r="C48" s="177">
        <v>180</v>
      </c>
      <c r="D48" s="177"/>
      <c r="E48" s="178">
        <v>485860</v>
      </c>
      <c r="F48" s="177">
        <v>123.5</v>
      </c>
      <c r="G48" s="177"/>
      <c r="H48" s="178">
        <v>1211322.5</v>
      </c>
      <c r="I48" s="177">
        <v>152</v>
      </c>
    </row>
    <row r="49" spans="1:9" s="165" customFormat="1" ht="15" customHeight="1" x14ac:dyDescent="0.2">
      <c r="A49" s="182">
        <v>1951</v>
      </c>
      <c r="B49" s="184">
        <v>769592.5</v>
      </c>
      <c r="C49" s="177">
        <v>185</v>
      </c>
      <c r="D49" s="177"/>
      <c r="E49" s="178">
        <v>506662.5</v>
      </c>
      <c r="F49" s="177">
        <v>125.3</v>
      </c>
      <c r="G49" s="177"/>
      <c r="H49" s="178">
        <v>1276255</v>
      </c>
      <c r="I49" s="177">
        <v>155.5</v>
      </c>
    </row>
    <row r="50" spans="1:9" s="165" customFormat="1" ht="15" customHeight="1" x14ac:dyDescent="0.2">
      <c r="A50" s="182">
        <v>1952</v>
      </c>
      <c r="B50" s="184">
        <v>762680</v>
      </c>
      <c r="C50" s="177">
        <v>178.2</v>
      </c>
      <c r="D50" s="177"/>
      <c r="E50" s="178">
        <v>494980</v>
      </c>
      <c r="F50" s="177">
        <v>119.6</v>
      </c>
      <c r="G50" s="177"/>
      <c r="H50" s="178">
        <v>1257660</v>
      </c>
      <c r="I50" s="177">
        <v>149.4</v>
      </c>
    </row>
    <row r="51" spans="1:9" s="165" customFormat="1" ht="15" customHeight="1" x14ac:dyDescent="0.2">
      <c r="A51" s="182">
        <v>1953</v>
      </c>
      <c r="B51" s="184">
        <v>740072.5</v>
      </c>
      <c r="C51" s="177">
        <v>169.4</v>
      </c>
      <c r="D51" s="177"/>
      <c r="E51" s="178">
        <v>483365</v>
      </c>
      <c r="F51" s="177">
        <v>114.5</v>
      </c>
      <c r="G51" s="177"/>
      <c r="H51" s="178">
        <v>1223437.5</v>
      </c>
      <c r="I51" s="177">
        <v>142.4</v>
      </c>
    </row>
    <row r="52" spans="1:9" s="165" customFormat="1" ht="15" customHeight="1" x14ac:dyDescent="0.2">
      <c r="A52" s="182">
        <v>1954</v>
      </c>
      <c r="B52" s="184">
        <v>735122.5</v>
      </c>
      <c r="C52" s="177">
        <v>165.2</v>
      </c>
      <c r="D52" s="177"/>
      <c r="E52" s="178">
        <v>472475</v>
      </c>
      <c r="F52" s="177">
        <v>109.8</v>
      </c>
      <c r="G52" s="177"/>
      <c r="H52" s="178">
        <v>1207597.5</v>
      </c>
      <c r="I52" s="177">
        <v>137.9</v>
      </c>
    </row>
    <row r="53" spans="1:9" s="165" customFormat="1" ht="15" customHeight="1" x14ac:dyDescent="0.2">
      <c r="A53" s="182">
        <v>1955</v>
      </c>
      <c r="B53" s="184">
        <v>736607.5</v>
      </c>
      <c r="C53" s="177">
        <v>161.6</v>
      </c>
      <c r="D53" s="177"/>
      <c r="E53" s="178">
        <v>461575</v>
      </c>
      <c r="F53" s="177">
        <v>104.9</v>
      </c>
      <c r="G53" s="177"/>
      <c r="H53" s="178">
        <v>1198182.5</v>
      </c>
      <c r="I53" s="177">
        <v>133.69999999999999</v>
      </c>
    </row>
    <row r="54" spans="1:9" s="165" customFormat="1" ht="15" customHeight="1" x14ac:dyDescent="0.2">
      <c r="A54" s="182">
        <v>1956</v>
      </c>
      <c r="B54" s="184">
        <v>737885</v>
      </c>
      <c r="C54" s="177">
        <v>157.9</v>
      </c>
      <c r="D54" s="177"/>
      <c r="E54" s="178">
        <v>468672.5</v>
      </c>
      <c r="F54" s="177">
        <v>104.1</v>
      </c>
      <c r="G54" s="177"/>
      <c r="H54" s="178">
        <v>1206557.5</v>
      </c>
      <c r="I54" s="177">
        <v>131.5</v>
      </c>
    </row>
    <row r="55" spans="1:9" s="165" customFormat="1" ht="15" customHeight="1" x14ac:dyDescent="0.2">
      <c r="A55" s="182">
        <v>1957</v>
      </c>
      <c r="B55" s="184">
        <v>760015</v>
      </c>
      <c r="C55" s="177">
        <v>159.1</v>
      </c>
      <c r="D55" s="177"/>
      <c r="E55" s="178">
        <v>470682.5</v>
      </c>
      <c r="F55" s="177">
        <v>102.2</v>
      </c>
      <c r="G55" s="177"/>
      <c r="H55" s="178">
        <v>1230697.5</v>
      </c>
      <c r="I55" s="177">
        <v>131.1</v>
      </c>
    </row>
    <row r="56" spans="1:9" s="165" customFormat="1" ht="15" customHeight="1" x14ac:dyDescent="0.2">
      <c r="A56" s="182">
        <v>1958</v>
      </c>
      <c r="B56" s="184">
        <v>739735</v>
      </c>
      <c r="C56" s="177">
        <v>151.9</v>
      </c>
      <c r="D56" s="177"/>
      <c r="E56" s="178">
        <v>456735</v>
      </c>
      <c r="F56" s="177">
        <v>97</v>
      </c>
      <c r="G56" s="177"/>
      <c r="H56" s="178">
        <v>1196470</v>
      </c>
      <c r="I56" s="177">
        <v>124.9</v>
      </c>
    </row>
    <row r="57" spans="1:9" s="165" customFormat="1" ht="15" customHeight="1" x14ac:dyDescent="0.2">
      <c r="A57" s="182">
        <v>1959</v>
      </c>
      <c r="B57" s="184">
        <v>778950</v>
      </c>
      <c r="C57" s="177">
        <v>156.69999999999999</v>
      </c>
      <c r="D57" s="177"/>
      <c r="E57" s="178">
        <v>475742.5</v>
      </c>
      <c r="F57" s="177">
        <v>98.8</v>
      </c>
      <c r="G57" s="177"/>
      <c r="H57" s="178">
        <v>1254692.5</v>
      </c>
      <c r="I57" s="177">
        <v>128.19999999999999</v>
      </c>
    </row>
    <row r="58" spans="1:9" s="165" customFormat="1" ht="15" customHeight="1" x14ac:dyDescent="0.2">
      <c r="A58" s="182">
        <v>1960</v>
      </c>
      <c r="B58" s="184">
        <v>758102.5</v>
      </c>
      <c r="C58" s="177">
        <v>149.30000000000001</v>
      </c>
      <c r="D58" s="177"/>
      <c r="E58" s="178">
        <v>474190</v>
      </c>
      <c r="F58" s="177">
        <v>96.5</v>
      </c>
      <c r="G58" s="177"/>
      <c r="H58" s="178">
        <v>1232292.5</v>
      </c>
      <c r="I58" s="177">
        <v>123.3</v>
      </c>
    </row>
    <row r="59" spans="1:9" s="165" customFormat="1" ht="15" customHeight="1" x14ac:dyDescent="0.2">
      <c r="A59" s="182">
        <v>1961</v>
      </c>
      <c r="B59" s="184">
        <v>769607.5</v>
      </c>
      <c r="C59" s="177">
        <v>148.19999999999999</v>
      </c>
      <c r="D59" s="177"/>
      <c r="E59" s="178">
        <v>459707.5</v>
      </c>
      <c r="F59" s="177">
        <v>91.6</v>
      </c>
      <c r="G59" s="177"/>
      <c r="H59" s="178">
        <v>1229315</v>
      </c>
      <c r="I59" s="177">
        <v>120.4</v>
      </c>
    </row>
    <row r="60" spans="1:9" s="165" customFormat="1" ht="15" customHeight="1" x14ac:dyDescent="0.2">
      <c r="A60" s="182">
        <v>1962</v>
      </c>
      <c r="B60" s="184">
        <v>791577.5</v>
      </c>
      <c r="C60" s="177">
        <v>150</v>
      </c>
      <c r="D60" s="177"/>
      <c r="E60" s="178">
        <v>472807.5</v>
      </c>
      <c r="F60" s="177">
        <v>92.4</v>
      </c>
      <c r="G60" s="177"/>
      <c r="H60" s="178">
        <v>1264385</v>
      </c>
      <c r="I60" s="177">
        <v>121.6</v>
      </c>
    </row>
    <row r="61" spans="1:9" s="165" customFormat="1" ht="15" customHeight="1" x14ac:dyDescent="0.2">
      <c r="A61" s="182">
        <v>1963</v>
      </c>
      <c r="B61" s="184">
        <v>789630</v>
      </c>
      <c r="C61" s="177">
        <v>146.9</v>
      </c>
      <c r="D61" s="177"/>
      <c r="E61" s="178">
        <v>478962.5</v>
      </c>
      <c r="F61" s="177">
        <v>91.9</v>
      </c>
      <c r="G61" s="177"/>
      <c r="H61" s="178">
        <v>1268592.5</v>
      </c>
      <c r="I61" s="177">
        <v>119.8</v>
      </c>
    </row>
    <row r="62" spans="1:9" s="165" customFormat="1" ht="15" customHeight="1" x14ac:dyDescent="0.2">
      <c r="A62" s="182">
        <v>1964</v>
      </c>
      <c r="B62" s="184">
        <v>834029</v>
      </c>
      <c r="C62" s="177">
        <v>152.30000000000001</v>
      </c>
      <c r="D62" s="177"/>
      <c r="E62" s="178">
        <v>499513</v>
      </c>
      <c r="F62" s="177">
        <v>94</v>
      </c>
      <c r="G62" s="177"/>
      <c r="H62" s="178">
        <v>1333542</v>
      </c>
      <c r="I62" s="177">
        <v>123.6</v>
      </c>
    </row>
    <row r="63" spans="1:9" s="165" customFormat="1" ht="15" customHeight="1" x14ac:dyDescent="0.2">
      <c r="A63" s="182">
        <v>1965</v>
      </c>
      <c r="B63" s="184">
        <v>827159</v>
      </c>
      <c r="C63" s="177">
        <v>148.19999999999999</v>
      </c>
      <c r="D63" s="177"/>
      <c r="E63" s="178">
        <v>490801</v>
      </c>
      <c r="F63" s="177">
        <v>90.6</v>
      </c>
      <c r="G63" s="177"/>
      <c r="H63" s="178">
        <v>1317960</v>
      </c>
      <c r="I63" s="177">
        <v>119.8</v>
      </c>
    </row>
    <row r="64" spans="1:9" s="165" customFormat="1" ht="15" customHeight="1" x14ac:dyDescent="0.2">
      <c r="A64" s="182">
        <v>1966</v>
      </c>
      <c r="B64" s="184">
        <v>839645</v>
      </c>
      <c r="C64" s="177">
        <v>147.19999999999999</v>
      </c>
      <c r="D64" s="177"/>
      <c r="E64" s="178">
        <v>494157</v>
      </c>
      <c r="F64" s="177">
        <v>89.2</v>
      </c>
      <c r="G64" s="177"/>
      <c r="H64" s="178">
        <v>1333802</v>
      </c>
      <c r="I64" s="177">
        <v>118.6</v>
      </c>
    </row>
    <row r="65" spans="1:9" s="165" customFormat="1" ht="15" customHeight="1" x14ac:dyDescent="0.2">
      <c r="A65" s="182">
        <v>1967</v>
      </c>
      <c r="B65" s="184">
        <v>853250</v>
      </c>
      <c r="C65" s="177">
        <v>147.1</v>
      </c>
      <c r="D65" s="177"/>
      <c r="E65" s="178">
        <v>496162</v>
      </c>
      <c r="F65" s="177">
        <v>88</v>
      </c>
      <c r="G65" s="177"/>
      <c r="H65" s="178">
        <v>1349412</v>
      </c>
      <c r="I65" s="177">
        <v>118</v>
      </c>
    </row>
    <row r="66" spans="1:9" s="165" customFormat="1" ht="15" customHeight="1" x14ac:dyDescent="0.2">
      <c r="A66" s="182">
        <v>1968</v>
      </c>
      <c r="B66" s="184">
        <v>883190</v>
      </c>
      <c r="C66" s="177">
        <v>149.6</v>
      </c>
      <c r="D66" s="177"/>
      <c r="E66" s="178">
        <v>512312</v>
      </c>
      <c r="F66" s="177">
        <v>89.3</v>
      </c>
      <c r="G66" s="177"/>
      <c r="H66" s="178">
        <v>1395502</v>
      </c>
      <c r="I66" s="177">
        <v>119.9</v>
      </c>
    </row>
    <row r="67" spans="1:9" s="165" customFormat="1" ht="15" customHeight="1" x14ac:dyDescent="0.2">
      <c r="A67" s="182">
        <v>1969</v>
      </c>
      <c r="B67" s="184">
        <v>894915</v>
      </c>
      <c r="C67" s="177">
        <v>148.4</v>
      </c>
      <c r="D67" s="177"/>
      <c r="E67" s="178">
        <v>512692</v>
      </c>
      <c r="F67" s="177">
        <v>87.5</v>
      </c>
      <c r="G67" s="177"/>
      <c r="H67" s="178">
        <v>1407607</v>
      </c>
      <c r="I67" s="177">
        <v>118.4</v>
      </c>
    </row>
    <row r="68" spans="1:9" s="165" customFormat="1" ht="15" customHeight="1" x14ac:dyDescent="0.2">
      <c r="A68" s="182">
        <v>1970</v>
      </c>
      <c r="B68" s="184">
        <v>934734</v>
      </c>
      <c r="C68" s="177">
        <v>151.9</v>
      </c>
      <c r="D68" s="177"/>
      <c r="E68" s="178">
        <v>534488</v>
      </c>
      <c r="F68" s="177">
        <v>89.5</v>
      </c>
      <c r="G68" s="177"/>
      <c r="H68" s="178">
        <v>1469222</v>
      </c>
      <c r="I68" s="177">
        <v>121.2</v>
      </c>
    </row>
    <row r="69" spans="1:9" s="165" customFormat="1" ht="15" customHeight="1" x14ac:dyDescent="0.2">
      <c r="A69" s="182">
        <v>1971</v>
      </c>
      <c r="B69" s="184">
        <v>924784</v>
      </c>
      <c r="C69" s="177">
        <v>143.9</v>
      </c>
      <c r="D69" s="177"/>
      <c r="E69" s="178">
        <v>545219</v>
      </c>
      <c r="F69" s="177">
        <v>87.2</v>
      </c>
      <c r="G69" s="177"/>
      <c r="H69" s="178">
        <v>1470003</v>
      </c>
      <c r="I69" s="177">
        <v>116</v>
      </c>
    </row>
    <row r="70" spans="1:9" s="165" customFormat="1" ht="15" customHeight="1" x14ac:dyDescent="0.2">
      <c r="A70" s="182">
        <v>1972</v>
      </c>
      <c r="B70" s="184">
        <v>905458</v>
      </c>
      <c r="C70" s="177">
        <v>138.4</v>
      </c>
      <c r="D70" s="177"/>
      <c r="E70" s="178">
        <v>516846</v>
      </c>
      <c r="F70" s="177">
        <v>81.2</v>
      </c>
      <c r="G70" s="177"/>
      <c r="H70" s="178">
        <v>1422304</v>
      </c>
      <c r="I70" s="177">
        <v>110.2</v>
      </c>
    </row>
    <row r="71" spans="1:9" s="165" customFormat="1" ht="15" customHeight="1" x14ac:dyDescent="0.2">
      <c r="A71" s="182">
        <v>1973</v>
      </c>
      <c r="B71" s="184">
        <v>900341</v>
      </c>
      <c r="C71" s="177">
        <v>135.6</v>
      </c>
      <c r="D71" s="177"/>
      <c r="E71" s="178">
        <v>503635</v>
      </c>
      <c r="F71" s="177">
        <v>78</v>
      </c>
      <c r="G71" s="177"/>
      <c r="H71" s="178">
        <v>1403976</v>
      </c>
      <c r="I71" s="177">
        <v>107.2</v>
      </c>
    </row>
    <row r="72" spans="1:9" s="165" customFormat="1" ht="15" customHeight="1" x14ac:dyDescent="0.2">
      <c r="A72" s="182">
        <v>1974</v>
      </c>
      <c r="B72" s="184">
        <v>923601</v>
      </c>
      <c r="C72" s="177">
        <v>137</v>
      </c>
      <c r="D72" s="177"/>
      <c r="E72" s="178">
        <v>509306</v>
      </c>
      <c r="F72" s="177">
        <v>77.599999999999994</v>
      </c>
      <c r="G72" s="177"/>
      <c r="H72" s="178">
        <v>1432907</v>
      </c>
      <c r="I72" s="177">
        <v>107.7</v>
      </c>
    </row>
    <row r="73" spans="1:9" s="165" customFormat="1" ht="15" customHeight="1" x14ac:dyDescent="0.2">
      <c r="A73" s="182">
        <v>1975</v>
      </c>
      <c r="B73" s="184">
        <v>870307</v>
      </c>
      <c r="C73" s="177">
        <v>127.7</v>
      </c>
      <c r="D73" s="177"/>
      <c r="E73" s="178">
        <v>470107</v>
      </c>
      <c r="F73" s="177">
        <v>70.7</v>
      </c>
      <c r="G73" s="177"/>
      <c r="H73" s="178">
        <v>1340414</v>
      </c>
      <c r="I73" s="177">
        <v>99.6</v>
      </c>
    </row>
    <row r="74" spans="1:9" s="165" customFormat="1" ht="15" customHeight="1" x14ac:dyDescent="0.2">
      <c r="A74" s="182">
        <v>1976</v>
      </c>
      <c r="B74" s="184">
        <v>848480</v>
      </c>
      <c r="C74" s="177">
        <v>123.4</v>
      </c>
      <c r="D74" s="177"/>
      <c r="E74" s="178">
        <v>462815</v>
      </c>
      <c r="F74" s="177">
        <v>69</v>
      </c>
      <c r="G74" s="177"/>
      <c r="H74" s="178">
        <v>1311295</v>
      </c>
      <c r="I74" s="177">
        <v>96.5</v>
      </c>
    </row>
    <row r="75" spans="1:9" s="165" customFormat="1" ht="15" customHeight="1" x14ac:dyDescent="0.2">
      <c r="A75" s="182">
        <v>1977</v>
      </c>
      <c r="B75" s="184">
        <v>833880</v>
      </c>
      <c r="C75" s="177">
        <v>120.1</v>
      </c>
      <c r="D75" s="177"/>
      <c r="E75" s="178">
        <v>448488</v>
      </c>
      <c r="F75" s="177">
        <v>66</v>
      </c>
      <c r="G75" s="177"/>
      <c r="H75" s="178">
        <v>1282368</v>
      </c>
      <c r="I75" s="177">
        <v>93.4</v>
      </c>
    </row>
    <row r="76" spans="1:9" s="165" customFormat="1" ht="15" customHeight="1" x14ac:dyDescent="0.2">
      <c r="A76" s="182">
        <v>1978</v>
      </c>
      <c r="B76" s="184">
        <v>813657</v>
      </c>
      <c r="C76" s="177">
        <v>116</v>
      </c>
      <c r="D76" s="177"/>
      <c r="E76" s="178">
        <v>434998</v>
      </c>
      <c r="F76" s="177">
        <v>63.3</v>
      </c>
      <c r="G76" s="177"/>
      <c r="H76" s="178">
        <v>1248655</v>
      </c>
      <c r="I76" s="177">
        <v>89.9</v>
      </c>
    </row>
    <row r="77" spans="1:9" s="165" customFormat="1" ht="15" customHeight="1" x14ac:dyDescent="0.2">
      <c r="A77" s="182">
        <v>1979</v>
      </c>
      <c r="B77" s="184">
        <v>784689</v>
      </c>
      <c r="C77" s="177">
        <v>110.8</v>
      </c>
      <c r="D77" s="177"/>
      <c r="E77" s="178">
        <v>416293</v>
      </c>
      <c r="F77" s="177">
        <v>59.9</v>
      </c>
      <c r="G77" s="177"/>
      <c r="H77" s="178">
        <v>1200982</v>
      </c>
      <c r="I77" s="177">
        <v>85.6</v>
      </c>
    </row>
    <row r="78" spans="1:9" s="165" customFormat="1" ht="15" customHeight="1" x14ac:dyDescent="0.2">
      <c r="A78" s="182">
        <v>1980</v>
      </c>
      <c r="B78" s="184">
        <v>778658</v>
      </c>
      <c r="C78" s="177">
        <v>108.8</v>
      </c>
      <c r="D78" s="177"/>
      <c r="E78" s="178">
        <v>405017</v>
      </c>
      <c r="F78" s="177">
        <v>57.6</v>
      </c>
      <c r="G78" s="177"/>
      <c r="H78" s="178">
        <v>1183675</v>
      </c>
      <c r="I78" s="177">
        <v>83.4</v>
      </c>
    </row>
    <row r="79" spans="1:9" s="165" customFormat="1" ht="15" customHeight="1" x14ac:dyDescent="0.2">
      <c r="A79" s="182">
        <v>1981</v>
      </c>
      <c r="B79" s="184">
        <v>761668</v>
      </c>
      <c r="C79" s="177">
        <v>104.9</v>
      </c>
      <c r="D79" s="177"/>
      <c r="E79" s="178">
        <v>394584</v>
      </c>
      <c r="F79" s="177">
        <v>55.2</v>
      </c>
      <c r="G79" s="177"/>
      <c r="H79" s="178">
        <v>1156252</v>
      </c>
      <c r="I79" s="177">
        <v>80.3</v>
      </c>
    </row>
    <row r="80" spans="1:9" s="165" customFormat="1" ht="15" customHeight="1" x14ac:dyDescent="0.2">
      <c r="A80" s="182">
        <v>1982</v>
      </c>
      <c r="B80" s="184">
        <v>784518</v>
      </c>
      <c r="C80" s="177">
        <v>106.2</v>
      </c>
      <c r="D80" s="177"/>
      <c r="E80" s="178">
        <v>409390</v>
      </c>
      <c r="F80" s="177">
        <v>56.4</v>
      </c>
      <c r="G80" s="177"/>
      <c r="H80" s="178">
        <v>1193908</v>
      </c>
      <c r="I80" s="177">
        <v>81.5</v>
      </c>
    </row>
    <row r="81" spans="1:9" s="165" customFormat="1" ht="15" customHeight="1" x14ac:dyDescent="0.2">
      <c r="A81" s="182">
        <v>1983</v>
      </c>
      <c r="B81" s="184">
        <v>735104</v>
      </c>
      <c r="C81" s="177">
        <v>98.2</v>
      </c>
      <c r="D81" s="177"/>
      <c r="E81" s="178">
        <v>397758</v>
      </c>
      <c r="F81" s="177">
        <v>54.1</v>
      </c>
      <c r="G81" s="177"/>
      <c r="H81" s="178">
        <v>1132862</v>
      </c>
      <c r="I81" s="177">
        <v>76.400000000000006</v>
      </c>
    </row>
    <row r="82" spans="1:9" s="165" customFormat="1" ht="15" customHeight="1" x14ac:dyDescent="0.2">
      <c r="A82" s="182">
        <v>1984</v>
      </c>
      <c r="B82" s="184">
        <v>706080</v>
      </c>
      <c r="C82" s="177">
        <v>93.3</v>
      </c>
      <c r="D82" s="177"/>
      <c r="E82" s="178">
        <v>381380</v>
      </c>
      <c r="F82" s="177">
        <v>51.3</v>
      </c>
      <c r="G82" s="177"/>
      <c r="H82" s="178">
        <v>1087460</v>
      </c>
      <c r="I82" s="177">
        <v>72.5</v>
      </c>
    </row>
    <row r="83" spans="1:9" s="165" customFormat="1" ht="15" customHeight="1" x14ac:dyDescent="0.2">
      <c r="A83" s="182">
        <v>1985</v>
      </c>
      <c r="B83" s="184">
        <v>751194</v>
      </c>
      <c r="C83" s="177">
        <v>98.1</v>
      </c>
      <c r="D83" s="177"/>
      <c r="E83" s="178">
        <v>407284</v>
      </c>
      <c r="F83" s="177">
        <v>54.2</v>
      </c>
      <c r="G83" s="177"/>
      <c r="H83" s="178">
        <v>1158478</v>
      </c>
      <c r="I83" s="177">
        <v>76.3</v>
      </c>
    </row>
    <row r="84" spans="1:9" s="165" customFormat="1" ht="15" customHeight="1" x14ac:dyDescent="0.2">
      <c r="A84" s="182">
        <v>1986</v>
      </c>
      <c r="B84" s="184">
        <v>723653</v>
      </c>
      <c r="C84" s="177">
        <v>93.2</v>
      </c>
      <c r="D84" s="177"/>
      <c r="E84" s="178">
        <v>390113</v>
      </c>
      <c r="F84" s="177">
        <v>51.2</v>
      </c>
      <c r="G84" s="177"/>
      <c r="H84" s="178">
        <v>1113766</v>
      </c>
      <c r="I84" s="177">
        <v>72.400000000000006</v>
      </c>
    </row>
    <row r="85" spans="1:9" s="165" customFormat="1" ht="15" customHeight="1" x14ac:dyDescent="0.2">
      <c r="A85" s="182">
        <v>1987</v>
      </c>
      <c r="B85" s="184">
        <v>720360</v>
      </c>
      <c r="C85" s="177">
        <v>91.5</v>
      </c>
      <c r="D85" s="177"/>
      <c r="E85" s="178">
        <v>379169</v>
      </c>
      <c r="F85" s="177">
        <v>49.1</v>
      </c>
      <c r="G85" s="177"/>
      <c r="H85" s="178">
        <v>1099529</v>
      </c>
      <c r="I85" s="177">
        <v>70.5</v>
      </c>
    </row>
    <row r="86" spans="1:9" s="165" customFormat="1" ht="15" customHeight="1" x14ac:dyDescent="0.2">
      <c r="A86" s="182">
        <v>1988</v>
      </c>
      <c r="B86" s="184">
        <v>739940</v>
      </c>
      <c r="C86" s="177">
        <v>92.6</v>
      </c>
      <c r="D86" s="177"/>
      <c r="E86" s="178">
        <v>391613</v>
      </c>
      <c r="F86" s="177">
        <v>49.9</v>
      </c>
      <c r="G86" s="177"/>
      <c r="H86" s="178">
        <v>1131553</v>
      </c>
      <c r="I86" s="177">
        <v>71.400000000000006</v>
      </c>
    </row>
    <row r="87" spans="1:9" s="165" customFormat="1" ht="15" customHeight="1" x14ac:dyDescent="0.2">
      <c r="A87" s="182">
        <v>1989</v>
      </c>
      <c r="B87" s="184">
        <v>720871</v>
      </c>
      <c r="C87" s="177">
        <v>88.8</v>
      </c>
      <c r="D87" s="177"/>
      <c r="E87" s="178">
        <v>384822</v>
      </c>
      <c r="F87" s="177">
        <v>48.3</v>
      </c>
      <c r="G87" s="177"/>
      <c r="H87" s="178">
        <v>1105693</v>
      </c>
      <c r="I87" s="177">
        <v>68.7</v>
      </c>
    </row>
    <row r="88" spans="1:9" s="165" customFormat="1" ht="15" customHeight="1" x14ac:dyDescent="0.2">
      <c r="A88" s="182">
        <v>1990</v>
      </c>
      <c r="B88" s="184">
        <v>713620</v>
      </c>
      <c r="C88" s="177">
        <v>86.7</v>
      </c>
      <c r="D88" s="177"/>
      <c r="E88" s="178">
        <v>377558</v>
      </c>
      <c r="F88" s="177">
        <v>46.7</v>
      </c>
      <c r="G88" s="177"/>
      <c r="H88" s="178">
        <v>1091178</v>
      </c>
      <c r="I88" s="177">
        <v>66.900000000000006</v>
      </c>
    </row>
    <row r="89" spans="1:9" s="165" customFormat="1" ht="15" customHeight="1" x14ac:dyDescent="0.2">
      <c r="A89" s="182">
        <v>1991</v>
      </c>
      <c r="B89" s="184">
        <v>677866</v>
      </c>
      <c r="C89" s="177">
        <v>81.400000000000006</v>
      </c>
      <c r="D89" s="177"/>
      <c r="E89" s="178">
        <v>367120</v>
      </c>
      <c r="F89" s="177">
        <v>44.8</v>
      </c>
      <c r="G89" s="177"/>
      <c r="H89" s="178">
        <v>1044986</v>
      </c>
      <c r="I89" s="177">
        <v>63.3</v>
      </c>
    </row>
    <row r="90" spans="1:9" s="165" customFormat="1" ht="15" customHeight="1" x14ac:dyDescent="0.2">
      <c r="A90" s="182">
        <v>1992</v>
      </c>
      <c r="B90" s="184">
        <v>675746</v>
      </c>
      <c r="C90" s="177">
        <v>80.3</v>
      </c>
      <c r="D90" s="177"/>
      <c r="E90" s="178">
        <v>364788</v>
      </c>
      <c r="F90" s="177">
        <v>44.1</v>
      </c>
      <c r="G90" s="177"/>
      <c r="H90" s="178">
        <v>1040534</v>
      </c>
      <c r="I90" s="177">
        <v>62.4</v>
      </c>
    </row>
    <row r="91" spans="1:9" s="165" customFormat="1" ht="15" customHeight="1" x14ac:dyDescent="0.2">
      <c r="A91" s="182">
        <v>1993</v>
      </c>
      <c r="B91" s="184">
        <v>652925</v>
      </c>
      <c r="C91" s="177">
        <v>77</v>
      </c>
      <c r="D91" s="177"/>
      <c r="E91" s="178">
        <v>348853</v>
      </c>
      <c r="F91" s="177">
        <v>41.8</v>
      </c>
      <c r="G91" s="177"/>
      <c r="H91" s="178">
        <v>1001778</v>
      </c>
      <c r="I91" s="177">
        <v>59.6</v>
      </c>
    </row>
    <row r="92" spans="1:9" s="165" customFormat="1" ht="15" customHeight="1" x14ac:dyDescent="0.2">
      <c r="A92" s="182">
        <v>1994</v>
      </c>
      <c r="B92" s="184">
        <v>647231</v>
      </c>
      <c r="C92" s="177">
        <v>75.7</v>
      </c>
      <c r="D92" s="177"/>
      <c r="E92" s="178">
        <v>345791</v>
      </c>
      <c r="F92" s="177">
        <v>41.1</v>
      </c>
      <c r="G92" s="177"/>
      <c r="H92" s="178">
        <v>993022</v>
      </c>
      <c r="I92" s="177">
        <v>58.5</v>
      </c>
    </row>
    <row r="93" spans="1:9" s="165" customFormat="1" ht="15" customHeight="1" x14ac:dyDescent="0.2">
      <c r="A93" s="182">
        <v>1995</v>
      </c>
      <c r="B93" s="184">
        <v>642151</v>
      </c>
      <c r="C93" s="177">
        <v>74.400000000000006</v>
      </c>
      <c r="D93" s="177"/>
      <c r="E93" s="178">
        <v>348515</v>
      </c>
      <c r="F93" s="177">
        <v>41</v>
      </c>
      <c r="G93" s="177"/>
      <c r="H93" s="178">
        <v>990666</v>
      </c>
      <c r="I93" s="177">
        <v>57.8</v>
      </c>
    </row>
    <row r="94" spans="1:9" s="165" customFormat="1" ht="15" customHeight="1" x14ac:dyDescent="0.2">
      <c r="A94" s="182">
        <v>1996</v>
      </c>
      <c r="B94" s="184">
        <v>646006</v>
      </c>
      <c r="C94" s="177">
        <v>74.099999999999994</v>
      </c>
      <c r="D94" s="177"/>
      <c r="E94" s="178">
        <v>341179</v>
      </c>
      <c r="F94" s="177">
        <v>39.700000000000003</v>
      </c>
      <c r="G94" s="177"/>
      <c r="H94" s="178">
        <v>987185</v>
      </c>
      <c r="I94" s="177">
        <v>57</v>
      </c>
    </row>
    <row r="95" spans="1:9" s="165" customFormat="1" ht="15" customHeight="1" x14ac:dyDescent="0.2">
      <c r="A95" s="182">
        <v>1997</v>
      </c>
      <c r="B95" s="184">
        <v>635087</v>
      </c>
      <c r="C95" s="177">
        <v>72.2</v>
      </c>
      <c r="D95" s="177"/>
      <c r="E95" s="178">
        <v>348535</v>
      </c>
      <c r="F95" s="177">
        <v>40.1</v>
      </c>
      <c r="G95" s="177"/>
      <c r="H95" s="178">
        <v>983622</v>
      </c>
      <c r="I95" s="177">
        <v>56.3</v>
      </c>
    </row>
    <row r="96" spans="1:9" s="165" customFormat="1" ht="15" customHeight="1" x14ac:dyDescent="0.2">
      <c r="A96" s="182">
        <v>1998</v>
      </c>
      <c r="B96" s="184">
        <v>626945</v>
      </c>
      <c r="C96" s="177">
        <v>70.7</v>
      </c>
      <c r="D96" s="177"/>
      <c r="E96" s="178">
        <v>337544</v>
      </c>
      <c r="F96" s="177">
        <v>38.5</v>
      </c>
      <c r="G96" s="177"/>
      <c r="H96" s="178">
        <v>964489</v>
      </c>
      <c r="I96" s="177">
        <v>54.7</v>
      </c>
    </row>
    <row r="97" spans="1:9" s="165" customFormat="1" ht="15" customHeight="1" x14ac:dyDescent="0.2">
      <c r="A97" s="182">
        <v>1999</v>
      </c>
      <c r="B97" s="184">
        <v>623937</v>
      </c>
      <c r="C97" s="177">
        <v>69.8</v>
      </c>
      <c r="D97" s="177"/>
      <c r="E97" s="178">
        <v>336460</v>
      </c>
      <c r="F97" s="177">
        <v>38</v>
      </c>
      <c r="G97" s="177"/>
      <c r="H97" s="178">
        <v>960397</v>
      </c>
      <c r="I97" s="177">
        <v>54</v>
      </c>
    </row>
    <row r="98" spans="1:9" s="165" customFormat="1" ht="15" customHeight="1" x14ac:dyDescent="0.2">
      <c r="A98" s="182">
        <v>2000</v>
      </c>
      <c r="B98" s="184">
        <v>597037</v>
      </c>
      <c r="C98" s="177">
        <v>66.099999999999994</v>
      </c>
      <c r="D98" s="177"/>
      <c r="E98" s="178">
        <v>332794</v>
      </c>
      <c r="F98" s="177">
        <v>37.200000000000003</v>
      </c>
      <c r="G98" s="177"/>
      <c r="H98" s="178">
        <v>929831</v>
      </c>
      <c r="I98" s="177">
        <v>51.8</v>
      </c>
    </row>
    <row r="99" spans="1:9" s="165" customFormat="1" ht="15" customHeight="1" x14ac:dyDescent="0.2">
      <c r="A99" s="182">
        <v>2001</v>
      </c>
      <c r="B99" s="184">
        <v>581205</v>
      </c>
      <c r="C99" s="177">
        <v>63.7</v>
      </c>
      <c r="D99" s="177"/>
      <c r="E99" s="178">
        <v>321918</v>
      </c>
      <c r="F99" s="177">
        <v>35.6</v>
      </c>
      <c r="G99" s="177"/>
      <c r="H99" s="178">
        <v>903123</v>
      </c>
      <c r="I99" s="177">
        <v>49.7</v>
      </c>
    </row>
    <row r="100" spans="1:9" s="165" customFormat="1" ht="15" customHeight="1" x14ac:dyDescent="0.2">
      <c r="A100" s="182">
        <v>2002</v>
      </c>
      <c r="B100" s="184">
        <v>570151</v>
      </c>
      <c r="C100" s="177">
        <v>61.8</v>
      </c>
      <c r="D100" s="177"/>
      <c r="E100" s="178">
        <v>328223</v>
      </c>
      <c r="F100" s="177">
        <v>35.9</v>
      </c>
      <c r="G100" s="177"/>
      <c r="H100" s="178">
        <v>898374</v>
      </c>
      <c r="I100" s="177">
        <v>48.9</v>
      </c>
    </row>
    <row r="101" spans="1:9" s="165" customFormat="1" ht="15" customHeight="1" x14ac:dyDescent="0.2">
      <c r="A101" s="182">
        <v>2003</v>
      </c>
      <c r="B101" s="184">
        <v>565649</v>
      </c>
      <c r="C101" s="177">
        <v>60.7</v>
      </c>
      <c r="D101" s="177"/>
      <c r="E101" s="178">
        <v>321379</v>
      </c>
      <c r="F101" s="177">
        <v>34.799999999999997</v>
      </c>
      <c r="G101" s="177"/>
      <c r="H101" s="178">
        <v>887028</v>
      </c>
      <c r="I101" s="177">
        <v>47.8</v>
      </c>
    </row>
    <row r="102" spans="1:9" s="165" customFormat="1" ht="15" customHeight="1" x14ac:dyDescent="0.2">
      <c r="A102" s="182">
        <v>2004</v>
      </c>
      <c r="B102" s="184">
        <v>550610</v>
      </c>
      <c r="C102" s="177">
        <v>58.5</v>
      </c>
      <c r="D102" s="177"/>
      <c r="E102" s="178">
        <v>314179</v>
      </c>
      <c r="F102" s="177">
        <v>33.700000000000003</v>
      </c>
      <c r="G102" s="177"/>
      <c r="H102" s="178">
        <v>864789</v>
      </c>
      <c r="I102" s="177">
        <v>46.2</v>
      </c>
    </row>
    <row r="103" spans="1:9" s="165" customFormat="1" ht="15" customHeight="1" x14ac:dyDescent="0.2">
      <c r="A103" s="182">
        <v>2005</v>
      </c>
      <c r="B103" s="184">
        <v>551671</v>
      </c>
      <c r="C103" s="177">
        <v>58</v>
      </c>
      <c r="D103" s="177"/>
      <c r="E103" s="178">
        <v>314107</v>
      </c>
      <c r="F103" s="177">
        <v>33.299999999999997</v>
      </c>
      <c r="G103" s="177"/>
      <c r="H103" s="178">
        <v>865778</v>
      </c>
      <c r="I103" s="177">
        <v>45.7</v>
      </c>
    </row>
    <row r="104" spans="1:9" s="165" customFormat="1" ht="15" customHeight="1" x14ac:dyDescent="0.2">
      <c r="A104" s="182">
        <v>2006</v>
      </c>
      <c r="B104" s="184">
        <v>542724</v>
      </c>
      <c r="C104" s="177">
        <v>56.3</v>
      </c>
      <c r="D104" s="177"/>
      <c r="E104" s="178">
        <v>313240</v>
      </c>
      <c r="F104" s="177">
        <v>32.799999999999997</v>
      </c>
      <c r="G104" s="177"/>
      <c r="H104" s="178">
        <v>855964</v>
      </c>
      <c r="I104" s="177">
        <v>44.6</v>
      </c>
    </row>
    <row r="105" spans="1:9" s="165" customFormat="1" ht="15" customHeight="1" x14ac:dyDescent="0.2">
      <c r="A105" s="182">
        <v>2007</v>
      </c>
      <c r="B105" s="184">
        <v>547453</v>
      </c>
      <c r="C105" s="177">
        <v>55.7</v>
      </c>
      <c r="D105" s="177"/>
      <c r="E105" s="178">
        <v>322490</v>
      </c>
      <c r="F105" s="177">
        <v>33.200000000000003</v>
      </c>
      <c r="G105" s="177"/>
      <c r="H105" s="178">
        <v>869943</v>
      </c>
      <c r="I105" s="177">
        <v>44.5</v>
      </c>
    </row>
    <row r="106" spans="1:9" s="165" customFormat="1" ht="15" customHeight="1" x14ac:dyDescent="0.2">
      <c r="A106" s="182">
        <v>2008</v>
      </c>
      <c r="B106" s="184">
        <v>560004</v>
      </c>
      <c r="C106" s="177">
        <v>55.8</v>
      </c>
      <c r="D106" s="177"/>
      <c r="E106" s="178">
        <v>320978</v>
      </c>
      <c r="F106" s="177">
        <v>32.4</v>
      </c>
      <c r="G106" s="177"/>
      <c r="H106" s="178">
        <v>880982</v>
      </c>
      <c r="I106" s="177">
        <v>44.2</v>
      </c>
    </row>
    <row r="107" spans="1:9" s="165" customFormat="1" ht="15" customHeight="1" x14ac:dyDescent="0.2">
      <c r="A107" s="182">
        <v>2009</v>
      </c>
      <c r="B107" s="184">
        <v>562266</v>
      </c>
      <c r="C107" s="177">
        <v>54.9</v>
      </c>
      <c r="D107" s="177"/>
      <c r="E107" s="178">
        <v>327000</v>
      </c>
      <c r="F107" s="177">
        <v>32.4</v>
      </c>
      <c r="G107" s="177"/>
      <c r="H107" s="178">
        <v>889266</v>
      </c>
      <c r="I107" s="177">
        <v>43.7</v>
      </c>
    </row>
    <row r="108" spans="1:9" s="165" customFormat="1" ht="15" customHeight="1" x14ac:dyDescent="0.2">
      <c r="A108" s="182">
        <v>2010</v>
      </c>
      <c r="B108" s="184">
        <v>558868</v>
      </c>
      <c r="C108" s="177">
        <v>53.8</v>
      </c>
      <c r="D108" s="177"/>
      <c r="E108" s="178">
        <v>319922</v>
      </c>
      <c r="F108" s="177">
        <v>31.2</v>
      </c>
      <c r="G108" s="177"/>
      <c r="H108" s="178">
        <v>878790</v>
      </c>
      <c r="I108" s="177">
        <v>42.5</v>
      </c>
    </row>
    <row r="109" spans="1:9" s="165" customFormat="1" ht="15" customHeight="1" x14ac:dyDescent="0.2">
      <c r="A109" s="182">
        <v>2011</v>
      </c>
      <c r="B109" s="184">
        <v>544547</v>
      </c>
      <c r="C109" s="177">
        <v>51.7</v>
      </c>
      <c r="D109" s="177"/>
      <c r="E109" s="178">
        <v>327305</v>
      </c>
      <c r="F109" s="177">
        <v>31.5</v>
      </c>
      <c r="G109" s="177"/>
      <c r="H109" s="178">
        <v>871852</v>
      </c>
      <c r="I109" s="177">
        <v>41.6</v>
      </c>
    </row>
    <row r="110" spans="1:9" s="165" customFormat="1" ht="15" customHeight="1" x14ac:dyDescent="0.2">
      <c r="A110" s="182">
        <v>2012</v>
      </c>
      <c r="B110" s="184">
        <v>527696</v>
      </c>
      <c r="C110" s="177">
        <v>49.3</v>
      </c>
      <c r="D110" s="177"/>
      <c r="E110" s="178">
        <v>318861</v>
      </c>
      <c r="F110" s="177">
        <v>30.1</v>
      </c>
      <c r="G110" s="177"/>
      <c r="H110" s="178">
        <v>846557</v>
      </c>
      <c r="I110" s="177">
        <v>39.799999999999997</v>
      </c>
    </row>
    <row r="111" spans="1:9" s="165" customFormat="1" ht="15" customHeight="1" x14ac:dyDescent="0.2">
      <c r="A111" s="182">
        <v>2013</v>
      </c>
      <c r="B111" s="184">
        <v>538665</v>
      </c>
      <c r="C111" s="177">
        <v>49.5</v>
      </c>
      <c r="D111" s="177"/>
      <c r="E111" s="178">
        <v>327017</v>
      </c>
      <c r="F111" s="177">
        <v>30.3</v>
      </c>
      <c r="G111" s="177"/>
      <c r="H111" s="178">
        <v>865682</v>
      </c>
      <c r="I111" s="177">
        <v>40</v>
      </c>
    </row>
    <row r="112" spans="1:9" s="165" customFormat="1" ht="15" customHeight="1" x14ac:dyDescent="0.2">
      <c r="A112" s="182">
        <v>2014</v>
      </c>
      <c r="B112" s="184">
        <v>549065</v>
      </c>
      <c r="C112" s="177">
        <v>49.8</v>
      </c>
      <c r="D112" s="177"/>
      <c r="E112" s="178">
        <v>334261</v>
      </c>
      <c r="F112" s="177">
        <v>30.5</v>
      </c>
      <c r="G112" s="177"/>
      <c r="H112" s="178">
        <v>883326</v>
      </c>
      <c r="I112" s="177">
        <v>40.200000000000003</v>
      </c>
    </row>
    <row r="113" spans="1:14" s="165" customFormat="1" ht="15" customHeight="1" x14ac:dyDescent="0.2">
      <c r="A113" s="182">
        <v>2015</v>
      </c>
      <c r="B113" s="184">
        <v>565484</v>
      </c>
      <c r="C113" s="177">
        <v>50.7</v>
      </c>
      <c r="D113" s="177"/>
      <c r="E113" s="178">
        <v>335295</v>
      </c>
      <c r="F113" s="177">
        <v>30.2</v>
      </c>
      <c r="G113" s="177"/>
      <c r="H113" s="178">
        <v>900779</v>
      </c>
      <c r="I113" s="177">
        <v>40.5</v>
      </c>
    </row>
    <row r="114" spans="1:14" s="165" customFormat="1" ht="15" customHeight="1" x14ac:dyDescent="0.2">
      <c r="A114" s="182">
        <v>2016</v>
      </c>
      <c r="B114" s="184">
        <v>558015</v>
      </c>
      <c r="C114" s="177">
        <v>49.3</v>
      </c>
      <c r="D114" s="177"/>
      <c r="E114" s="178">
        <v>332844</v>
      </c>
      <c r="F114" s="177">
        <v>29.5</v>
      </c>
      <c r="G114" s="177"/>
      <c r="H114" s="178">
        <v>890859</v>
      </c>
      <c r="I114" s="177">
        <v>39.4</v>
      </c>
    </row>
    <row r="115" spans="1:14" s="165" customFormat="1" ht="15" customHeight="1" x14ac:dyDescent="0.2">
      <c r="A115" s="182">
        <v>2017</v>
      </c>
      <c r="B115" s="184">
        <v>563696</v>
      </c>
      <c r="C115" s="177">
        <v>49.1</v>
      </c>
      <c r="D115" s="177"/>
      <c r="E115" s="178">
        <v>335079</v>
      </c>
      <c r="F115" s="177">
        <v>29.2</v>
      </c>
      <c r="G115" s="177"/>
      <c r="H115" s="178">
        <v>898775</v>
      </c>
      <c r="I115" s="177">
        <v>39.200000000000003</v>
      </c>
    </row>
    <row r="116" spans="1:14" s="165" customFormat="1" ht="15" customHeight="1" x14ac:dyDescent="0.2">
      <c r="A116" s="182">
        <v>2018</v>
      </c>
      <c r="B116" s="184">
        <v>558170</v>
      </c>
      <c r="C116" s="177">
        <v>47.9</v>
      </c>
      <c r="D116" s="177"/>
      <c r="E116" s="178">
        <v>329572</v>
      </c>
      <c r="F116" s="177">
        <v>28.3</v>
      </c>
      <c r="G116" s="177"/>
      <c r="H116" s="178">
        <v>887742</v>
      </c>
      <c r="I116" s="177">
        <v>38.1</v>
      </c>
    </row>
    <row r="117" spans="1:14" s="165" customFormat="1" ht="15" customHeight="1" x14ac:dyDescent="0.2">
      <c r="A117" s="182">
        <v>2019</v>
      </c>
      <c r="B117" s="184">
        <v>577212</v>
      </c>
      <c r="C117" s="177">
        <v>48.9</v>
      </c>
      <c r="D117" s="177"/>
      <c r="E117" s="178">
        <v>335692</v>
      </c>
      <c r="F117" s="177">
        <v>28.5</v>
      </c>
      <c r="G117" s="177"/>
      <c r="H117" s="178">
        <v>912904</v>
      </c>
      <c r="I117" s="177">
        <v>38.700000000000003</v>
      </c>
    </row>
    <row r="118" spans="1:14" s="165" customFormat="1" ht="15" customHeight="1" x14ac:dyDescent="0.2">
      <c r="A118" s="182">
        <v>2020</v>
      </c>
      <c r="B118" s="184">
        <v>554302</v>
      </c>
      <c r="C118" s="177">
        <v>46.5</v>
      </c>
      <c r="D118" s="177"/>
      <c r="E118" s="178">
        <v>326077</v>
      </c>
      <c r="F118" s="177">
        <v>27.4</v>
      </c>
      <c r="G118" s="177"/>
      <c r="H118" s="178">
        <v>880379</v>
      </c>
      <c r="I118" s="177">
        <v>36.9</v>
      </c>
    </row>
    <row r="119" spans="1:14" s="165" customFormat="1" ht="15" customHeight="1" x14ac:dyDescent="0.2">
      <c r="A119" s="182">
        <v>2021</v>
      </c>
      <c r="B119" s="184">
        <v>558212</v>
      </c>
      <c r="C119" s="177">
        <v>46.9</v>
      </c>
      <c r="D119" s="177"/>
      <c r="E119" s="178">
        <v>334958</v>
      </c>
      <c r="F119" s="177">
        <v>28.2</v>
      </c>
      <c r="G119" s="177"/>
      <c r="H119" s="178">
        <v>893170</v>
      </c>
      <c r="I119" s="177">
        <v>37.5</v>
      </c>
    </row>
    <row r="120" spans="1:14" s="165" customFormat="1" ht="15" customHeight="1" x14ac:dyDescent="0.2">
      <c r="A120" s="182">
        <v>2022</v>
      </c>
      <c r="B120" s="184">
        <v>587915</v>
      </c>
      <c r="C120" s="177">
        <v>48.9</v>
      </c>
      <c r="D120" s="177"/>
      <c r="E120" s="178">
        <v>356594</v>
      </c>
      <c r="F120" s="177">
        <v>29.7</v>
      </c>
      <c r="G120" s="177"/>
      <c r="H120" s="178">
        <v>944509</v>
      </c>
      <c r="I120" s="177">
        <v>39.299999999999997</v>
      </c>
      <c r="L120" s="545"/>
    </row>
    <row r="121" spans="1:14" s="165" customFormat="1" ht="15" customHeight="1" x14ac:dyDescent="0.2">
      <c r="A121" s="492">
        <v>2023</v>
      </c>
      <c r="B121" s="493">
        <v>571549</v>
      </c>
      <c r="C121" s="198">
        <v>46.5</v>
      </c>
      <c r="D121" s="198"/>
      <c r="E121" s="494">
        <v>341630</v>
      </c>
      <c r="F121" s="198">
        <v>27.8</v>
      </c>
      <c r="G121" s="198"/>
      <c r="H121" s="494">
        <v>913179</v>
      </c>
      <c r="I121" s="198">
        <v>37.200000000000003</v>
      </c>
      <c r="J121" s="545"/>
    </row>
    <row r="122" spans="1:14" s="473" customFormat="1" ht="15" customHeight="1" x14ac:dyDescent="0.2">
      <c r="A122" s="498" t="s">
        <v>4</v>
      </c>
      <c r="B122" s="499"/>
      <c r="C122" s="379"/>
      <c r="D122" s="12"/>
      <c r="E122" s="90"/>
      <c r="F122" s="12"/>
      <c r="G122" s="12"/>
      <c r="H122" s="90"/>
      <c r="I122" s="28"/>
    </row>
    <row r="123" spans="1:14" s="473" customFormat="1" ht="15" customHeight="1" x14ac:dyDescent="0.2">
      <c r="A123" s="602" t="s">
        <v>579</v>
      </c>
      <c r="B123" s="605"/>
      <c r="C123" s="605"/>
      <c r="D123" s="605"/>
      <c r="E123" s="605"/>
      <c r="F123" s="605"/>
      <c r="G123" s="605"/>
      <c r="H123" s="605"/>
      <c r="I123" s="605"/>
      <c r="J123" s="605"/>
      <c r="K123" s="605"/>
      <c r="L123" s="605"/>
      <c r="M123" s="605"/>
      <c r="N123" s="605"/>
    </row>
    <row r="124" spans="1:14" s="473" customFormat="1" ht="39.950000000000003" customHeight="1" x14ac:dyDescent="0.2">
      <c r="A124" s="602" t="s">
        <v>105</v>
      </c>
      <c r="B124" s="603"/>
      <c r="C124" s="603"/>
      <c r="D124" s="603"/>
      <c r="E124" s="603"/>
      <c r="F124" s="603"/>
      <c r="G124" s="603"/>
      <c r="H124" s="603"/>
      <c r="I124" s="603"/>
      <c r="J124" s="267"/>
      <c r="K124" s="267"/>
      <c r="L124" s="267"/>
      <c r="M124" s="267"/>
      <c r="N124" s="267"/>
    </row>
    <row r="125" spans="1:14" s="473" customFormat="1" ht="45" customHeight="1" x14ac:dyDescent="0.2">
      <c r="A125" s="602" t="s">
        <v>106</v>
      </c>
      <c r="B125" s="603"/>
      <c r="C125" s="603"/>
      <c r="D125" s="603"/>
      <c r="E125" s="603"/>
      <c r="F125" s="603"/>
      <c r="G125" s="603"/>
      <c r="H125" s="603"/>
      <c r="I125" s="603"/>
      <c r="J125" s="267"/>
      <c r="K125" s="267"/>
      <c r="L125" s="267"/>
      <c r="M125" s="267"/>
      <c r="N125" s="267"/>
    </row>
    <row r="126" spans="1:14" s="473" customFormat="1" ht="24.95" customHeight="1" x14ac:dyDescent="0.2">
      <c r="A126" s="602" t="s">
        <v>107</v>
      </c>
      <c r="B126" s="603"/>
      <c r="C126" s="603"/>
      <c r="D126" s="603"/>
      <c r="E126" s="603"/>
      <c r="F126" s="603"/>
      <c r="G126" s="603"/>
      <c r="H126" s="603"/>
      <c r="I126" s="603"/>
      <c r="J126" s="267"/>
      <c r="K126" s="267"/>
      <c r="L126" s="267"/>
      <c r="M126" s="267"/>
      <c r="N126" s="267"/>
    </row>
    <row r="127" spans="1:14" s="473" customFormat="1" ht="27.95" customHeight="1" x14ac:dyDescent="0.2">
      <c r="A127" s="604" t="s">
        <v>603</v>
      </c>
      <c r="B127" s="603"/>
      <c r="C127" s="603"/>
      <c r="D127" s="603"/>
      <c r="E127" s="603"/>
      <c r="F127" s="603"/>
      <c r="G127" s="603"/>
      <c r="H127" s="603"/>
      <c r="I127" s="603"/>
      <c r="J127" s="267"/>
      <c r="K127" s="267"/>
      <c r="L127" s="267"/>
      <c r="M127" s="267"/>
      <c r="N127" s="267"/>
    </row>
  </sheetData>
  <mergeCells count="8">
    <mergeCell ref="A126:I126"/>
    <mergeCell ref="A127:I127"/>
    <mergeCell ref="A123:N123"/>
    <mergeCell ref="B3:C3"/>
    <mergeCell ref="E3:F3"/>
    <mergeCell ref="H3:I3"/>
    <mergeCell ref="A124:I124"/>
    <mergeCell ref="A125:I125"/>
  </mergeCells>
  <hyperlinks>
    <hyperlink ref="A2" location="Contents!A1" display="Back to contents" xr:uid="{9DB0A789-09AB-4E55-B2D1-6C61491BEF2E}"/>
  </hyperlinks>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25070-980E-4CF1-9E39-3BBA94C1E182}">
  <dimension ref="A1:T38"/>
  <sheetViews>
    <sheetView workbookViewId="0"/>
  </sheetViews>
  <sheetFormatPr defaultRowHeight="15" customHeight="1" x14ac:dyDescent="0.2"/>
  <cols>
    <col min="1" max="1" width="5.125" style="191" customWidth="1"/>
    <col min="2" max="2" width="40.625" style="495" customWidth="1"/>
    <col min="3" max="3" width="8.625" style="191" customWidth="1"/>
    <col min="4" max="4" width="6.625" style="191" customWidth="1"/>
    <col min="5" max="5" width="9.625" style="191" customWidth="1"/>
    <col min="6" max="6" width="2.625" style="191" customWidth="1"/>
    <col min="7" max="7" width="5.125" style="222" customWidth="1"/>
    <col min="8" max="8" width="40.625" style="222" customWidth="1"/>
    <col min="9" max="9" width="8.625" style="191" customWidth="1"/>
    <col min="10" max="10" width="6.625" style="191" customWidth="1"/>
    <col min="11" max="11" width="9.625" style="191" customWidth="1"/>
    <col min="12" max="12" width="2.625" style="191" customWidth="1"/>
    <col min="13" max="13" width="5.125" style="222" customWidth="1"/>
    <col min="14" max="14" width="42.625" style="222" bestFit="1" customWidth="1"/>
    <col min="15" max="15" width="8.625" style="191" customWidth="1"/>
    <col min="16" max="16" width="6.625" style="191" customWidth="1"/>
    <col min="17" max="17" width="9.625" style="191" customWidth="1"/>
    <col min="18" max="16384" width="9" style="191"/>
  </cols>
  <sheetData>
    <row r="1" spans="1:20" ht="15" customHeight="1" x14ac:dyDescent="0.25">
      <c r="A1" s="151" t="s">
        <v>657</v>
      </c>
      <c r="B1" s="203"/>
      <c r="C1" s="152"/>
      <c r="D1" s="152"/>
      <c r="E1" s="154"/>
      <c r="F1" s="154"/>
      <c r="G1" s="203"/>
      <c r="H1" s="203"/>
      <c r="I1" s="154"/>
      <c r="J1" s="155"/>
      <c r="K1" s="154"/>
      <c r="L1" s="154"/>
      <c r="M1" s="203"/>
      <c r="N1" s="203"/>
      <c r="O1" s="154"/>
      <c r="P1" s="155"/>
      <c r="Q1" s="154"/>
    </row>
    <row r="2" spans="1:20" s="199" customFormat="1" ht="15" customHeight="1" x14ac:dyDescent="0.2">
      <c r="A2" s="500" t="s">
        <v>585</v>
      </c>
    </row>
    <row r="3" spans="1:20" s="165" customFormat="1" ht="15" customHeight="1" x14ac:dyDescent="0.2">
      <c r="A3" s="606" t="s">
        <v>0</v>
      </c>
      <c r="B3" s="606"/>
      <c r="C3" s="606"/>
      <c r="D3" s="606"/>
      <c r="E3" s="606"/>
      <c r="F3" s="159"/>
      <c r="G3" s="606" t="s">
        <v>1</v>
      </c>
      <c r="H3" s="606"/>
      <c r="I3" s="606"/>
      <c r="J3" s="606"/>
      <c r="K3" s="606"/>
      <c r="L3" s="159"/>
      <c r="M3" s="606" t="s">
        <v>2</v>
      </c>
      <c r="N3" s="606"/>
      <c r="O3" s="606"/>
      <c r="P3" s="606"/>
      <c r="Q3" s="606"/>
    </row>
    <row r="4" spans="1:20" s="165" customFormat="1" ht="51" x14ac:dyDescent="0.2">
      <c r="A4" s="160" t="s">
        <v>39</v>
      </c>
      <c r="B4" s="160" t="s">
        <v>40</v>
      </c>
      <c r="C4" s="161" t="s">
        <v>41</v>
      </c>
      <c r="D4" s="161" t="s">
        <v>38</v>
      </c>
      <c r="E4" s="161" t="s">
        <v>560</v>
      </c>
      <c r="F4" s="161"/>
      <c r="G4" s="413" t="s">
        <v>39</v>
      </c>
      <c r="H4" s="413" t="s">
        <v>40</v>
      </c>
      <c r="I4" s="161" t="s">
        <v>41</v>
      </c>
      <c r="J4" s="161" t="s">
        <v>38</v>
      </c>
      <c r="K4" s="161" t="s">
        <v>560</v>
      </c>
      <c r="L4" s="161"/>
      <c r="M4" s="413" t="s">
        <v>39</v>
      </c>
      <c r="N4" s="413" t="s">
        <v>40</v>
      </c>
      <c r="O4" s="161" t="s">
        <v>41</v>
      </c>
      <c r="P4" s="161" t="s">
        <v>38</v>
      </c>
      <c r="Q4" s="161" t="s">
        <v>560</v>
      </c>
    </row>
    <row r="5" spans="1:20" s="265" customFormat="1" ht="15" customHeight="1" x14ac:dyDescent="0.2">
      <c r="A5" s="183">
        <v>1</v>
      </c>
      <c r="B5" s="183" t="s">
        <v>42</v>
      </c>
      <c r="C5" s="455">
        <v>10343</v>
      </c>
      <c r="D5" s="456">
        <v>10.8</v>
      </c>
      <c r="E5" s="436">
        <v>64.400000000000006</v>
      </c>
      <c r="F5" s="436"/>
      <c r="G5" s="480">
        <v>1</v>
      </c>
      <c r="H5" s="185" t="s">
        <v>43</v>
      </c>
      <c r="I5" s="437">
        <v>10574</v>
      </c>
      <c r="J5" s="436">
        <v>12.2</v>
      </c>
      <c r="K5" s="436">
        <v>46.9</v>
      </c>
      <c r="L5" s="436"/>
      <c r="M5" s="480">
        <v>1</v>
      </c>
      <c r="N5" s="185" t="s">
        <v>42</v>
      </c>
      <c r="O5" s="437">
        <v>16922</v>
      </c>
      <c r="P5" s="436">
        <v>9.1999999999999993</v>
      </c>
      <c r="Q5" s="436">
        <v>46.4</v>
      </c>
      <c r="R5" s="478"/>
      <c r="S5" s="478"/>
    </row>
    <row r="6" spans="1:20" s="265" customFormat="1" ht="15" customHeight="1" x14ac:dyDescent="0.2">
      <c r="A6" s="183">
        <v>2</v>
      </c>
      <c r="B6" s="183" t="s">
        <v>43</v>
      </c>
      <c r="C6" s="455">
        <v>6111</v>
      </c>
      <c r="D6" s="456">
        <v>6.4</v>
      </c>
      <c r="E6" s="436">
        <v>37.5</v>
      </c>
      <c r="F6" s="436"/>
      <c r="G6" s="480">
        <v>2</v>
      </c>
      <c r="H6" s="185" t="s">
        <v>42</v>
      </c>
      <c r="I6" s="437">
        <v>6579</v>
      </c>
      <c r="J6" s="436">
        <v>7.6</v>
      </c>
      <c r="K6" s="436">
        <v>30.8</v>
      </c>
      <c r="L6" s="436"/>
      <c r="M6" s="480">
        <v>2</v>
      </c>
      <c r="N6" s="185" t="s">
        <v>43</v>
      </c>
      <c r="O6" s="437">
        <v>16685</v>
      </c>
      <c r="P6" s="436">
        <v>9.1</v>
      </c>
      <c r="Q6" s="436">
        <v>43</v>
      </c>
    </row>
    <row r="7" spans="1:20" s="265" customFormat="1" ht="15" customHeight="1" x14ac:dyDescent="0.2">
      <c r="A7" s="183">
        <v>3</v>
      </c>
      <c r="B7" s="183" t="s">
        <v>44</v>
      </c>
      <c r="C7" s="455">
        <v>5194</v>
      </c>
      <c r="D7" s="456">
        <v>5.4</v>
      </c>
      <c r="E7" s="436">
        <v>31.8</v>
      </c>
      <c r="F7" s="436"/>
      <c r="G7" s="480">
        <v>3</v>
      </c>
      <c r="H7" s="185" t="s">
        <v>45</v>
      </c>
      <c r="I7" s="437">
        <v>5263</v>
      </c>
      <c r="J7" s="436">
        <v>6.1</v>
      </c>
      <c r="K7" s="436">
        <v>24.7</v>
      </c>
      <c r="L7" s="436"/>
      <c r="M7" s="480">
        <v>3</v>
      </c>
      <c r="N7" s="185" t="s">
        <v>45</v>
      </c>
      <c r="O7" s="437">
        <v>9359</v>
      </c>
      <c r="P7" s="436">
        <v>5.0999999999999996</v>
      </c>
      <c r="Q7" s="436">
        <v>25.2</v>
      </c>
      <c r="T7" s="481"/>
    </row>
    <row r="8" spans="1:20" s="265" customFormat="1" ht="15" customHeight="1" x14ac:dyDescent="0.2">
      <c r="A8" s="183">
        <v>4</v>
      </c>
      <c r="B8" s="183" t="s">
        <v>45</v>
      </c>
      <c r="C8" s="455">
        <v>4096</v>
      </c>
      <c r="D8" s="456">
        <v>4.3</v>
      </c>
      <c r="E8" s="436">
        <v>25.3</v>
      </c>
      <c r="F8" s="436"/>
      <c r="G8" s="480">
        <v>4</v>
      </c>
      <c r="H8" s="185" t="s">
        <v>44</v>
      </c>
      <c r="I8" s="437">
        <v>3782</v>
      </c>
      <c r="J8" s="436">
        <v>4.3</v>
      </c>
      <c r="K8" s="436">
        <v>20.2</v>
      </c>
      <c r="L8" s="436"/>
      <c r="M8" s="480">
        <v>4</v>
      </c>
      <c r="N8" s="185" t="s">
        <v>44</v>
      </c>
      <c r="O8" s="437">
        <v>8976</v>
      </c>
      <c r="P8" s="436">
        <v>4.9000000000000004</v>
      </c>
      <c r="Q8" s="436">
        <v>25.6</v>
      </c>
    </row>
    <row r="9" spans="1:20" s="265" customFormat="1" ht="15" customHeight="1" x14ac:dyDescent="0.2">
      <c r="A9" s="183">
        <v>5</v>
      </c>
      <c r="B9" s="185" t="s">
        <v>584</v>
      </c>
      <c r="C9" s="455">
        <v>3914</v>
      </c>
      <c r="D9" s="456">
        <v>4.0999999999999996</v>
      </c>
      <c r="E9" s="436">
        <v>23.9</v>
      </c>
      <c r="F9" s="436"/>
      <c r="G9" s="480">
        <v>5</v>
      </c>
      <c r="H9" s="185" t="s">
        <v>584</v>
      </c>
      <c r="I9" s="437">
        <v>3500</v>
      </c>
      <c r="J9" s="436">
        <v>4</v>
      </c>
      <c r="K9" s="436">
        <v>17.600000000000001</v>
      </c>
      <c r="L9" s="436"/>
      <c r="M9" s="480">
        <v>5</v>
      </c>
      <c r="N9" s="185" t="s">
        <v>584</v>
      </c>
      <c r="O9" s="437">
        <v>7414</v>
      </c>
      <c r="P9" s="436">
        <v>4</v>
      </c>
      <c r="Q9" s="436">
        <v>20.399999999999999</v>
      </c>
    </row>
    <row r="10" spans="1:20" s="265" customFormat="1" ht="15" customHeight="1" x14ac:dyDescent="0.2">
      <c r="A10" s="183">
        <v>6</v>
      </c>
      <c r="B10" s="183" t="s">
        <v>47</v>
      </c>
      <c r="C10" s="455">
        <v>3726</v>
      </c>
      <c r="D10" s="456">
        <v>3.9</v>
      </c>
      <c r="E10" s="436">
        <v>22.7</v>
      </c>
      <c r="F10" s="436"/>
      <c r="G10" s="480">
        <v>6</v>
      </c>
      <c r="H10" s="185" t="s">
        <v>48</v>
      </c>
      <c r="I10" s="437">
        <v>3215</v>
      </c>
      <c r="J10" s="436">
        <v>3.7</v>
      </c>
      <c r="K10" s="436">
        <v>17.7</v>
      </c>
      <c r="L10" s="436"/>
      <c r="M10" s="480">
        <v>6</v>
      </c>
      <c r="N10" s="185" t="s">
        <v>49</v>
      </c>
      <c r="O10" s="437">
        <v>5942</v>
      </c>
      <c r="P10" s="436">
        <v>3.2</v>
      </c>
      <c r="Q10" s="436">
        <v>16.5</v>
      </c>
    </row>
    <row r="11" spans="1:20" s="265" customFormat="1" ht="15" customHeight="1" x14ac:dyDescent="0.2">
      <c r="A11" s="183">
        <v>7</v>
      </c>
      <c r="B11" s="183" t="s">
        <v>49</v>
      </c>
      <c r="C11" s="455">
        <v>3288</v>
      </c>
      <c r="D11" s="456">
        <v>3.4</v>
      </c>
      <c r="E11" s="436">
        <v>20.399999999999999</v>
      </c>
      <c r="F11" s="436"/>
      <c r="G11" s="480">
        <v>7</v>
      </c>
      <c r="H11" s="185" t="s">
        <v>49</v>
      </c>
      <c r="I11" s="437">
        <v>2654</v>
      </c>
      <c r="J11" s="436">
        <v>3.1</v>
      </c>
      <c r="K11" s="436">
        <v>13.1</v>
      </c>
      <c r="L11" s="436"/>
      <c r="M11" s="480">
        <v>7</v>
      </c>
      <c r="N11" s="185" t="s">
        <v>50</v>
      </c>
      <c r="O11" s="437">
        <v>5372</v>
      </c>
      <c r="P11" s="436">
        <v>2.9</v>
      </c>
      <c r="Q11" s="436">
        <v>15.4</v>
      </c>
    </row>
    <row r="12" spans="1:20" s="265" customFormat="1" ht="15" customHeight="1" x14ac:dyDescent="0.2">
      <c r="A12" s="183">
        <v>8</v>
      </c>
      <c r="B12" s="183" t="s">
        <v>50</v>
      </c>
      <c r="C12" s="455">
        <v>2832</v>
      </c>
      <c r="D12" s="456">
        <v>2.9</v>
      </c>
      <c r="E12" s="436">
        <v>17.8</v>
      </c>
      <c r="F12" s="436"/>
      <c r="G12" s="480">
        <v>8</v>
      </c>
      <c r="H12" s="185" t="s">
        <v>50</v>
      </c>
      <c r="I12" s="437">
        <v>2540</v>
      </c>
      <c r="J12" s="436">
        <v>2.9</v>
      </c>
      <c r="K12" s="436">
        <v>13.3</v>
      </c>
      <c r="L12" s="436"/>
      <c r="M12" s="480">
        <v>8</v>
      </c>
      <c r="N12" s="185" t="s">
        <v>51</v>
      </c>
      <c r="O12" s="437">
        <v>5001</v>
      </c>
      <c r="P12" s="436">
        <v>2.7</v>
      </c>
      <c r="Q12" s="436">
        <v>13.3</v>
      </c>
      <c r="R12" s="482"/>
    </row>
    <row r="13" spans="1:20" s="265" customFormat="1" ht="15" customHeight="1" x14ac:dyDescent="0.2">
      <c r="A13" s="183">
        <v>9</v>
      </c>
      <c r="B13" s="183" t="s">
        <v>51</v>
      </c>
      <c r="C13" s="455">
        <v>2644</v>
      </c>
      <c r="D13" s="456">
        <v>2.7</v>
      </c>
      <c r="E13" s="436">
        <v>16.2</v>
      </c>
      <c r="F13" s="436"/>
      <c r="G13" s="480">
        <v>9</v>
      </c>
      <c r="H13" s="185" t="s">
        <v>51</v>
      </c>
      <c r="I13" s="437">
        <v>2357</v>
      </c>
      <c r="J13" s="436">
        <v>2.7</v>
      </c>
      <c r="K13" s="436">
        <v>10.9</v>
      </c>
      <c r="L13" s="436"/>
      <c r="M13" s="480">
        <v>9</v>
      </c>
      <c r="N13" s="185" t="s">
        <v>52</v>
      </c>
      <c r="O13" s="437">
        <v>4105</v>
      </c>
      <c r="P13" s="436">
        <v>2.2000000000000002</v>
      </c>
      <c r="Q13" s="436">
        <v>10.8</v>
      </c>
    </row>
    <row r="14" spans="1:20" s="265" customFormat="1" ht="25.5" x14ac:dyDescent="0.2">
      <c r="A14" s="183">
        <v>10</v>
      </c>
      <c r="B14" s="183" t="s">
        <v>53</v>
      </c>
      <c r="C14" s="455">
        <v>2419</v>
      </c>
      <c r="D14" s="456">
        <v>2.5</v>
      </c>
      <c r="E14" s="436">
        <v>18</v>
      </c>
      <c r="F14" s="436"/>
      <c r="G14" s="480">
        <v>10</v>
      </c>
      <c r="H14" s="185" t="s">
        <v>54</v>
      </c>
      <c r="I14" s="437">
        <v>2195</v>
      </c>
      <c r="J14" s="436">
        <v>2.5</v>
      </c>
      <c r="K14" s="436">
        <v>9.6999999999999993</v>
      </c>
      <c r="L14" s="436"/>
      <c r="M14" s="480">
        <v>10</v>
      </c>
      <c r="N14" s="185" t="s">
        <v>54</v>
      </c>
      <c r="O14" s="437">
        <v>4022</v>
      </c>
      <c r="P14" s="436">
        <v>2.2000000000000002</v>
      </c>
      <c r="Q14" s="436">
        <v>10.5</v>
      </c>
    </row>
    <row r="15" spans="1:20" s="265" customFormat="1" ht="25.5" x14ac:dyDescent="0.2">
      <c r="A15" s="183">
        <v>11</v>
      </c>
      <c r="B15" s="183" t="s">
        <v>52</v>
      </c>
      <c r="C15" s="455">
        <v>2122</v>
      </c>
      <c r="D15" s="456">
        <v>2.2000000000000002</v>
      </c>
      <c r="E15" s="436">
        <v>13.1</v>
      </c>
      <c r="F15" s="436"/>
      <c r="G15" s="480">
        <v>11</v>
      </c>
      <c r="H15" s="185" t="s">
        <v>55</v>
      </c>
      <c r="I15" s="437">
        <v>1998</v>
      </c>
      <c r="J15" s="436">
        <v>2.2999999999999998</v>
      </c>
      <c r="K15" s="436">
        <v>10.1</v>
      </c>
      <c r="L15" s="436"/>
      <c r="M15" s="480">
        <v>11</v>
      </c>
      <c r="N15" s="185" t="s">
        <v>55</v>
      </c>
      <c r="O15" s="437">
        <v>3808</v>
      </c>
      <c r="P15" s="436">
        <v>2.1</v>
      </c>
      <c r="Q15" s="436">
        <v>11.1</v>
      </c>
    </row>
    <row r="16" spans="1:20" s="265" customFormat="1" ht="15" customHeight="1" x14ac:dyDescent="0.2">
      <c r="A16" s="183">
        <v>12</v>
      </c>
      <c r="B16" s="183" t="s">
        <v>56</v>
      </c>
      <c r="C16" s="455">
        <v>1941</v>
      </c>
      <c r="D16" s="456">
        <v>2</v>
      </c>
      <c r="E16" s="436">
        <v>12</v>
      </c>
      <c r="F16" s="436"/>
      <c r="G16" s="480">
        <v>12</v>
      </c>
      <c r="H16" s="185" t="s">
        <v>52</v>
      </c>
      <c r="I16" s="437">
        <v>1983</v>
      </c>
      <c r="J16" s="436">
        <v>2.2999999999999998</v>
      </c>
      <c r="K16" s="436">
        <v>9</v>
      </c>
      <c r="L16" s="436"/>
      <c r="M16" s="480">
        <v>12</v>
      </c>
      <c r="N16" s="185" t="s">
        <v>47</v>
      </c>
      <c r="O16" s="437">
        <v>3726</v>
      </c>
      <c r="P16" s="436">
        <v>2</v>
      </c>
      <c r="Q16" s="436">
        <v>10</v>
      </c>
    </row>
    <row r="17" spans="1:17" s="265" customFormat="1" ht="25.5" x14ac:dyDescent="0.2">
      <c r="A17" s="183">
        <v>13</v>
      </c>
      <c r="B17" s="183" t="s">
        <v>54</v>
      </c>
      <c r="C17" s="455">
        <v>1827</v>
      </c>
      <c r="D17" s="456">
        <v>1.9</v>
      </c>
      <c r="E17" s="436">
        <v>11.3</v>
      </c>
      <c r="F17" s="436"/>
      <c r="G17" s="480">
        <v>13</v>
      </c>
      <c r="H17" s="185" t="s">
        <v>56</v>
      </c>
      <c r="I17" s="437">
        <v>1783</v>
      </c>
      <c r="J17" s="436">
        <v>2.1</v>
      </c>
      <c r="K17" s="436">
        <v>9.4</v>
      </c>
      <c r="L17" s="436"/>
      <c r="M17" s="480">
        <v>13</v>
      </c>
      <c r="N17" s="185" t="s">
        <v>56</v>
      </c>
      <c r="O17" s="437">
        <v>3724</v>
      </c>
      <c r="P17" s="436">
        <v>2</v>
      </c>
      <c r="Q17" s="436">
        <v>10.6</v>
      </c>
    </row>
    <row r="18" spans="1:17" s="265" customFormat="1" ht="25.5" x14ac:dyDescent="0.2">
      <c r="A18" s="183">
        <v>14</v>
      </c>
      <c r="B18" s="183" t="s">
        <v>55</v>
      </c>
      <c r="C18" s="455">
        <v>1810</v>
      </c>
      <c r="D18" s="456">
        <v>1.9</v>
      </c>
      <c r="E18" s="436">
        <v>11.9</v>
      </c>
      <c r="F18" s="436"/>
      <c r="G18" s="480">
        <v>14</v>
      </c>
      <c r="H18" s="185" t="s">
        <v>57</v>
      </c>
      <c r="I18" s="437">
        <v>1690</v>
      </c>
      <c r="J18" s="436">
        <v>1.9</v>
      </c>
      <c r="K18" s="436">
        <v>7.5</v>
      </c>
      <c r="L18" s="436"/>
      <c r="M18" s="480">
        <v>14</v>
      </c>
      <c r="N18" s="185" t="s">
        <v>48</v>
      </c>
      <c r="O18" s="437">
        <v>3259</v>
      </c>
      <c r="P18" s="436">
        <v>1.8</v>
      </c>
      <c r="Q18" s="436">
        <v>9.6</v>
      </c>
    </row>
    <row r="19" spans="1:17" s="265" customFormat="1" ht="25.5" x14ac:dyDescent="0.2">
      <c r="A19" s="183">
        <v>15</v>
      </c>
      <c r="B19" s="183" t="s">
        <v>58</v>
      </c>
      <c r="C19" s="455">
        <v>1747</v>
      </c>
      <c r="D19" s="456">
        <v>1.8</v>
      </c>
      <c r="E19" s="436">
        <v>10.8</v>
      </c>
      <c r="F19" s="436"/>
      <c r="G19" s="480">
        <v>15</v>
      </c>
      <c r="H19" s="185" t="s">
        <v>59</v>
      </c>
      <c r="I19" s="437">
        <v>1634</v>
      </c>
      <c r="J19" s="436">
        <v>1.9</v>
      </c>
      <c r="K19" s="436">
        <v>7.3</v>
      </c>
      <c r="L19" s="436"/>
      <c r="M19" s="480">
        <v>15</v>
      </c>
      <c r="N19" s="185" t="s">
        <v>53</v>
      </c>
      <c r="O19" s="437">
        <v>3214</v>
      </c>
      <c r="P19" s="436">
        <v>1.8</v>
      </c>
      <c r="Q19" s="436">
        <v>11.8</v>
      </c>
    </row>
    <row r="20" spans="1:17" s="265" customFormat="1" ht="25.5" x14ac:dyDescent="0.2">
      <c r="A20" s="183">
        <v>16</v>
      </c>
      <c r="B20" s="183" t="s">
        <v>60</v>
      </c>
      <c r="C20" s="455">
        <v>1590</v>
      </c>
      <c r="D20" s="456">
        <v>1.7</v>
      </c>
      <c r="E20" s="436">
        <v>10.5</v>
      </c>
      <c r="F20" s="436"/>
      <c r="G20" s="480">
        <v>16</v>
      </c>
      <c r="H20" s="185" t="s">
        <v>61</v>
      </c>
      <c r="I20" s="437">
        <v>1511</v>
      </c>
      <c r="J20" s="436">
        <v>1.7</v>
      </c>
      <c r="K20" s="436">
        <v>7</v>
      </c>
      <c r="L20" s="436"/>
      <c r="M20" s="480">
        <v>16</v>
      </c>
      <c r="N20" s="185" t="s">
        <v>58</v>
      </c>
      <c r="O20" s="437">
        <v>3165</v>
      </c>
      <c r="P20" s="436">
        <v>1.7</v>
      </c>
      <c r="Q20" s="436">
        <v>8.8000000000000007</v>
      </c>
    </row>
    <row r="21" spans="1:17" s="265" customFormat="1" ht="15" customHeight="1" x14ac:dyDescent="0.2">
      <c r="A21" s="183">
        <v>17</v>
      </c>
      <c r="B21" s="183" t="s">
        <v>62</v>
      </c>
      <c r="C21" s="455">
        <v>1569</v>
      </c>
      <c r="D21" s="456">
        <v>1.6</v>
      </c>
      <c r="E21" s="436">
        <v>9.6</v>
      </c>
      <c r="F21" s="436"/>
      <c r="G21" s="480">
        <v>17</v>
      </c>
      <c r="H21" s="185" t="s">
        <v>63</v>
      </c>
      <c r="I21" s="437">
        <v>1459</v>
      </c>
      <c r="J21" s="436">
        <v>1.7</v>
      </c>
      <c r="K21" s="436">
        <v>6.7</v>
      </c>
      <c r="L21" s="436"/>
      <c r="M21" s="480">
        <v>17</v>
      </c>
      <c r="N21" s="185" t="s">
        <v>63</v>
      </c>
      <c r="O21" s="437">
        <v>2914</v>
      </c>
      <c r="P21" s="436">
        <v>1.6</v>
      </c>
      <c r="Q21" s="436">
        <v>7.7</v>
      </c>
    </row>
    <row r="22" spans="1:17" s="265" customFormat="1" ht="25.5" x14ac:dyDescent="0.2">
      <c r="A22" s="183">
        <v>18</v>
      </c>
      <c r="B22" s="183" t="s">
        <v>64</v>
      </c>
      <c r="C22" s="455">
        <v>1557</v>
      </c>
      <c r="D22" s="456">
        <v>1.6</v>
      </c>
      <c r="E22" s="436">
        <v>9.6</v>
      </c>
      <c r="F22" s="436"/>
      <c r="G22" s="480">
        <v>18</v>
      </c>
      <c r="H22" s="185" t="s">
        <v>58</v>
      </c>
      <c r="I22" s="437">
        <v>1418</v>
      </c>
      <c r="J22" s="436">
        <v>1.6</v>
      </c>
      <c r="K22" s="436">
        <v>7.2</v>
      </c>
      <c r="L22" s="436"/>
      <c r="M22" s="480">
        <v>18</v>
      </c>
      <c r="N22" s="185" t="s">
        <v>61</v>
      </c>
      <c r="O22" s="437">
        <v>2886</v>
      </c>
      <c r="P22" s="436">
        <v>1.6</v>
      </c>
      <c r="Q22" s="436">
        <v>7.7</v>
      </c>
    </row>
    <row r="23" spans="1:17" s="265" customFormat="1" ht="25.5" x14ac:dyDescent="0.2">
      <c r="A23" s="183">
        <v>19</v>
      </c>
      <c r="B23" s="183" t="s">
        <v>63</v>
      </c>
      <c r="C23" s="455">
        <v>1455</v>
      </c>
      <c r="D23" s="456">
        <v>1.5</v>
      </c>
      <c r="E23" s="436">
        <v>8.9</v>
      </c>
      <c r="F23" s="436"/>
      <c r="G23" s="480">
        <v>19</v>
      </c>
      <c r="H23" s="185" t="s">
        <v>65</v>
      </c>
      <c r="I23" s="437">
        <v>1076</v>
      </c>
      <c r="J23" s="436">
        <v>1.2</v>
      </c>
      <c r="K23" s="436">
        <v>5.2</v>
      </c>
      <c r="L23" s="436"/>
      <c r="M23" s="480">
        <v>19</v>
      </c>
      <c r="N23" s="185" t="s">
        <v>57</v>
      </c>
      <c r="O23" s="437">
        <v>2718</v>
      </c>
      <c r="P23" s="436">
        <v>1.5</v>
      </c>
      <c r="Q23" s="436">
        <v>7</v>
      </c>
    </row>
    <row r="24" spans="1:17" s="265" customFormat="1" ht="15" customHeight="1" x14ac:dyDescent="0.2">
      <c r="A24" s="183">
        <v>20</v>
      </c>
      <c r="B24" s="183" t="s">
        <v>61</v>
      </c>
      <c r="C24" s="455">
        <v>1375</v>
      </c>
      <c r="D24" s="456">
        <v>1.4</v>
      </c>
      <c r="E24" s="436">
        <v>8.6</v>
      </c>
      <c r="F24" s="436"/>
      <c r="G24" s="480">
        <v>20</v>
      </c>
      <c r="H24" s="185" t="s">
        <v>66</v>
      </c>
      <c r="I24" s="437">
        <v>1045</v>
      </c>
      <c r="J24" s="436">
        <v>1.2</v>
      </c>
      <c r="K24" s="436">
        <v>5.8</v>
      </c>
      <c r="L24" s="436"/>
      <c r="M24" s="480">
        <v>20</v>
      </c>
      <c r="N24" s="185" t="s">
        <v>59</v>
      </c>
      <c r="O24" s="437">
        <v>2684</v>
      </c>
      <c r="P24" s="436">
        <v>1.5</v>
      </c>
      <c r="Q24" s="436">
        <v>7</v>
      </c>
    </row>
    <row r="25" spans="1:17" s="420" customFormat="1" ht="15" customHeight="1" x14ac:dyDescent="0.2">
      <c r="A25" s="147"/>
      <c r="B25" s="147" t="s">
        <v>569</v>
      </c>
      <c r="C25" s="421">
        <v>61560</v>
      </c>
      <c r="D25" s="422">
        <v>64</v>
      </c>
      <c r="E25" s="423">
        <v>384.2</v>
      </c>
      <c r="F25" s="423"/>
      <c r="G25" s="496"/>
      <c r="H25" s="147" t="s">
        <v>569</v>
      </c>
      <c r="I25" s="424">
        <v>58256</v>
      </c>
      <c r="J25" s="423">
        <v>67</v>
      </c>
      <c r="K25" s="423">
        <v>280</v>
      </c>
      <c r="L25" s="423"/>
      <c r="M25" s="496"/>
      <c r="N25" s="147" t="s">
        <v>569</v>
      </c>
      <c r="O25" s="424">
        <v>115896</v>
      </c>
      <c r="P25" s="423">
        <v>63.3</v>
      </c>
      <c r="Q25" s="423">
        <v>318.5</v>
      </c>
    </row>
    <row r="26" spans="1:17" s="181" customFormat="1" ht="15" customHeight="1" x14ac:dyDescent="0.2">
      <c r="A26" s="483"/>
      <c r="B26" s="483" t="s">
        <v>67</v>
      </c>
      <c r="C26" s="171">
        <v>96180</v>
      </c>
      <c r="D26" s="172">
        <v>100</v>
      </c>
      <c r="E26" s="173">
        <v>604.79999999999995</v>
      </c>
      <c r="F26" s="173"/>
      <c r="G26" s="412"/>
      <c r="H26" s="412" t="s">
        <v>67</v>
      </c>
      <c r="I26" s="174">
        <v>86951</v>
      </c>
      <c r="J26" s="173">
        <v>100</v>
      </c>
      <c r="K26" s="173">
        <v>430.9</v>
      </c>
      <c r="L26" s="173"/>
      <c r="M26" s="412"/>
      <c r="N26" s="412" t="s">
        <v>67</v>
      </c>
      <c r="O26" s="174">
        <v>183131</v>
      </c>
      <c r="P26" s="173">
        <v>100</v>
      </c>
      <c r="Q26" s="173">
        <v>512.70000000000005</v>
      </c>
    </row>
    <row r="27" spans="1:17" s="473" customFormat="1" ht="15" customHeight="1" x14ac:dyDescent="0.2">
      <c r="A27" s="497" t="s">
        <v>68</v>
      </c>
      <c r="B27" s="62" t="s">
        <v>69</v>
      </c>
      <c r="C27" s="377"/>
      <c r="D27" s="377"/>
      <c r="E27" s="379"/>
      <c r="F27" s="379"/>
      <c r="G27" s="472"/>
      <c r="H27" s="472"/>
      <c r="I27" s="379"/>
      <c r="J27" s="380"/>
      <c r="K27" s="379"/>
      <c r="L27" s="379"/>
      <c r="M27" s="472"/>
      <c r="N27" s="472"/>
      <c r="O27" s="379"/>
      <c r="P27" s="380"/>
      <c r="Q27" s="379"/>
    </row>
    <row r="28" spans="1:17" s="473" customFormat="1" ht="15" customHeight="1" x14ac:dyDescent="0.2">
      <c r="A28" s="497" t="s">
        <v>322</v>
      </c>
      <c r="B28" s="376" t="s">
        <v>568</v>
      </c>
      <c r="C28" s="377"/>
      <c r="E28" s="267"/>
      <c r="F28" s="267"/>
      <c r="G28" s="472"/>
      <c r="H28" s="472"/>
      <c r="I28" s="379"/>
      <c r="J28" s="380"/>
      <c r="K28" s="379"/>
      <c r="L28" s="379"/>
      <c r="M28" s="472"/>
      <c r="N28" s="472"/>
      <c r="O28" s="379"/>
      <c r="P28" s="379"/>
    </row>
    <row r="29" spans="1:17" s="473" customFormat="1" ht="15" customHeight="1" x14ac:dyDescent="0.2">
      <c r="A29" s="470" t="s">
        <v>70</v>
      </c>
      <c r="B29" s="376" t="s">
        <v>71</v>
      </c>
      <c r="C29" s="377"/>
      <c r="D29" s="471"/>
      <c r="E29" s="379"/>
      <c r="F29" s="379"/>
      <c r="G29" s="472"/>
    </row>
    <row r="30" spans="1:17" s="473" customFormat="1" ht="15" customHeight="1" x14ac:dyDescent="0.2">
      <c r="A30" s="498" t="s">
        <v>4</v>
      </c>
      <c r="B30" s="43"/>
      <c r="C30" s="499"/>
      <c r="D30" s="499"/>
      <c r="E30" s="12"/>
      <c r="F30" s="12"/>
      <c r="G30" s="92"/>
      <c r="H30" s="92"/>
      <c r="I30" s="12"/>
      <c r="J30" s="90"/>
      <c r="K30" s="12"/>
      <c r="L30" s="12"/>
      <c r="M30" s="92"/>
      <c r="N30" s="92"/>
      <c r="O30" s="12"/>
      <c r="P30" s="90"/>
      <c r="Q30" s="28"/>
    </row>
    <row r="31" spans="1:17" s="473" customFormat="1" ht="15" customHeight="1" x14ac:dyDescent="0.2">
      <c r="A31" s="92" t="s">
        <v>658</v>
      </c>
      <c r="B31" s="25"/>
      <c r="C31" s="90"/>
      <c r="D31" s="90"/>
      <c r="E31" s="12"/>
      <c r="F31" s="12"/>
      <c r="G31" s="92"/>
      <c r="H31" s="92"/>
      <c r="I31" s="12"/>
      <c r="J31" s="90"/>
      <c r="K31" s="12"/>
      <c r="L31" s="12"/>
      <c r="M31" s="92"/>
      <c r="N31" s="92"/>
      <c r="O31" s="12"/>
      <c r="P31" s="90"/>
      <c r="Q31" s="28"/>
    </row>
    <row r="32" spans="1:17" s="473" customFormat="1" ht="30" customHeight="1" x14ac:dyDescent="0.2">
      <c r="A32" s="602" t="s">
        <v>72</v>
      </c>
      <c r="B32" s="605"/>
      <c r="C32" s="605"/>
      <c r="D32" s="605"/>
      <c r="E32" s="605"/>
      <c r="F32" s="605"/>
      <c r="G32" s="605"/>
      <c r="H32" s="605"/>
      <c r="I32" s="605"/>
      <c r="J32" s="605"/>
      <c r="K32" s="605"/>
      <c r="L32" s="605"/>
      <c r="M32" s="605"/>
      <c r="N32" s="605"/>
      <c r="O32" s="605"/>
      <c r="P32" s="91"/>
      <c r="Q32" s="91"/>
    </row>
    <row r="33" spans="1:17" s="473" customFormat="1" ht="15" customHeight="1" x14ac:dyDescent="0.2">
      <c r="A33" s="12" t="s">
        <v>73</v>
      </c>
      <c r="B33" s="25"/>
      <c r="C33" s="90"/>
      <c r="D33" s="90"/>
      <c r="E33" s="12"/>
      <c r="F33" s="12"/>
      <c r="G33" s="92"/>
      <c r="H33" s="92"/>
      <c r="I33" s="12"/>
      <c r="J33" s="90"/>
      <c r="K33" s="12"/>
      <c r="L33" s="12"/>
      <c r="M33" s="92"/>
      <c r="N33" s="92"/>
      <c r="O33" s="12"/>
      <c r="P33" s="90"/>
      <c r="Q33" s="28"/>
    </row>
    <row r="34" spans="1:17" s="473" customFormat="1" ht="15" customHeight="1" x14ac:dyDescent="0.2">
      <c r="A34" s="498" t="s">
        <v>554</v>
      </c>
      <c r="B34" s="43"/>
      <c r="C34" s="499"/>
      <c r="D34" s="499"/>
      <c r="E34" s="12"/>
      <c r="F34" s="12"/>
      <c r="G34" s="92"/>
      <c r="H34" s="92"/>
      <c r="I34" s="12"/>
      <c r="J34" s="90"/>
      <c r="K34" s="12"/>
      <c r="L34" s="12"/>
      <c r="M34" s="92"/>
      <c r="N34" s="92"/>
      <c r="O34" s="12"/>
      <c r="P34" s="90"/>
      <c r="Q34" s="28"/>
    </row>
    <row r="36" spans="1:17" ht="15" customHeight="1" x14ac:dyDescent="0.2">
      <c r="B36" s="223"/>
      <c r="C36" s="223"/>
      <c r="D36" s="223"/>
      <c r="E36" s="223"/>
      <c r="F36" s="223"/>
      <c r="G36" s="223"/>
      <c r="H36" s="223"/>
      <c r="I36" s="223"/>
      <c r="J36" s="223"/>
      <c r="K36" s="223"/>
      <c r="L36" s="223"/>
      <c r="M36" s="223"/>
      <c r="N36" s="223"/>
    </row>
    <row r="37" spans="1:17" ht="15" customHeight="1" x14ac:dyDescent="0.2">
      <c r="B37" s="223"/>
      <c r="C37" s="223"/>
      <c r="D37" s="223"/>
      <c r="E37" s="223"/>
      <c r="F37" s="223"/>
      <c r="G37" s="223"/>
      <c r="H37" s="223"/>
      <c r="I37" s="223"/>
      <c r="J37" s="223"/>
      <c r="K37" s="223"/>
      <c r="L37" s="223"/>
      <c r="M37" s="223"/>
      <c r="N37" s="223"/>
    </row>
    <row r="38" spans="1:17" ht="15" customHeight="1" x14ac:dyDescent="0.2">
      <c r="B38" s="223"/>
      <c r="C38" s="223"/>
      <c r="D38" s="223"/>
      <c r="E38" s="223"/>
      <c r="F38" s="223"/>
      <c r="G38" s="223"/>
      <c r="H38" s="223"/>
      <c r="I38" s="223"/>
      <c r="J38" s="223"/>
      <c r="K38" s="223"/>
      <c r="L38" s="223"/>
      <c r="M38" s="223"/>
      <c r="N38" s="223"/>
    </row>
  </sheetData>
  <mergeCells count="4">
    <mergeCell ref="A3:E3"/>
    <mergeCell ref="G3:K3"/>
    <mergeCell ref="M3:Q3"/>
    <mergeCell ref="A32:O32"/>
  </mergeCells>
  <hyperlinks>
    <hyperlink ref="A2" location="Contents!A1" display="Back to contents" xr:uid="{7F6B2E09-980D-4668-97C2-F18CBACE113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CE9D3-6EB5-4660-825A-BDD048289D2C}">
  <dimension ref="A1:R143"/>
  <sheetViews>
    <sheetView showGridLines="0" zoomScaleNormal="100" workbookViewId="0">
      <pane ySplit="4" topLeftCell="A5" activePane="bottomLeft" state="frozen"/>
      <selection activeCell="M33" sqref="M33:N33"/>
      <selection pane="bottomLeft" activeCell="A5" sqref="A5"/>
    </sheetView>
  </sheetViews>
  <sheetFormatPr defaultRowHeight="15" customHeight="1" x14ac:dyDescent="0.2"/>
  <cols>
    <col min="1" max="1" width="8.5" style="92" customWidth="1"/>
    <col min="2" max="2" width="37.125" style="101" customWidth="1"/>
    <col min="3" max="3" width="7.625" style="90" customWidth="1"/>
    <col min="4" max="4" width="7.625" style="91" customWidth="1"/>
    <col min="5" max="5" width="11.625" style="29" customWidth="1"/>
    <col min="6" max="6" width="2.625" style="12" customWidth="1"/>
    <col min="7" max="7" width="8.5" style="92" customWidth="1"/>
    <col min="8" max="8" width="37.125" style="101" customWidth="1"/>
    <col min="9" max="9" width="7.625" style="90" customWidth="1"/>
    <col min="10" max="10" width="7.625" style="91" customWidth="1"/>
    <col min="11" max="11" width="11.625" style="29" customWidth="1"/>
    <col min="12" max="12" width="2.625" style="12" customWidth="1"/>
    <col min="13" max="13" width="8.5" style="92" customWidth="1"/>
    <col min="14" max="14" width="37.125" style="101" customWidth="1"/>
    <col min="15" max="15" width="7.625" style="90" customWidth="1"/>
    <col min="16" max="16" width="7.625" style="91" customWidth="1"/>
    <col min="17" max="17" width="11.625" style="29" customWidth="1"/>
    <col min="18" max="256" width="9" style="12"/>
    <col min="257" max="257" width="8.5" style="12" customWidth="1"/>
    <col min="258" max="258" width="40" style="12" customWidth="1"/>
    <col min="259" max="259" width="6.375" style="12" bestFit="1" customWidth="1"/>
    <col min="260" max="260" width="6.625" style="12" bestFit="1" customWidth="1"/>
    <col min="261" max="261" width="8.25" style="12" bestFit="1" customWidth="1"/>
    <col min="262" max="262" width="4.125" style="12" customWidth="1"/>
    <col min="263" max="263" width="8.5" style="12" customWidth="1"/>
    <col min="264" max="264" width="40" style="12" customWidth="1"/>
    <col min="265" max="265" width="6.375" style="12" customWidth="1"/>
    <col min="266" max="266" width="6.625" style="12" bestFit="1" customWidth="1"/>
    <col min="267" max="267" width="8.25" style="12" bestFit="1" customWidth="1"/>
    <col min="268" max="268" width="4.125" style="12" customWidth="1"/>
    <col min="269" max="269" width="8.5" style="12" customWidth="1"/>
    <col min="270" max="270" width="40" style="12" customWidth="1"/>
    <col min="271" max="271" width="6.375" style="12" customWidth="1"/>
    <col min="272" max="272" width="6.625" style="12" bestFit="1" customWidth="1"/>
    <col min="273" max="273" width="8.25" style="12" bestFit="1" customWidth="1"/>
    <col min="274" max="512" width="9" style="12"/>
    <col min="513" max="513" width="8.5" style="12" customWidth="1"/>
    <col min="514" max="514" width="40" style="12" customWidth="1"/>
    <col min="515" max="515" width="6.375" style="12" bestFit="1" customWidth="1"/>
    <col min="516" max="516" width="6.625" style="12" bestFit="1" customWidth="1"/>
    <col min="517" max="517" width="8.25" style="12" bestFit="1" customWidth="1"/>
    <col min="518" max="518" width="4.125" style="12" customWidth="1"/>
    <col min="519" max="519" width="8.5" style="12" customWidth="1"/>
    <col min="520" max="520" width="40" style="12" customWidth="1"/>
    <col min="521" max="521" width="6.375" style="12" customWidth="1"/>
    <col min="522" max="522" width="6.625" style="12" bestFit="1" customWidth="1"/>
    <col min="523" max="523" width="8.25" style="12" bestFit="1" customWidth="1"/>
    <col min="524" max="524" width="4.125" style="12" customWidth="1"/>
    <col min="525" max="525" width="8.5" style="12" customWidth="1"/>
    <col min="526" max="526" width="40" style="12" customWidth="1"/>
    <col min="527" max="527" width="6.375" style="12" customWidth="1"/>
    <col min="528" max="528" width="6.625" style="12" bestFit="1" customWidth="1"/>
    <col min="529" max="529" width="8.25" style="12" bestFit="1" customWidth="1"/>
    <col min="530" max="768" width="9" style="12"/>
    <col min="769" max="769" width="8.5" style="12" customWidth="1"/>
    <col min="770" max="770" width="40" style="12" customWidth="1"/>
    <col min="771" max="771" width="6.375" style="12" bestFit="1" customWidth="1"/>
    <col min="772" max="772" width="6.625" style="12" bestFit="1" customWidth="1"/>
    <col min="773" max="773" width="8.25" style="12" bestFit="1" customWidth="1"/>
    <col min="774" max="774" width="4.125" style="12" customWidth="1"/>
    <col min="775" max="775" width="8.5" style="12" customWidth="1"/>
    <col min="776" max="776" width="40" style="12" customWidth="1"/>
    <col min="777" max="777" width="6.375" style="12" customWidth="1"/>
    <col min="778" max="778" width="6.625" style="12" bestFit="1" customWidth="1"/>
    <col min="779" max="779" width="8.25" style="12" bestFit="1" customWidth="1"/>
    <col min="780" max="780" width="4.125" style="12" customWidth="1"/>
    <col min="781" max="781" width="8.5" style="12" customWidth="1"/>
    <col min="782" max="782" width="40" style="12" customWidth="1"/>
    <col min="783" max="783" width="6.375" style="12" customWidth="1"/>
    <col min="784" max="784" width="6.625" style="12" bestFit="1" customWidth="1"/>
    <col min="785" max="785" width="8.25" style="12" bestFit="1" customWidth="1"/>
    <col min="786" max="1024" width="9" style="12"/>
    <col min="1025" max="1025" width="8.5" style="12" customWidth="1"/>
    <col min="1026" max="1026" width="40" style="12" customWidth="1"/>
    <col min="1027" max="1027" width="6.375" style="12" bestFit="1" customWidth="1"/>
    <col min="1028" max="1028" width="6.625" style="12" bestFit="1" customWidth="1"/>
    <col min="1029" max="1029" width="8.25" style="12" bestFit="1" customWidth="1"/>
    <col min="1030" max="1030" width="4.125" style="12" customWidth="1"/>
    <col min="1031" max="1031" width="8.5" style="12" customWidth="1"/>
    <col min="1032" max="1032" width="40" style="12" customWidth="1"/>
    <col min="1033" max="1033" width="6.375" style="12" customWidth="1"/>
    <col min="1034" max="1034" width="6.625" style="12" bestFit="1" customWidth="1"/>
    <col min="1035" max="1035" width="8.25" style="12" bestFit="1" customWidth="1"/>
    <col min="1036" max="1036" width="4.125" style="12" customWidth="1"/>
    <col min="1037" max="1037" width="8.5" style="12" customWidth="1"/>
    <col min="1038" max="1038" width="40" style="12" customWidth="1"/>
    <col min="1039" max="1039" width="6.375" style="12" customWidth="1"/>
    <col min="1040" max="1040" width="6.625" style="12" bestFit="1" customWidth="1"/>
    <col min="1041" max="1041" width="8.25" style="12" bestFit="1" customWidth="1"/>
    <col min="1042" max="1280" width="9" style="12"/>
    <col min="1281" max="1281" width="8.5" style="12" customWidth="1"/>
    <col min="1282" max="1282" width="40" style="12" customWidth="1"/>
    <col min="1283" max="1283" width="6.375" style="12" bestFit="1" customWidth="1"/>
    <col min="1284" max="1284" width="6.625" style="12" bestFit="1" customWidth="1"/>
    <col min="1285" max="1285" width="8.25" style="12" bestFit="1" customWidth="1"/>
    <col min="1286" max="1286" width="4.125" style="12" customWidth="1"/>
    <col min="1287" max="1287" width="8.5" style="12" customWidth="1"/>
    <col min="1288" max="1288" width="40" style="12" customWidth="1"/>
    <col min="1289" max="1289" width="6.375" style="12" customWidth="1"/>
    <col min="1290" max="1290" width="6.625" style="12" bestFit="1" customWidth="1"/>
    <col min="1291" max="1291" width="8.25" style="12" bestFit="1" customWidth="1"/>
    <col min="1292" max="1292" width="4.125" style="12" customWidth="1"/>
    <col min="1293" max="1293" width="8.5" style="12" customWidth="1"/>
    <col min="1294" max="1294" width="40" style="12" customWidth="1"/>
    <col min="1295" max="1295" width="6.375" style="12" customWidth="1"/>
    <col min="1296" max="1296" width="6.625" style="12" bestFit="1" customWidth="1"/>
    <col min="1297" max="1297" width="8.25" style="12" bestFit="1" customWidth="1"/>
    <col min="1298" max="1536" width="9" style="12"/>
    <col min="1537" max="1537" width="8.5" style="12" customWidth="1"/>
    <col min="1538" max="1538" width="40" style="12" customWidth="1"/>
    <col min="1539" max="1539" width="6.375" style="12" bestFit="1" customWidth="1"/>
    <col min="1540" max="1540" width="6.625" style="12" bestFit="1" customWidth="1"/>
    <col min="1541" max="1541" width="8.25" style="12" bestFit="1" customWidth="1"/>
    <col min="1542" max="1542" width="4.125" style="12" customWidth="1"/>
    <col min="1543" max="1543" width="8.5" style="12" customWidth="1"/>
    <col min="1544" max="1544" width="40" style="12" customWidth="1"/>
    <col min="1545" max="1545" width="6.375" style="12" customWidth="1"/>
    <col min="1546" max="1546" width="6.625" style="12" bestFit="1" customWidth="1"/>
    <col min="1547" max="1547" width="8.25" style="12" bestFit="1" customWidth="1"/>
    <col min="1548" max="1548" width="4.125" style="12" customWidth="1"/>
    <col min="1549" max="1549" width="8.5" style="12" customWidth="1"/>
    <col min="1550" max="1550" width="40" style="12" customWidth="1"/>
    <col min="1551" max="1551" width="6.375" style="12" customWidth="1"/>
    <col min="1552" max="1552" width="6.625" style="12" bestFit="1" customWidth="1"/>
    <col min="1553" max="1553" width="8.25" style="12" bestFit="1" customWidth="1"/>
    <col min="1554" max="1792" width="9" style="12"/>
    <col min="1793" max="1793" width="8.5" style="12" customWidth="1"/>
    <col min="1794" max="1794" width="40" style="12" customWidth="1"/>
    <col min="1795" max="1795" width="6.375" style="12" bestFit="1" customWidth="1"/>
    <col min="1796" max="1796" width="6.625" style="12" bestFit="1" customWidth="1"/>
    <col min="1797" max="1797" width="8.25" style="12" bestFit="1" customWidth="1"/>
    <col min="1798" max="1798" width="4.125" style="12" customWidth="1"/>
    <col min="1799" max="1799" width="8.5" style="12" customWidth="1"/>
    <col min="1800" max="1800" width="40" style="12" customWidth="1"/>
    <col min="1801" max="1801" width="6.375" style="12" customWidth="1"/>
    <col min="1802" max="1802" width="6.625" style="12" bestFit="1" customWidth="1"/>
    <col min="1803" max="1803" width="8.25" style="12" bestFit="1" customWidth="1"/>
    <col min="1804" max="1804" width="4.125" style="12" customWidth="1"/>
    <col min="1805" max="1805" width="8.5" style="12" customWidth="1"/>
    <col min="1806" max="1806" width="40" style="12" customWidth="1"/>
    <col min="1807" max="1807" width="6.375" style="12" customWidth="1"/>
    <col min="1808" max="1808" width="6.625" style="12" bestFit="1" customWidth="1"/>
    <col min="1809" max="1809" width="8.25" style="12" bestFit="1" customWidth="1"/>
    <col min="1810" max="2048" width="9" style="12"/>
    <col min="2049" max="2049" width="8.5" style="12" customWidth="1"/>
    <col min="2050" max="2050" width="40" style="12" customWidth="1"/>
    <col min="2051" max="2051" width="6.375" style="12" bestFit="1" customWidth="1"/>
    <col min="2052" max="2052" width="6.625" style="12" bestFit="1" customWidth="1"/>
    <col min="2053" max="2053" width="8.25" style="12" bestFit="1" customWidth="1"/>
    <col min="2054" max="2054" width="4.125" style="12" customWidth="1"/>
    <col min="2055" max="2055" width="8.5" style="12" customWidth="1"/>
    <col min="2056" max="2056" width="40" style="12" customWidth="1"/>
    <col min="2057" max="2057" width="6.375" style="12" customWidth="1"/>
    <col min="2058" max="2058" width="6.625" style="12" bestFit="1" customWidth="1"/>
    <col min="2059" max="2059" width="8.25" style="12" bestFit="1" customWidth="1"/>
    <col min="2060" max="2060" width="4.125" style="12" customWidth="1"/>
    <col min="2061" max="2061" width="8.5" style="12" customWidth="1"/>
    <col min="2062" max="2062" width="40" style="12" customWidth="1"/>
    <col min="2063" max="2063" width="6.375" style="12" customWidth="1"/>
    <col min="2064" max="2064" width="6.625" style="12" bestFit="1" customWidth="1"/>
    <col min="2065" max="2065" width="8.25" style="12" bestFit="1" customWidth="1"/>
    <col min="2066" max="2304" width="9" style="12"/>
    <col min="2305" max="2305" width="8.5" style="12" customWidth="1"/>
    <col min="2306" max="2306" width="40" style="12" customWidth="1"/>
    <col min="2307" max="2307" width="6.375" style="12" bestFit="1" customWidth="1"/>
    <col min="2308" max="2308" width="6.625" style="12" bestFit="1" customWidth="1"/>
    <col min="2309" max="2309" width="8.25" style="12" bestFit="1" customWidth="1"/>
    <col min="2310" max="2310" width="4.125" style="12" customWidth="1"/>
    <col min="2311" max="2311" width="8.5" style="12" customWidth="1"/>
    <col min="2312" max="2312" width="40" style="12" customWidth="1"/>
    <col min="2313" max="2313" width="6.375" style="12" customWidth="1"/>
    <col min="2314" max="2314" width="6.625" style="12" bestFit="1" customWidth="1"/>
    <col min="2315" max="2315" width="8.25" style="12" bestFit="1" customWidth="1"/>
    <col min="2316" max="2316" width="4.125" style="12" customWidth="1"/>
    <col min="2317" max="2317" width="8.5" style="12" customWidth="1"/>
    <col min="2318" max="2318" width="40" style="12" customWidth="1"/>
    <col min="2319" max="2319" width="6.375" style="12" customWidth="1"/>
    <col min="2320" max="2320" width="6.625" style="12" bestFit="1" customWidth="1"/>
    <col min="2321" max="2321" width="8.25" style="12" bestFit="1" customWidth="1"/>
    <col min="2322" max="2560" width="9" style="12"/>
    <col min="2561" max="2561" width="8.5" style="12" customWidth="1"/>
    <col min="2562" max="2562" width="40" style="12" customWidth="1"/>
    <col min="2563" max="2563" width="6.375" style="12" bestFit="1" customWidth="1"/>
    <col min="2564" max="2564" width="6.625" style="12" bestFit="1" customWidth="1"/>
    <col min="2565" max="2565" width="8.25" style="12" bestFit="1" customWidth="1"/>
    <col min="2566" max="2566" width="4.125" style="12" customWidth="1"/>
    <col min="2567" max="2567" width="8.5" style="12" customWidth="1"/>
    <col min="2568" max="2568" width="40" style="12" customWidth="1"/>
    <col min="2569" max="2569" width="6.375" style="12" customWidth="1"/>
    <col min="2570" max="2570" width="6.625" style="12" bestFit="1" customWidth="1"/>
    <col min="2571" max="2571" width="8.25" style="12" bestFit="1" customWidth="1"/>
    <col min="2572" max="2572" width="4.125" style="12" customWidth="1"/>
    <col min="2573" max="2573" width="8.5" style="12" customWidth="1"/>
    <col min="2574" max="2574" width="40" style="12" customWidth="1"/>
    <col min="2575" max="2575" width="6.375" style="12" customWidth="1"/>
    <col min="2576" max="2576" width="6.625" style="12" bestFit="1" customWidth="1"/>
    <col min="2577" max="2577" width="8.25" style="12" bestFit="1" customWidth="1"/>
    <col min="2578" max="2816" width="9" style="12"/>
    <col min="2817" max="2817" width="8.5" style="12" customWidth="1"/>
    <col min="2818" max="2818" width="40" style="12" customWidth="1"/>
    <col min="2819" max="2819" width="6.375" style="12" bestFit="1" customWidth="1"/>
    <col min="2820" max="2820" width="6.625" style="12" bestFit="1" customWidth="1"/>
    <col min="2821" max="2821" width="8.25" style="12" bestFit="1" customWidth="1"/>
    <col min="2822" max="2822" width="4.125" style="12" customWidth="1"/>
    <col min="2823" max="2823" width="8.5" style="12" customWidth="1"/>
    <col min="2824" max="2824" width="40" style="12" customWidth="1"/>
    <col min="2825" max="2825" width="6.375" style="12" customWidth="1"/>
    <col min="2826" max="2826" width="6.625" style="12" bestFit="1" customWidth="1"/>
    <col min="2827" max="2827" width="8.25" style="12" bestFit="1" customWidth="1"/>
    <col min="2828" max="2828" width="4.125" style="12" customWidth="1"/>
    <col min="2829" max="2829" width="8.5" style="12" customWidth="1"/>
    <col min="2830" max="2830" width="40" style="12" customWidth="1"/>
    <col min="2831" max="2831" width="6.375" style="12" customWidth="1"/>
    <col min="2832" max="2832" width="6.625" style="12" bestFit="1" customWidth="1"/>
    <col min="2833" max="2833" width="8.25" style="12" bestFit="1" customWidth="1"/>
    <col min="2834" max="3072" width="9" style="12"/>
    <col min="3073" max="3073" width="8.5" style="12" customWidth="1"/>
    <col min="3074" max="3074" width="40" style="12" customWidth="1"/>
    <col min="3075" max="3075" width="6.375" style="12" bestFit="1" customWidth="1"/>
    <col min="3076" max="3076" width="6.625" style="12" bestFit="1" customWidth="1"/>
    <col min="3077" max="3077" width="8.25" style="12" bestFit="1" customWidth="1"/>
    <col min="3078" max="3078" width="4.125" style="12" customWidth="1"/>
    <col min="3079" max="3079" width="8.5" style="12" customWidth="1"/>
    <col min="3080" max="3080" width="40" style="12" customWidth="1"/>
    <col min="3081" max="3081" width="6.375" style="12" customWidth="1"/>
    <col min="3082" max="3082" width="6.625" style="12" bestFit="1" customWidth="1"/>
    <col min="3083" max="3083" width="8.25" style="12" bestFit="1" customWidth="1"/>
    <col min="3084" max="3084" width="4.125" style="12" customWidth="1"/>
    <col min="3085" max="3085" width="8.5" style="12" customWidth="1"/>
    <col min="3086" max="3086" width="40" style="12" customWidth="1"/>
    <col min="3087" max="3087" width="6.375" style="12" customWidth="1"/>
    <col min="3088" max="3088" width="6.625" style="12" bestFit="1" customWidth="1"/>
    <col min="3089" max="3089" width="8.25" style="12" bestFit="1" customWidth="1"/>
    <col min="3090" max="3328" width="9" style="12"/>
    <col min="3329" max="3329" width="8.5" style="12" customWidth="1"/>
    <col min="3330" max="3330" width="40" style="12" customWidth="1"/>
    <col min="3331" max="3331" width="6.375" style="12" bestFit="1" customWidth="1"/>
    <col min="3332" max="3332" width="6.625" style="12" bestFit="1" customWidth="1"/>
    <col min="3333" max="3333" width="8.25" style="12" bestFit="1" customWidth="1"/>
    <col min="3334" max="3334" width="4.125" style="12" customWidth="1"/>
    <col min="3335" max="3335" width="8.5" style="12" customWidth="1"/>
    <col min="3336" max="3336" width="40" style="12" customWidth="1"/>
    <col min="3337" max="3337" width="6.375" style="12" customWidth="1"/>
    <col min="3338" max="3338" width="6.625" style="12" bestFit="1" customWidth="1"/>
    <col min="3339" max="3339" width="8.25" style="12" bestFit="1" customWidth="1"/>
    <col min="3340" max="3340" width="4.125" style="12" customWidth="1"/>
    <col min="3341" max="3341" width="8.5" style="12" customWidth="1"/>
    <col min="3342" max="3342" width="40" style="12" customWidth="1"/>
    <col min="3343" max="3343" width="6.375" style="12" customWidth="1"/>
    <col min="3344" max="3344" width="6.625" style="12" bestFit="1" customWidth="1"/>
    <col min="3345" max="3345" width="8.25" style="12" bestFit="1" customWidth="1"/>
    <col min="3346" max="3584" width="9" style="12"/>
    <col min="3585" max="3585" width="8.5" style="12" customWidth="1"/>
    <col min="3586" max="3586" width="40" style="12" customWidth="1"/>
    <col min="3587" max="3587" width="6.375" style="12" bestFit="1" customWidth="1"/>
    <col min="3588" max="3588" width="6.625" style="12" bestFit="1" customWidth="1"/>
    <col min="3589" max="3589" width="8.25" style="12" bestFit="1" customWidth="1"/>
    <col min="3590" max="3590" width="4.125" style="12" customWidth="1"/>
    <col min="3591" max="3591" width="8.5" style="12" customWidth="1"/>
    <col min="3592" max="3592" width="40" style="12" customWidth="1"/>
    <col min="3593" max="3593" width="6.375" style="12" customWidth="1"/>
    <col min="3594" max="3594" width="6.625" style="12" bestFit="1" customWidth="1"/>
    <col min="3595" max="3595" width="8.25" style="12" bestFit="1" customWidth="1"/>
    <col min="3596" max="3596" width="4.125" style="12" customWidth="1"/>
    <col min="3597" max="3597" width="8.5" style="12" customWidth="1"/>
    <col min="3598" max="3598" width="40" style="12" customWidth="1"/>
    <col min="3599" max="3599" width="6.375" style="12" customWidth="1"/>
    <col min="3600" max="3600" width="6.625" style="12" bestFit="1" customWidth="1"/>
    <col min="3601" max="3601" width="8.25" style="12" bestFit="1" customWidth="1"/>
    <col min="3602" max="3840" width="9" style="12"/>
    <col min="3841" max="3841" width="8.5" style="12" customWidth="1"/>
    <col min="3842" max="3842" width="40" style="12" customWidth="1"/>
    <col min="3843" max="3843" width="6.375" style="12" bestFit="1" customWidth="1"/>
    <col min="3844" max="3844" width="6.625" style="12" bestFit="1" customWidth="1"/>
    <col min="3845" max="3845" width="8.25" style="12" bestFit="1" customWidth="1"/>
    <col min="3846" max="3846" width="4.125" style="12" customWidth="1"/>
    <col min="3847" max="3847" width="8.5" style="12" customWidth="1"/>
    <col min="3848" max="3848" width="40" style="12" customWidth="1"/>
    <col min="3849" max="3849" width="6.375" style="12" customWidth="1"/>
    <col min="3850" max="3850" width="6.625" style="12" bestFit="1" customWidth="1"/>
    <col min="3851" max="3851" width="8.25" style="12" bestFit="1" customWidth="1"/>
    <col min="3852" max="3852" width="4.125" style="12" customWidth="1"/>
    <col min="3853" max="3853" width="8.5" style="12" customWidth="1"/>
    <col min="3854" max="3854" width="40" style="12" customWidth="1"/>
    <col min="3855" max="3855" width="6.375" style="12" customWidth="1"/>
    <col min="3856" max="3856" width="6.625" style="12" bestFit="1" customWidth="1"/>
    <col min="3857" max="3857" width="8.25" style="12" bestFit="1" customWidth="1"/>
    <col min="3858" max="4096" width="9" style="12"/>
    <col min="4097" max="4097" width="8.5" style="12" customWidth="1"/>
    <col min="4098" max="4098" width="40" style="12" customWidth="1"/>
    <col min="4099" max="4099" width="6.375" style="12" bestFit="1" customWidth="1"/>
    <col min="4100" max="4100" width="6.625" style="12" bestFit="1" customWidth="1"/>
    <col min="4101" max="4101" width="8.25" style="12" bestFit="1" customWidth="1"/>
    <col min="4102" max="4102" width="4.125" style="12" customWidth="1"/>
    <col min="4103" max="4103" width="8.5" style="12" customWidth="1"/>
    <col min="4104" max="4104" width="40" style="12" customWidth="1"/>
    <col min="4105" max="4105" width="6.375" style="12" customWidth="1"/>
    <col min="4106" max="4106" width="6.625" style="12" bestFit="1" customWidth="1"/>
    <col min="4107" max="4107" width="8.25" style="12" bestFit="1" customWidth="1"/>
    <col min="4108" max="4108" width="4.125" style="12" customWidth="1"/>
    <col min="4109" max="4109" width="8.5" style="12" customWidth="1"/>
    <col min="4110" max="4110" width="40" style="12" customWidth="1"/>
    <col min="4111" max="4111" width="6.375" style="12" customWidth="1"/>
    <col min="4112" max="4112" width="6.625" style="12" bestFit="1" customWidth="1"/>
    <col min="4113" max="4113" width="8.25" style="12" bestFit="1" customWidth="1"/>
    <col min="4114" max="4352" width="9" style="12"/>
    <col min="4353" max="4353" width="8.5" style="12" customWidth="1"/>
    <col min="4354" max="4354" width="40" style="12" customWidth="1"/>
    <col min="4355" max="4355" width="6.375" style="12" bestFit="1" customWidth="1"/>
    <col min="4356" max="4356" width="6.625" style="12" bestFit="1" customWidth="1"/>
    <col min="4357" max="4357" width="8.25" style="12" bestFit="1" customWidth="1"/>
    <col min="4358" max="4358" width="4.125" style="12" customWidth="1"/>
    <col min="4359" max="4359" width="8.5" style="12" customWidth="1"/>
    <col min="4360" max="4360" width="40" style="12" customWidth="1"/>
    <col min="4361" max="4361" width="6.375" style="12" customWidth="1"/>
    <col min="4362" max="4362" width="6.625" style="12" bestFit="1" customWidth="1"/>
    <col min="4363" max="4363" width="8.25" style="12" bestFit="1" customWidth="1"/>
    <col min="4364" max="4364" width="4.125" style="12" customWidth="1"/>
    <col min="4365" max="4365" width="8.5" style="12" customWidth="1"/>
    <col min="4366" max="4366" width="40" style="12" customWidth="1"/>
    <col min="4367" max="4367" width="6.375" style="12" customWidth="1"/>
    <col min="4368" max="4368" width="6.625" style="12" bestFit="1" customWidth="1"/>
    <col min="4369" max="4369" width="8.25" style="12" bestFit="1" customWidth="1"/>
    <col min="4370" max="4608" width="9" style="12"/>
    <col min="4609" max="4609" width="8.5" style="12" customWidth="1"/>
    <col min="4610" max="4610" width="40" style="12" customWidth="1"/>
    <col min="4611" max="4611" width="6.375" style="12" bestFit="1" customWidth="1"/>
    <col min="4612" max="4612" width="6.625" style="12" bestFit="1" customWidth="1"/>
    <col min="4613" max="4613" width="8.25" style="12" bestFit="1" customWidth="1"/>
    <col min="4614" max="4614" width="4.125" style="12" customWidth="1"/>
    <col min="4615" max="4615" width="8.5" style="12" customWidth="1"/>
    <col min="4616" max="4616" width="40" style="12" customWidth="1"/>
    <col min="4617" max="4617" width="6.375" style="12" customWidth="1"/>
    <col min="4618" max="4618" width="6.625" style="12" bestFit="1" customWidth="1"/>
    <col min="4619" max="4619" width="8.25" style="12" bestFit="1" customWidth="1"/>
    <col min="4620" max="4620" width="4.125" style="12" customWidth="1"/>
    <col min="4621" max="4621" width="8.5" style="12" customWidth="1"/>
    <col min="4622" max="4622" width="40" style="12" customWidth="1"/>
    <col min="4623" max="4623" width="6.375" style="12" customWidth="1"/>
    <col min="4624" max="4624" width="6.625" style="12" bestFit="1" customWidth="1"/>
    <col min="4625" max="4625" width="8.25" style="12" bestFit="1" customWidth="1"/>
    <col min="4626" max="4864" width="9" style="12"/>
    <col min="4865" max="4865" width="8.5" style="12" customWidth="1"/>
    <col min="4866" max="4866" width="40" style="12" customWidth="1"/>
    <col min="4867" max="4867" width="6.375" style="12" bestFit="1" customWidth="1"/>
    <col min="4868" max="4868" width="6.625" style="12" bestFit="1" customWidth="1"/>
    <col min="4869" max="4869" width="8.25" style="12" bestFit="1" customWidth="1"/>
    <col min="4870" max="4870" width="4.125" style="12" customWidth="1"/>
    <col min="4871" max="4871" width="8.5" style="12" customWidth="1"/>
    <col min="4872" max="4872" width="40" style="12" customWidth="1"/>
    <col min="4873" max="4873" width="6.375" style="12" customWidth="1"/>
    <col min="4874" max="4874" width="6.625" style="12" bestFit="1" customWidth="1"/>
    <col min="4875" max="4875" width="8.25" style="12" bestFit="1" customWidth="1"/>
    <col min="4876" max="4876" width="4.125" style="12" customWidth="1"/>
    <col min="4877" max="4877" width="8.5" style="12" customWidth="1"/>
    <col min="4878" max="4878" width="40" style="12" customWidth="1"/>
    <col min="4879" max="4879" width="6.375" style="12" customWidth="1"/>
    <col min="4880" max="4880" width="6.625" style="12" bestFit="1" customWidth="1"/>
    <col min="4881" max="4881" width="8.25" style="12" bestFit="1" customWidth="1"/>
    <col min="4882" max="5120" width="9" style="12"/>
    <col min="5121" max="5121" width="8.5" style="12" customWidth="1"/>
    <col min="5122" max="5122" width="40" style="12" customWidth="1"/>
    <col min="5123" max="5123" width="6.375" style="12" bestFit="1" customWidth="1"/>
    <col min="5124" max="5124" width="6.625" style="12" bestFit="1" customWidth="1"/>
    <col min="5125" max="5125" width="8.25" style="12" bestFit="1" customWidth="1"/>
    <col min="5126" max="5126" width="4.125" style="12" customWidth="1"/>
    <col min="5127" max="5127" width="8.5" style="12" customWidth="1"/>
    <col min="5128" max="5128" width="40" style="12" customWidth="1"/>
    <col min="5129" max="5129" width="6.375" style="12" customWidth="1"/>
    <col min="5130" max="5130" width="6.625" style="12" bestFit="1" customWidth="1"/>
    <col min="5131" max="5131" width="8.25" style="12" bestFit="1" customWidth="1"/>
    <col min="5132" max="5132" width="4.125" style="12" customWidth="1"/>
    <col min="5133" max="5133" width="8.5" style="12" customWidth="1"/>
    <col min="5134" max="5134" width="40" style="12" customWidth="1"/>
    <col min="5135" max="5135" width="6.375" style="12" customWidth="1"/>
    <col min="5136" max="5136" width="6.625" style="12" bestFit="1" customWidth="1"/>
    <col min="5137" max="5137" width="8.25" style="12" bestFit="1" customWidth="1"/>
    <col min="5138" max="5376" width="9" style="12"/>
    <col min="5377" max="5377" width="8.5" style="12" customWidth="1"/>
    <col min="5378" max="5378" width="40" style="12" customWidth="1"/>
    <col min="5379" max="5379" width="6.375" style="12" bestFit="1" customWidth="1"/>
    <col min="5380" max="5380" width="6.625" style="12" bestFit="1" customWidth="1"/>
    <col min="5381" max="5381" width="8.25" style="12" bestFit="1" customWidth="1"/>
    <col min="5382" max="5382" width="4.125" style="12" customWidth="1"/>
    <col min="5383" max="5383" width="8.5" style="12" customWidth="1"/>
    <col min="5384" max="5384" width="40" style="12" customWidth="1"/>
    <col min="5385" max="5385" width="6.375" style="12" customWidth="1"/>
    <col min="5386" max="5386" width="6.625" style="12" bestFit="1" customWidth="1"/>
    <col min="5387" max="5387" width="8.25" style="12" bestFit="1" customWidth="1"/>
    <col min="5388" max="5388" width="4.125" style="12" customWidth="1"/>
    <col min="5389" max="5389" width="8.5" style="12" customWidth="1"/>
    <col min="5390" max="5390" width="40" style="12" customWidth="1"/>
    <col min="5391" max="5391" width="6.375" style="12" customWidth="1"/>
    <col min="5392" max="5392" width="6.625" style="12" bestFit="1" customWidth="1"/>
    <col min="5393" max="5393" width="8.25" style="12" bestFit="1" customWidth="1"/>
    <col min="5394" max="5632" width="9" style="12"/>
    <col min="5633" max="5633" width="8.5" style="12" customWidth="1"/>
    <col min="5634" max="5634" width="40" style="12" customWidth="1"/>
    <col min="5635" max="5635" width="6.375" style="12" bestFit="1" customWidth="1"/>
    <col min="5636" max="5636" width="6.625" style="12" bestFit="1" customWidth="1"/>
    <col min="5637" max="5637" width="8.25" style="12" bestFit="1" customWidth="1"/>
    <col min="5638" max="5638" width="4.125" style="12" customWidth="1"/>
    <col min="5639" max="5639" width="8.5" style="12" customWidth="1"/>
    <col min="5640" max="5640" width="40" style="12" customWidth="1"/>
    <col min="5641" max="5641" width="6.375" style="12" customWidth="1"/>
    <col min="5642" max="5642" width="6.625" style="12" bestFit="1" customWidth="1"/>
    <col min="5643" max="5643" width="8.25" style="12" bestFit="1" customWidth="1"/>
    <col min="5644" max="5644" width="4.125" style="12" customWidth="1"/>
    <col min="5645" max="5645" width="8.5" style="12" customWidth="1"/>
    <col min="5646" max="5646" width="40" style="12" customWidth="1"/>
    <col min="5647" max="5647" width="6.375" style="12" customWidth="1"/>
    <col min="5648" max="5648" width="6.625" style="12" bestFit="1" customWidth="1"/>
    <col min="5649" max="5649" width="8.25" style="12" bestFit="1" customWidth="1"/>
    <col min="5650" max="5888" width="9" style="12"/>
    <col min="5889" max="5889" width="8.5" style="12" customWidth="1"/>
    <col min="5890" max="5890" width="40" style="12" customWidth="1"/>
    <col min="5891" max="5891" width="6.375" style="12" bestFit="1" customWidth="1"/>
    <col min="5892" max="5892" width="6.625" style="12" bestFit="1" customWidth="1"/>
    <col min="5893" max="5893" width="8.25" style="12" bestFit="1" customWidth="1"/>
    <col min="5894" max="5894" width="4.125" style="12" customWidth="1"/>
    <col min="5895" max="5895" width="8.5" style="12" customWidth="1"/>
    <col min="5896" max="5896" width="40" style="12" customWidth="1"/>
    <col min="5897" max="5897" width="6.375" style="12" customWidth="1"/>
    <col min="5898" max="5898" width="6.625" style="12" bestFit="1" customWidth="1"/>
    <col min="5899" max="5899" width="8.25" style="12" bestFit="1" customWidth="1"/>
    <col min="5900" max="5900" width="4.125" style="12" customWidth="1"/>
    <col min="5901" max="5901" width="8.5" style="12" customWidth="1"/>
    <col min="5902" max="5902" width="40" style="12" customWidth="1"/>
    <col min="5903" max="5903" width="6.375" style="12" customWidth="1"/>
    <col min="5904" max="5904" width="6.625" style="12" bestFit="1" customWidth="1"/>
    <col min="5905" max="5905" width="8.25" style="12" bestFit="1" customWidth="1"/>
    <col min="5906" max="6144" width="9" style="12"/>
    <col min="6145" max="6145" width="8.5" style="12" customWidth="1"/>
    <col min="6146" max="6146" width="40" style="12" customWidth="1"/>
    <col min="6147" max="6147" width="6.375" style="12" bestFit="1" customWidth="1"/>
    <col min="6148" max="6148" width="6.625" style="12" bestFit="1" customWidth="1"/>
    <col min="6149" max="6149" width="8.25" style="12" bestFit="1" customWidth="1"/>
    <col min="6150" max="6150" width="4.125" style="12" customWidth="1"/>
    <col min="6151" max="6151" width="8.5" style="12" customWidth="1"/>
    <col min="6152" max="6152" width="40" style="12" customWidth="1"/>
    <col min="6153" max="6153" width="6.375" style="12" customWidth="1"/>
    <col min="6154" max="6154" width="6.625" style="12" bestFit="1" customWidth="1"/>
    <col min="6155" max="6155" width="8.25" style="12" bestFit="1" customWidth="1"/>
    <col min="6156" max="6156" width="4.125" style="12" customWidth="1"/>
    <col min="6157" max="6157" width="8.5" style="12" customWidth="1"/>
    <col min="6158" max="6158" width="40" style="12" customWidth="1"/>
    <col min="6159" max="6159" width="6.375" style="12" customWidth="1"/>
    <col min="6160" max="6160" width="6.625" style="12" bestFit="1" customWidth="1"/>
    <col min="6161" max="6161" width="8.25" style="12" bestFit="1" customWidth="1"/>
    <col min="6162" max="6400" width="9" style="12"/>
    <col min="6401" max="6401" width="8.5" style="12" customWidth="1"/>
    <col min="6402" max="6402" width="40" style="12" customWidth="1"/>
    <col min="6403" max="6403" width="6.375" style="12" bestFit="1" customWidth="1"/>
    <col min="6404" max="6404" width="6.625" style="12" bestFit="1" customWidth="1"/>
    <col min="6405" max="6405" width="8.25" style="12" bestFit="1" customWidth="1"/>
    <col min="6406" max="6406" width="4.125" style="12" customWidth="1"/>
    <col min="6407" max="6407" width="8.5" style="12" customWidth="1"/>
    <col min="6408" max="6408" width="40" style="12" customWidth="1"/>
    <col min="6409" max="6409" width="6.375" style="12" customWidth="1"/>
    <col min="6410" max="6410" width="6.625" style="12" bestFit="1" customWidth="1"/>
    <col min="6411" max="6411" width="8.25" style="12" bestFit="1" customWidth="1"/>
    <col min="6412" max="6412" width="4.125" style="12" customWidth="1"/>
    <col min="6413" max="6413" width="8.5" style="12" customWidth="1"/>
    <col min="6414" max="6414" width="40" style="12" customWidth="1"/>
    <col min="6415" max="6415" width="6.375" style="12" customWidth="1"/>
    <col min="6416" max="6416" width="6.625" style="12" bestFit="1" customWidth="1"/>
    <col min="6417" max="6417" width="8.25" style="12" bestFit="1" customWidth="1"/>
    <col min="6418" max="6656" width="9" style="12"/>
    <col min="6657" max="6657" width="8.5" style="12" customWidth="1"/>
    <col min="6658" max="6658" width="40" style="12" customWidth="1"/>
    <col min="6659" max="6659" width="6.375" style="12" bestFit="1" customWidth="1"/>
    <col min="6660" max="6660" width="6.625" style="12" bestFit="1" customWidth="1"/>
    <col min="6661" max="6661" width="8.25" style="12" bestFit="1" customWidth="1"/>
    <col min="6662" max="6662" width="4.125" style="12" customWidth="1"/>
    <col min="6663" max="6663" width="8.5" style="12" customWidth="1"/>
    <col min="6664" max="6664" width="40" style="12" customWidth="1"/>
    <col min="6665" max="6665" width="6.375" style="12" customWidth="1"/>
    <col min="6666" max="6666" width="6.625" style="12" bestFit="1" customWidth="1"/>
    <col min="6667" max="6667" width="8.25" style="12" bestFit="1" customWidth="1"/>
    <col min="6668" max="6668" width="4.125" style="12" customWidth="1"/>
    <col min="6669" max="6669" width="8.5" style="12" customWidth="1"/>
    <col min="6670" max="6670" width="40" style="12" customWidth="1"/>
    <col min="6671" max="6671" width="6.375" style="12" customWidth="1"/>
    <col min="6672" max="6672" width="6.625" style="12" bestFit="1" customWidth="1"/>
    <col min="6673" max="6673" width="8.25" style="12" bestFit="1" customWidth="1"/>
    <col min="6674" max="6912" width="9" style="12"/>
    <col min="6913" max="6913" width="8.5" style="12" customWidth="1"/>
    <col min="6914" max="6914" width="40" style="12" customWidth="1"/>
    <col min="6915" max="6915" width="6.375" style="12" bestFit="1" customWidth="1"/>
    <col min="6916" max="6916" width="6.625" style="12" bestFit="1" customWidth="1"/>
    <col min="6917" max="6917" width="8.25" style="12" bestFit="1" customWidth="1"/>
    <col min="6918" max="6918" width="4.125" style="12" customWidth="1"/>
    <col min="6919" max="6919" width="8.5" style="12" customWidth="1"/>
    <col min="6920" max="6920" width="40" style="12" customWidth="1"/>
    <col min="6921" max="6921" width="6.375" style="12" customWidth="1"/>
    <col min="6922" max="6922" width="6.625" style="12" bestFit="1" customWidth="1"/>
    <col min="6923" max="6923" width="8.25" style="12" bestFit="1" customWidth="1"/>
    <col min="6924" max="6924" width="4.125" style="12" customWidth="1"/>
    <col min="6925" max="6925" width="8.5" style="12" customWidth="1"/>
    <col min="6926" max="6926" width="40" style="12" customWidth="1"/>
    <col min="6927" max="6927" width="6.375" style="12" customWidth="1"/>
    <col min="6928" max="6928" width="6.625" style="12" bestFit="1" customWidth="1"/>
    <col min="6929" max="6929" width="8.25" style="12" bestFit="1" customWidth="1"/>
    <col min="6930" max="7168" width="9" style="12"/>
    <col min="7169" max="7169" width="8.5" style="12" customWidth="1"/>
    <col min="7170" max="7170" width="40" style="12" customWidth="1"/>
    <col min="7171" max="7171" width="6.375" style="12" bestFit="1" customWidth="1"/>
    <col min="7172" max="7172" width="6.625" style="12" bestFit="1" customWidth="1"/>
    <col min="7173" max="7173" width="8.25" style="12" bestFit="1" customWidth="1"/>
    <col min="7174" max="7174" width="4.125" style="12" customWidth="1"/>
    <col min="7175" max="7175" width="8.5" style="12" customWidth="1"/>
    <col min="7176" max="7176" width="40" style="12" customWidth="1"/>
    <col min="7177" max="7177" width="6.375" style="12" customWidth="1"/>
    <col min="7178" max="7178" width="6.625" style="12" bestFit="1" customWidth="1"/>
    <col min="7179" max="7179" width="8.25" style="12" bestFit="1" customWidth="1"/>
    <col min="7180" max="7180" width="4.125" style="12" customWidth="1"/>
    <col min="7181" max="7181" width="8.5" style="12" customWidth="1"/>
    <col min="7182" max="7182" width="40" style="12" customWidth="1"/>
    <col min="7183" max="7183" width="6.375" style="12" customWidth="1"/>
    <col min="7184" max="7184" width="6.625" style="12" bestFit="1" customWidth="1"/>
    <col min="7185" max="7185" width="8.25" style="12" bestFit="1" customWidth="1"/>
    <col min="7186" max="7424" width="9" style="12"/>
    <col min="7425" max="7425" width="8.5" style="12" customWidth="1"/>
    <col min="7426" max="7426" width="40" style="12" customWidth="1"/>
    <col min="7427" max="7427" width="6.375" style="12" bestFit="1" customWidth="1"/>
    <col min="7428" max="7428" width="6.625" style="12" bestFit="1" customWidth="1"/>
    <col min="7429" max="7429" width="8.25" style="12" bestFit="1" customWidth="1"/>
    <col min="7430" max="7430" width="4.125" style="12" customWidth="1"/>
    <col min="7431" max="7431" width="8.5" style="12" customWidth="1"/>
    <col min="7432" max="7432" width="40" style="12" customWidth="1"/>
    <col min="7433" max="7433" width="6.375" style="12" customWidth="1"/>
    <col min="7434" max="7434" width="6.625" style="12" bestFit="1" customWidth="1"/>
    <col min="7435" max="7435" width="8.25" style="12" bestFit="1" customWidth="1"/>
    <col min="7436" max="7436" width="4.125" style="12" customWidth="1"/>
    <col min="7437" max="7437" width="8.5" style="12" customWidth="1"/>
    <col min="7438" max="7438" width="40" style="12" customWidth="1"/>
    <col min="7439" max="7439" width="6.375" style="12" customWidth="1"/>
    <col min="7440" max="7440" width="6.625" style="12" bestFit="1" customWidth="1"/>
    <col min="7441" max="7441" width="8.25" style="12" bestFit="1" customWidth="1"/>
    <col min="7442" max="7680" width="9" style="12"/>
    <col min="7681" max="7681" width="8.5" style="12" customWidth="1"/>
    <col min="7682" max="7682" width="40" style="12" customWidth="1"/>
    <col min="7683" max="7683" width="6.375" style="12" bestFit="1" customWidth="1"/>
    <col min="7684" max="7684" width="6.625" style="12" bestFit="1" customWidth="1"/>
    <col min="7685" max="7685" width="8.25" style="12" bestFit="1" customWidth="1"/>
    <col min="7686" max="7686" width="4.125" style="12" customWidth="1"/>
    <col min="7687" max="7687" width="8.5" style="12" customWidth="1"/>
    <col min="7688" max="7688" width="40" style="12" customWidth="1"/>
    <col min="7689" max="7689" width="6.375" style="12" customWidth="1"/>
    <col min="7690" max="7690" width="6.625" style="12" bestFit="1" customWidth="1"/>
    <col min="7691" max="7691" width="8.25" style="12" bestFit="1" customWidth="1"/>
    <col min="7692" max="7692" width="4.125" style="12" customWidth="1"/>
    <col min="7693" max="7693" width="8.5" style="12" customWidth="1"/>
    <col min="7694" max="7694" width="40" style="12" customWidth="1"/>
    <col min="7695" max="7695" width="6.375" style="12" customWidth="1"/>
    <col min="7696" max="7696" width="6.625" style="12" bestFit="1" customWidth="1"/>
    <col min="7697" max="7697" width="8.25" style="12" bestFit="1" customWidth="1"/>
    <col min="7698" max="7936" width="9" style="12"/>
    <col min="7937" max="7937" width="8.5" style="12" customWidth="1"/>
    <col min="7938" max="7938" width="40" style="12" customWidth="1"/>
    <col min="7939" max="7939" width="6.375" style="12" bestFit="1" customWidth="1"/>
    <col min="7940" max="7940" width="6.625" style="12" bestFit="1" customWidth="1"/>
    <col min="7941" max="7941" width="8.25" style="12" bestFit="1" customWidth="1"/>
    <col min="7942" max="7942" width="4.125" style="12" customWidth="1"/>
    <col min="7943" max="7943" width="8.5" style="12" customWidth="1"/>
    <col min="7944" max="7944" width="40" style="12" customWidth="1"/>
    <col min="7945" max="7945" width="6.375" style="12" customWidth="1"/>
    <col min="7946" max="7946" width="6.625" style="12" bestFit="1" customWidth="1"/>
    <col min="7947" max="7947" width="8.25" style="12" bestFit="1" customWidth="1"/>
    <col min="7948" max="7948" width="4.125" style="12" customWidth="1"/>
    <col min="7949" max="7949" width="8.5" style="12" customWidth="1"/>
    <col min="7950" max="7950" width="40" style="12" customWidth="1"/>
    <col min="7951" max="7951" width="6.375" style="12" customWidth="1"/>
    <col min="7952" max="7952" width="6.625" style="12" bestFit="1" customWidth="1"/>
    <col min="7953" max="7953" width="8.25" style="12" bestFit="1" customWidth="1"/>
    <col min="7954" max="8192" width="9" style="12"/>
    <col min="8193" max="8193" width="8.5" style="12" customWidth="1"/>
    <col min="8194" max="8194" width="40" style="12" customWidth="1"/>
    <col min="8195" max="8195" width="6.375" style="12" bestFit="1" customWidth="1"/>
    <col min="8196" max="8196" width="6.625" style="12" bestFit="1" customWidth="1"/>
    <col min="8197" max="8197" width="8.25" style="12" bestFit="1" customWidth="1"/>
    <col min="8198" max="8198" width="4.125" style="12" customWidth="1"/>
    <col min="8199" max="8199" width="8.5" style="12" customWidth="1"/>
    <col min="8200" max="8200" width="40" style="12" customWidth="1"/>
    <col min="8201" max="8201" width="6.375" style="12" customWidth="1"/>
    <col min="8202" max="8202" width="6.625" style="12" bestFit="1" customWidth="1"/>
    <col min="8203" max="8203" width="8.25" style="12" bestFit="1" customWidth="1"/>
    <col min="8204" max="8204" width="4.125" style="12" customWidth="1"/>
    <col min="8205" max="8205" width="8.5" style="12" customWidth="1"/>
    <col min="8206" max="8206" width="40" style="12" customWidth="1"/>
    <col min="8207" max="8207" width="6.375" style="12" customWidth="1"/>
    <col min="8208" max="8208" width="6.625" style="12" bestFit="1" customWidth="1"/>
    <col min="8209" max="8209" width="8.25" style="12" bestFit="1" customWidth="1"/>
    <col min="8210" max="8448" width="9" style="12"/>
    <col min="8449" max="8449" width="8.5" style="12" customWidth="1"/>
    <col min="8450" max="8450" width="40" style="12" customWidth="1"/>
    <col min="8451" max="8451" width="6.375" style="12" bestFit="1" customWidth="1"/>
    <col min="8452" max="8452" width="6.625" style="12" bestFit="1" customWidth="1"/>
    <col min="8453" max="8453" width="8.25" style="12" bestFit="1" customWidth="1"/>
    <col min="8454" max="8454" width="4.125" style="12" customWidth="1"/>
    <col min="8455" max="8455" width="8.5" style="12" customWidth="1"/>
    <col min="8456" max="8456" width="40" style="12" customWidth="1"/>
    <col min="8457" max="8457" width="6.375" style="12" customWidth="1"/>
    <col min="8458" max="8458" width="6.625" style="12" bestFit="1" customWidth="1"/>
    <col min="8459" max="8459" width="8.25" style="12" bestFit="1" customWidth="1"/>
    <col min="8460" max="8460" width="4.125" style="12" customWidth="1"/>
    <col min="8461" max="8461" width="8.5" style="12" customWidth="1"/>
    <col min="8462" max="8462" width="40" style="12" customWidth="1"/>
    <col min="8463" max="8463" width="6.375" style="12" customWidth="1"/>
    <col min="8464" max="8464" width="6.625" style="12" bestFit="1" customWidth="1"/>
    <col min="8465" max="8465" width="8.25" style="12" bestFit="1" customWidth="1"/>
    <col min="8466" max="8704" width="9" style="12"/>
    <col min="8705" max="8705" width="8.5" style="12" customWidth="1"/>
    <col min="8706" max="8706" width="40" style="12" customWidth="1"/>
    <col min="8707" max="8707" width="6.375" style="12" bestFit="1" customWidth="1"/>
    <col min="8708" max="8708" width="6.625" style="12" bestFit="1" customWidth="1"/>
    <col min="8709" max="8709" width="8.25" style="12" bestFit="1" customWidth="1"/>
    <col min="8710" max="8710" width="4.125" style="12" customWidth="1"/>
    <col min="8711" max="8711" width="8.5" style="12" customWidth="1"/>
    <col min="8712" max="8712" width="40" style="12" customWidth="1"/>
    <col min="8713" max="8713" width="6.375" style="12" customWidth="1"/>
    <col min="8714" max="8714" width="6.625" style="12" bestFit="1" customWidth="1"/>
    <col min="8715" max="8715" width="8.25" style="12" bestFit="1" customWidth="1"/>
    <col min="8716" max="8716" width="4.125" style="12" customWidth="1"/>
    <col min="8717" max="8717" width="8.5" style="12" customWidth="1"/>
    <col min="8718" max="8718" width="40" style="12" customWidth="1"/>
    <col min="8719" max="8719" width="6.375" style="12" customWidth="1"/>
    <col min="8720" max="8720" width="6.625" style="12" bestFit="1" customWidth="1"/>
    <col min="8721" max="8721" width="8.25" style="12" bestFit="1" customWidth="1"/>
    <col min="8722" max="8960" width="9" style="12"/>
    <col min="8961" max="8961" width="8.5" style="12" customWidth="1"/>
    <col min="8962" max="8962" width="40" style="12" customWidth="1"/>
    <col min="8963" max="8963" width="6.375" style="12" bestFit="1" customWidth="1"/>
    <col min="8964" max="8964" width="6.625" style="12" bestFit="1" customWidth="1"/>
    <col min="8965" max="8965" width="8.25" style="12" bestFit="1" customWidth="1"/>
    <col min="8966" max="8966" width="4.125" style="12" customWidth="1"/>
    <col min="8967" max="8967" width="8.5" style="12" customWidth="1"/>
    <col min="8968" max="8968" width="40" style="12" customWidth="1"/>
    <col min="8969" max="8969" width="6.375" style="12" customWidth="1"/>
    <col min="8970" max="8970" width="6.625" style="12" bestFit="1" customWidth="1"/>
    <col min="8971" max="8971" width="8.25" style="12" bestFit="1" customWidth="1"/>
    <col min="8972" max="8972" width="4.125" style="12" customWidth="1"/>
    <col min="8973" max="8973" width="8.5" style="12" customWidth="1"/>
    <col min="8974" max="8974" width="40" style="12" customWidth="1"/>
    <col min="8975" max="8975" width="6.375" style="12" customWidth="1"/>
    <col min="8976" max="8976" width="6.625" style="12" bestFit="1" customWidth="1"/>
    <col min="8977" max="8977" width="8.25" style="12" bestFit="1" customWidth="1"/>
    <col min="8978" max="9216" width="9" style="12"/>
    <col min="9217" max="9217" width="8.5" style="12" customWidth="1"/>
    <col min="9218" max="9218" width="40" style="12" customWidth="1"/>
    <col min="9219" max="9219" width="6.375" style="12" bestFit="1" customWidth="1"/>
    <col min="9220" max="9220" width="6.625" style="12" bestFit="1" customWidth="1"/>
    <col min="9221" max="9221" width="8.25" style="12" bestFit="1" customWidth="1"/>
    <col min="9222" max="9222" width="4.125" style="12" customWidth="1"/>
    <col min="9223" max="9223" width="8.5" style="12" customWidth="1"/>
    <col min="9224" max="9224" width="40" style="12" customWidth="1"/>
    <col min="9225" max="9225" width="6.375" style="12" customWidth="1"/>
    <col min="9226" max="9226" width="6.625" style="12" bestFit="1" customWidth="1"/>
    <col min="9227" max="9227" width="8.25" style="12" bestFit="1" customWidth="1"/>
    <col min="9228" max="9228" width="4.125" style="12" customWidth="1"/>
    <col min="9229" max="9229" width="8.5" style="12" customWidth="1"/>
    <col min="9230" max="9230" width="40" style="12" customWidth="1"/>
    <col min="9231" max="9231" width="6.375" style="12" customWidth="1"/>
    <col min="9232" max="9232" width="6.625" style="12" bestFit="1" customWidth="1"/>
    <col min="9233" max="9233" width="8.25" style="12" bestFit="1" customWidth="1"/>
    <col min="9234" max="9472" width="9" style="12"/>
    <col min="9473" max="9473" width="8.5" style="12" customWidth="1"/>
    <col min="9474" max="9474" width="40" style="12" customWidth="1"/>
    <col min="9475" max="9475" width="6.375" style="12" bestFit="1" customWidth="1"/>
    <col min="9476" max="9476" width="6.625" style="12" bestFit="1" customWidth="1"/>
    <col min="9477" max="9477" width="8.25" style="12" bestFit="1" customWidth="1"/>
    <col min="9478" max="9478" width="4.125" style="12" customWidth="1"/>
    <col min="9479" max="9479" width="8.5" style="12" customWidth="1"/>
    <col min="9480" max="9480" width="40" style="12" customWidth="1"/>
    <col min="9481" max="9481" width="6.375" style="12" customWidth="1"/>
    <col min="9482" max="9482" width="6.625" style="12" bestFit="1" customWidth="1"/>
    <col min="9483" max="9483" width="8.25" style="12" bestFit="1" customWidth="1"/>
    <col min="9484" max="9484" width="4.125" style="12" customWidth="1"/>
    <col min="9485" max="9485" width="8.5" style="12" customWidth="1"/>
    <col min="9486" max="9486" width="40" style="12" customWidth="1"/>
    <col min="9487" max="9487" width="6.375" style="12" customWidth="1"/>
    <col min="9488" max="9488" width="6.625" style="12" bestFit="1" customWidth="1"/>
    <col min="9489" max="9489" width="8.25" style="12" bestFit="1" customWidth="1"/>
    <col min="9490" max="9728" width="9" style="12"/>
    <col min="9729" max="9729" width="8.5" style="12" customWidth="1"/>
    <col min="9730" max="9730" width="40" style="12" customWidth="1"/>
    <col min="9731" max="9731" width="6.375" style="12" bestFit="1" customWidth="1"/>
    <col min="9732" max="9732" width="6.625" style="12" bestFit="1" customWidth="1"/>
    <col min="9733" max="9733" width="8.25" style="12" bestFit="1" customWidth="1"/>
    <col min="9734" max="9734" width="4.125" style="12" customWidth="1"/>
    <col min="9735" max="9735" width="8.5" style="12" customWidth="1"/>
    <col min="9736" max="9736" width="40" style="12" customWidth="1"/>
    <col min="9737" max="9737" width="6.375" style="12" customWidth="1"/>
    <col min="9738" max="9738" width="6.625" style="12" bestFit="1" customWidth="1"/>
    <col min="9739" max="9739" width="8.25" style="12" bestFit="1" customWidth="1"/>
    <col min="9740" max="9740" width="4.125" style="12" customWidth="1"/>
    <col min="9741" max="9741" width="8.5" style="12" customWidth="1"/>
    <col min="9742" max="9742" width="40" style="12" customWidth="1"/>
    <col min="9743" max="9743" width="6.375" style="12" customWidth="1"/>
    <col min="9744" max="9744" width="6.625" style="12" bestFit="1" customWidth="1"/>
    <col min="9745" max="9745" width="8.25" style="12" bestFit="1" customWidth="1"/>
    <col min="9746" max="9984" width="9" style="12"/>
    <col min="9985" max="9985" width="8.5" style="12" customWidth="1"/>
    <col min="9986" max="9986" width="40" style="12" customWidth="1"/>
    <col min="9987" max="9987" width="6.375" style="12" bestFit="1" customWidth="1"/>
    <col min="9988" max="9988" width="6.625" style="12" bestFit="1" customWidth="1"/>
    <col min="9989" max="9989" width="8.25" style="12" bestFit="1" customWidth="1"/>
    <col min="9990" max="9990" width="4.125" style="12" customWidth="1"/>
    <col min="9991" max="9991" width="8.5" style="12" customWidth="1"/>
    <col min="9992" max="9992" width="40" style="12" customWidth="1"/>
    <col min="9993" max="9993" width="6.375" style="12" customWidth="1"/>
    <col min="9994" max="9994" width="6.625" style="12" bestFit="1" customWidth="1"/>
    <col min="9995" max="9995" width="8.25" style="12" bestFit="1" customWidth="1"/>
    <col min="9996" max="9996" width="4.125" style="12" customWidth="1"/>
    <col min="9997" max="9997" width="8.5" style="12" customWidth="1"/>
    <col min="9998" max="9998" width="40" style="12" customWidth="1"/>
    <col min="9999" max="9999" width="6.375" style="12" customWidth="1"/>
    <col min="10000" max="10000" width="6.625" style="12" bestFit="1" customWidth="1"/>
    <col min="10001" max="10001" width="8.25" style="12" bestFit="1" customWidth="1"/>
    <col min="10002" max="10240" width="9" style="12"/>
    <col min="10241" max="10241" width="8.5" style="12" customWidth="1"/>
    <col min="10242" max="10242" width="40" style="12" customWidth="1"/>
    <col min="10243" max="10243" width="6.375" style="12" bestFit="1" customWidth="1"/>
    <col min="10244" max="10244" width="6.625" style="12" bestFit="1" customWidth="1"/>
    <col min="10245" max="10245" width="8.25" style="12" bestFit="1" customWidth="1"/>
    <col min="10246" max="10246" width="4.125" style="12" customWidth="1"/>
    <col min="10247" max="10247" width="8.5" style="12" customWidth="1"/>
    <col min="10248" max="10248" width="40" style="12" customWidth="1"/>
    <col min="10249" max="10249" width="6.375" style="12" customWidth="1"/>
    <col min="10250" max="10250" width="6.625" style="12" bestFit="1" customWidth="1"/>
    <col min="10251" max="10251" width="8.25" style="12" bestFit="1" customWidth="1"/>
    <col min="10252" max="10252" width="4.125" style="12" customWidth="1"/>
    <col min="10253" max="10253" width="8.5" style="12" customWidth="1"/>
    <col min="10254" max="10254" width="40" style="12" customWidth="1"/>
    <col min="10255" max="10255" width="6.375" style="12" customWidth="1"/>
    <col min="10256" max="10256" width="6.625" style="12" bestFit="1" customWidth="1"/>
    <col min="10257" max="10257" width="8.25" style="12" bestFit="1" customWidth="1"/>
    <col min="10258" max="10496" width="9" style="12"/>
    <col min="10497" max="10497" width="8.5" style="12" customWidth="1"/>
    <col min="10498" max="10498" width="40" style="12" customWidth="1"/>
    <col min="10499" max="10499" width="6.375" style="12" bestFit="1" customWidth="1"/>
    <col min="10500" max="10500" width="6.625" style="12" bestFit="1" customWidth="1"/>
    <col min="10501" max="10501" width="8.25" style="12" bestFit="1" customWidth="1"/>
    <col min="10502" max="10502" width="4.125" style="12" customWidth="1"/>
    <col min="10503" max="10503" width="8.5" style="12" customWidth="1"/>
    <col min="10504" max="10504" width="40" style="12" customWidth="1"/>
    <col min="10505" max="10505" width="6.375" style="12" customWidth="1"/>
    <col min="10506" max="10506" width="6.625" style="12" bestFit="1" customWidth="1"/>
    <col min="10507" max="10507" width="8.25" style="12" bestFit="1" customWidth="1"/>
    <col min="10508" max="10508" width="4.125" style="12" customWidth="1"/>
    <col min="10509" max="10509" width="8.5" style="12" customWidth="1"/>
    <col min="10510" max="10510" width="40" style="12" customWidth="1"/>
    <col min="10511" max="10511" width="6.375" style="12" customWidth="1"/>
    <col min="10512" max="10512" width="6.625" style="12" bestFit="1" customWidth="1"/>
    <col min="10513" max="10513" width="8.25" style="12" bestFit="1" customWidth="1"/>
    <col min="10514" max="10752" width="9" style="12"/>
    <col min="10753" max="10753" width="8.5" style="12" customWidth="1"/>
    <col min="10754" max="10754" width="40" style="12" customWidth="1"/>
    <col min="10755" max="10755" width="6.375" style="12" bestFit="1" customWidth="1"/>
    <col min="10756" max="10756" width="6.625" style="12" bestFit="1" customWidth="1"/>
    <col min="10757" max="10757" width="8.25" style="12" bestFit="1" customWidth="1"/>
    <col min="10758" max="10758" width="4.125" style="12" customWidth="1"/>
    <col min="10759" max="10759" width="8.5" style="12" customWidth="1"/>
    <col min="10760" max="10760" width="40" style="12" customWidth="1"/>
    <col min="10761" max="10761" width="6.375" style="12" customWidth="1"/>
    <col min="10762" max="10762" width="6.625" style="12" bestFit="1" customWidth="1"/>
    <col min="10763" max="10763" width="8.25" style="12" bestFit="1" customWidth="1"/>
    <col min="10764" max="10764" width="4.125" style="12" customWidth="1"/>
    <col min="10765" max="10765" width="8.5" style="12" customWidth="1"/>
    <col min="10766" max="10766" width="40" style="12" customWidth="1"/>
    <col min="10767" max="10767" width="6.375" style="12" customWidth="1"/>
    <col min="10768" max="10768" width="6.625" style="12" bestFit="1" customWidth="1"/>
    <col min="10769" max="10769" width="8.25" style="12" bestFit="1" customWidth="1"/>
    <col min="10770" max="11008" width="9" style="12"/>
    <col min="11009" max="11009" width="8.5" style="12" customWidth="1"/>
    <col min="11010" max="11010" width="40" style="12" customWidth="1"/>
    <col min="11011" max="11011" width="6.375" style="12" bestFit="1" customWidth="1"/>
    <col min="11012" max="11012" width="6.625" style="12" bestFit="1" customWidth="1"/>
    <col min="11013" max="11013" width="8.25" style="12" bestFit="1" customWidth="1"/>
    <col min="11014" max="11014" width="4.125" style="12" customWidth="1"/>
    <col min="11015" max="11015" width="8.5" style="12" customWidth="1"/>
    <col min="11016" max="11016" width="40" style="12" customWidth="1"/>
    <col min="11017" max="11017" width="6.375" style="12" customWidth="1"/>
    <col min="11018" max="11018" width="6.625" style="12" bestFit="1" customWidth="1"/>
    <col min="11019" max="11019" width="8.25" style="12" bestFit="1" customWidth="1"/>
    <col min="11020" max="11020" width="4.125" style="12" customWidth="1"/>
    <col min="11021" max="11021" width="8.5" style="12" customWidth="1"/>
    <col min="11022" max="11022" width="40" style="12" customWidth="1"/>
    <col min="11023" max="11023" width="6.375" style="12" customWidth="1"/>
    <col min="11024" max="11024" width="6.625" style="12" bestFit="1" customWidth="1"/>
    <col min="11025" max="11025" width="8.25" style="12" bestFit="1" customWidth="1"/>
    <col min="11026" max="11264" width="9" style="12"/>
    <col min="11265" max="11265" width="8.5" style="12" customWidth="1"/>
    <col min="11266" max="11266" width="40" style="12" customWidth="1"/>
    <col min="11267" max="11267" width="6.375" style="12" bestFit="1" customWidth="1"/>
    <col min="11268" max="11268" width="6.625" style="12" bestFit="1" customWidth="1"/>
    <col min="11269" max="11269" width="8.25" style="12" bestFit="1" customWidth="1"/>
    <col min="11270" max="11270" width="4.125" style="12" customWidth="1"/>
    <col min="11271" max="11271" width="8.5" style="12" customWidth="1"/>
    <col min="11272" max="11272" width="40" style="12" customWidth="1"/>
    <col min="11273" max="11273" width="6.375" style="12" customWidth="1"/>
    <col min="11274" max="11274" width="6.625" style="12" bestFit="1" customWidth="1"/>
    <col min="11275" max="11275" width="8.25" style="12" bestFit="1" customWidth="1"/>
    <col min="11276" max="11276" width="4.125" style="12" customWidth="1"/>
    <col min="11277" max="11277" width="8.5" style="12" customWidth="1"/>
    <col min="11278" max="11278" width="40" style="12" customWidth="1"/>
    <col min="11279" max="11279" width="6.375" style="12" customWidth="1"/>
    <col min="11280" max="11280" width="6.625" style="12" bestFit="1" customWidth="1"/>
    <col min="11281" max="11281" width="8.25" style="12" bestFit="1" customWidth="1"/>
    <col min="11282" max="11520" width="9" style="12"/>
    <col min="11521" max="11521" width="8.5" style="12" customWidth="1"/>
    <col min="11522" max="11522" width="40" style="12" customWidth="1"/>
    <col min="11523" max="11523" width="6.375" style="12" bestFit="1" customWidth="1"/>
    <col min="11524" max="11524" width="6.625" style="12" bestFit="1" customWidth="1"/>
    <col min="11525" max="11525" width="8.25" style="12" bestFit="1" customWidth="1"/>
    <col min="11526" max="11526" width="4.125" style="12" customWidth="1"/>
    <col min="11527" max="11527" width="8.5" style="12" customWidth="1"/>
    <col min="11528" max="11528" width="40" style="12" customWidth="1"/>
    <col min="11529" max="11529" width="6.375" style="12" customWidth="1"/>
    <col min="11530" max="11530" width="6.625" style="12" bestFit="1" customWidth="1"/>
    <col min="11531" max="11531" width="8.25" style="12" bestFit="1" customWidth="1"/>
    <col min="11532" max="11532" width="4.125" style="12" customWidth="1"/>
    <col min="11533" max="11533" width="8.5" style="12" customWidth="1"/>
    <col min="11534" max="11534" width="40" style="12" customWidth="1"/>
    <col min="11535" max="11535" width="6.375" style="12" customWidth="1"/>
    <col min="11536" max="11536" width="6.625" style="12" bestFit="1" customWidth="1"/>
    <col min="11537" max="11537" width="8.25" style="12" bestFit="1" customWidth="1"/>
    <col min="11538" max="11776" width="9" style="12"/>
    <col min="11777" max="11777" width="8.5" style="12" customWidth="1"/>
    <col min="11778" max="11778" width="40" style="12" customWidth="1"/>
    <col min="11779" max="11779" width="6.375" style="12" bestFit="1" customWidth="1"/>
    <col min="11780" max="11780" width="6.625" style="12" bestFit="1" customWidth="1"/>
    <col min="11781" max="11781" width="8.25" style="12" bestFit="1" customWidth="1"/>
    <col min="11782" max="11782" width="4.125" style="12" customWidth="1"/>
    <col min="11783" max="11783" width="8.5" style="12" customWidth="1"/>
    <col min="11784" max="11784" width="40" style="12" customWidth="1"/>
    <col min="11785" max="11785" width="6.375" style="12" customWidth="1"/>
    <col min="11786" max="11786" width="6.625" style="12" bestFit="1" customWidth="1"/>
    <col min="11787" max="11787" width="8.25" style="12" bestFit="1" customWidth="1"/>
    <col min="11788" max="11788" width="4.125" style="12" customWidth="1"/>
    <col min="11789" max="11789" width="8.5" style="12" customWidth="1"/>
    <col min="11790" max="11790" width="40" style="12" customWidth="1"/>
    <col min="11791" max="11791" width="6.375" style="12" customWidth="1"/>
    <col min="11792" max="11792" width="6.625" style="12" bestFit="1" customWidth="1"/>
    <col min="11793" max="11793" width="8.25" style="12" bestFit="1" customWidth="1"/>
    <col min="11794" max="12032" width="9" style="12"/>
    <col min="12033" max="12033" width="8.5" style="12" customWidth="1"/>
    <col min="12034" max="12034" width="40" style="12" customWidth="1"/>
    <col min="12035" max="12035" width="6.375" style="12" bestFit="1" customWidth="1"/>
    <col min="12036" max="12036" width="6.625" style="12" bestFit="1" customWidth="1"/>
    <col min="12037" max="12037" width="8.25" style="12" bestFit="1" customWidth="1"/>
    <col min="12038" max="12038" width="4.125" style="12" customWidth="1"/>
    <col min="12039" max="12039" width="8.5" style="12" customWidth="1"/>
    <col min="12040" max="12040" width="40" style="12" customWidth="1"/>
    <col min="12041" max="12041" width="6.375" style="12" customWidth="1"/>
    <col min="12042" max="12042" width="6.625" style="12" bestFit="1" customWidth="1"/>
    <col min="12043" max="12043" width="8.25" style="12" bestFit="1" customWidth="1"/>
    <col min="12044" max="12044" width="4.125" style="12" customWidth="1"/>
    <col min="12045" max="12045" width="8.5" style="12" customWidth="1"/>
    <col min="12046" max="12046" width="40" style="12" customWidth="1"/>
    <col min="12047" max="12047" width="6.375" style="12" customWidth="1"/>
    <col min="12048" max="12048" width="6.625" style="12" bestFit="1" customWidth="1"/>
    <col min="12049" max="12049" width="8.25" style="12" bestFit="1" customWidth="1"/>
    <col min="12050" max="12288" width="9" style="12"/>
    <col min="12289" max="12289" width="8.5" style="12" customWidth="1"/>
    <col min="12290" max="12290" width="40" style="12" customWidth="1"/>
    <col min="12291" max="12291" width="6.375" style="12" bestFit="1" customWidth="1"/>
    <col min="12292" max="12292" width="6.625" style="12" bestFit="1" customWidth="1"/>
    <col min="12293" max="12293" width="8.25" style="12" bestFit="1" customWidth="1"/>
    <col min="12294" max="12294" width="4.125" style="12" customWidth="1"/>
    <col min="12295" max="12295" width="8.5" style="12" customWidth="1"/>
    <col min="12296" max="12296" width="40" style="12" customWidth="1"/>
    <col min="12297" max="12297" width="6.375" style="12" customWidth="1"/>
    <col min="12298" max="12298" width="6.625" style="12" bestFit="1" customWidth="1"/>
    <col min="12299" max="12299" width="8.25" style="12" bestFit="1" customWidth="1"/>
    <col min="12300" max="12300" width="4.125" style="12" customWidth="1"/>
    <col min="12301" max="12301" width="8.5" style="12" customWidth="1"/>
    <col min="12302" max="12302" width="40" style="12" customWidth="1"/>
    <col min="12303" max="12303" width="6.375" style="12" customWidth="1"/>
    <col min="12304" max="12304" width="6.625" style="12" bestFit="1" customWidth="1"/>
    <col min="12305" max="12305" width="8.25" style="12" bestFit="1" customWidth="1"/>
    <col min="12306" max="12544" width="9" style="12"/>
    <col min="12545" max="12545" width="8.5" style="12" customWidth="1"/>
    <col min="12546" max="12546" width="40" style="12" customWidth="1"/>
    <col min="12547" max="12547" width="6.375" style="12" bestFit="1" customWidth="1"/>
    <col min="12548" max="12548" width="6.625" style="12" bestFit="1" customWidth="1"/>
    <col min="12549" max="12549" width="8.25" style="12" bestFit="1" customWidth="1"/>
    <col min="12550" max="12550" width="4.125" style="12" customWidth="1"/>
    <col min="12551" max="12551" width="8.5" style="12" customWidth="1"/>
    <col min="12552" max="12552" width="40" style="12" customWidth="1"/>
    <col min="12553" max="12553" width="6.375" style="12" customWidth="1"/>
    <col min="12554" max="12554" width="6.625" style="12" bestFit="1" customWidth="1"/>
    <col min="12555" max="12555" width="8.25" style="12" bestFit="1" customWidth="1"/>
    <col min="12556" max="12556" width="4.125" style="12" customWidth="1"/>
    <col min="12557" max="12557" width="8.5" style="12" customWidth="1"/>
    <col min="12558" max="12558" width="40" style="12" customWidth="1"/>
    <col min="12559" max="12559" width="6.375" style="12" customWidth="1"/>
    <col min="12560" max="12560" width="6.625" style="12" bestFit="1" customWidth="1"/>
    <col min="12561" max="12561" width="8.25" style="12" bestFit="1" customWidth="1"/>
    <col min="12562" max="12800" width="9" style="12"/>
    <col min="12801" max="12801" width="8.5" style="12" customWidth="1"/>
    <col min="12802" max="12802" width="40" style="12" customWidth="1"/>
    <col min="12803" max="12803" width="6.375" style="12" bestFit="1" customWidth="1"/>
    <col min="12804" max="12804" width="6.625" style="12" bestFit="1" customWidth="1"/>
    <col min="12805" max="12805" width="8.25" style="12" bestFit="1" customWidth="1"/>
    <col min="12806" max="12806" width="4.125" style="12" customWidth="1"/>
    <col min="12807" max="12807" width="8.5" style="12" customWidth="1"/>
    <col min="12808" max="12808" width="40" style="12" customWidth="1"/>
    <col min="12809" max="12809" width="6.375" style="12" customWidth="1"/>
    <col min="12810" max="12810" width="6.625" style="12" bestFit="1" customWidth="1"/>
    <col min="12811" max="12811" width="8.25" style="12" bestFit="1" customWidth="1"/>
    <col min="12812" max="12812" width="4.125" style="12" customWidth="1"/>
    <col min="12813" max="12813" width="8.5" style="12" customWidth="1"/>
    <col min="12814" max="12814" width="40" style="12" customWidth="1"/>
    <col min="12815" max="12815" width="6.375" style="12" customWidth="1"/>
    <col min="12816" max="12816" width="6.625" style="12" bestFit="1" customWidth="1"/>
    <col min="12817" max="12817" width="8.25" style="12" bestFit="1" customWidth="1"/>
    <col min="12818" max="13056" width="9" style="12"/>
    <col min="13057" max="13057" width="8.5" style="12" customWidth="1"/>
    <col min="13058" max="13058" width="40" style="12" customWidth="1"/>
    <col min="13059" max="13059" width="6.375" style="12" bestFit="1" customWidth="1"/>
    <col min="13060" max="13060" width="6.625" style="12" bestFit="1" customWidth="1"/>
    <col min="13061" max="13061" width="8.25" style="12" bestFit="1" customWidth="1"/>
    <col min="13062" max="13062" width="4.125" style="12" customWidth="1"/>
    <col min="13063" max="13063" width="8.5" style="12" customWidth="1"/>
    <col min="13064" max="13064" width="40" style="12" customWidth="1"/>
    <col min="13065" max="13065" width="6.375" style="12" customWidth="1"/>
    <col min="13066" max="13066" width="6.625" style="12" bestFit="1" customWidth="1"/>
    <col min="13067" max="13067" width="8.25" style="12" bestFit="1" customWidth="1"/>
    <col min="13068" max="13068" width="4.125" style="12" customWidth="1"/>
    <col min="13069" max="13069" width="8.5" style="12" customWidth="1"/>
    <col min="13070" max="13070" width="40" style="12" customWidth="1"/>
    <col min="13071" max="13071" width="6.375" style="12" customWidth="1"/>
    <col min="13072" max="13072" width="6.625" style="12" bestFit="1" customWidth="1"/>
    <col min="13073" max="13073" width="8.25" style="12" bestFit="1" customWidth="1"/>
    <col min="13074" max="13312" width="9" style="12"/>
    <col min="13313" max="13313" width="8.5" style="12" customWidth="1"/>
    <col min="13314" max="13314" width="40" style="12" customWidth="1"/>
    <col min="13315" max="13315" width="6.375" style="12" bestFit="1" customWidth="1"/>
    <col min="13316" max="13316" width="6.625" style="12" bestFit="1" customWidth="1"/>
    <col min="13317" max="13317" width="8.25" style="12" bestFit="1" customWidth="1"/>
    <col min="13318" max="13318" width="4.125" style="12" customWidth="1"/>
    <col min="13319" max="13319" width="8.5" style="12" customWidth="1"/>
    <col min="13320" max="13320" width="40" style="12" customWidth="1"/>
    <col min="13321" max="13321" width="6.375" style="12" customWidth="1"/>
    <col min="13322" max="13322" width="6.625" style="12" bestFit="1" customWidth="1"/>
    <col min="13323" max="13323" width="8.25" style="12" bestFit="1" customWidth="1"/>
    <col min="13324" max="13324" width="4.125" style="12" customWidth="1"/>
    <col min="13325" max="13325" width="8.5" style="12" customWidth="1"/>
    <col min="13326" max="13326" width="40" style="12" customWidth="1"/>
    <col min="13327" max="13327" width="6.375" style="12" customWidth="1"/>
    <col min="13328" max="13328" width="6.625" style="12" bestFit="1" customWidth="1"/>
    <col min="13329" max="13329" width="8.25" style="12" bestFit="1" customWidth="1"/>
    <col min="13330" max="13568" width="9" style="12"/>
    <col min="13569" max="13569" width="8.5" style="12" customWidth="1"/>
    <col min="13570" max="13570" width="40" style="12" customWidth="1"/>
    <col min="13571" max="13571" width="6.375" style="12" bestFit="1" customWidth="1"/>
    <col min="13572" max="13572" width="6.625" style="12" bestFit="1" customWidth="1"/>
    <col min="13573" max="13573" width="8.25" style="12" bestFit="1" customWidth="1"/>
    <col min="13574" max="13574" width="4.125" style="12" customWidth="1"/>
    <col min="13575" max="13575" width="8.5" style="12" customWidth="1"/>
    <col min="13576" max="13576" width="40" style="12" customWidth="1"/>
    <col min="13577" max="13577" width="6.375" style="12" customWidth="1"/>
    <col min="13578" max="13578" width="6.625" style="12" bestFit="1" customWidth="1"/>
    <col min="13579" max="13579" width="8.25" style="12" bestFit="1" customWidth="1"/>
    <col min="13580" max="13580" width="4.125" style="12" customWidth="1"/>
    <col min="13581" max="13581" width="8.5" style="12" customWidth="1"/>
    <col min="13582" max="13582" width="40" style="12" customWidth="1"/>
    <col min="13583" max="13583" width="6.375" style="12" customWidth="1"/>
    <col min="13584" max="13584" width="6.625" style="12" bestFit="1" customWidth="1"/>
    <col min="13585" max="13585" width="8.25" style="12" bestFit="1" customWidth="1"/>
    <col min="13586" max="13824" width="9" style="12"/>
    <col min="13825" max="13825" width="8.5" style="12" customWidth="1"/>
    <col min="13826" max="13826" width="40" style="12" customWidth="1"/>
    <col min="13827" max="13827" width="6.375" style="12" bestFit="1" customWidth="1"/>
    <col min="13828" max="13828" width="6.625" style="12" bestFit="1" customWidth="1"/>
    <col min="13829" max="13829" width="8.25" style="12" bestFit="1" customWidth="1"/>
    <col min="13830" max="13830" width="4.125" style="12" customWidth="1"/>
    <col min="13831" max="13831" width="8.5" style="12" customWidth="1"/>
    <col min="13832" max="13832" width="40" style="12" customWidth="1"/>
    <col min="13833" max="13833" width="6.375" style="12" customWidth="1"/>
    <col min="13834" max="13834" width="6.625" style="12" bestFit="1" customWidth="1"/>
    <col min="13835" max="13835" width="8.25" style="12" bestFit="1" customWidth="1"/>
    <col min="13836" max="13836" width="4.125" style="12" customWidth="1"/>
    <col min="13837" max="13837" width="8.5" style="12" customWidth="1"/>
    <col min="13838" max="13838" width="40" style="12" customWidth="1"/>
    <col min="13839" max="13839" width="6.375" style="12" customWidth="1"/>
    <col min="13840" max="13840" width="6.625" style="12" bestFit="1" customWidth="1"/>
    <col min="13841" max="13841" width="8.25" style="12" bestFit="1" customWidth="1"/>
    <col min="13842" max="14080" width="9" style="12"/>
    <col min="14081" max="14081" width="8.5" style="12" customWidth="1"/>
    <col min="14082" max="14082" width="40" style="12" customWidth="1"/>
    <col min="14083" max="14083" width="6.375" style="12" bestFit="1" customWidth="1"/>
    <col min="14084" max="14084" width="6.625" style="12" bestFit="1" customWidth="1"/>
    <col min="14085" max="14085" width="8.25" style="12" bestFit="1" customWidth="1"/>
    <col min="14086" max="14086" width="4.125" style="12" customWidth="1"/>
    <col min="14087" max="14087" width="8.5" style="12" customWidth="1"/>
    <col min="14088" max="14088" width="40" style="12" customWidth="1"/>
    <col min="14089" max="14089" width="6.375" style="12" customWidth="1"/>
    <col min="14090" max="14090" width="6.625" style="12" bestFit="1" customWidth="1"/>
    <col min="14091" max="14091" width="8.25" style="12" bestFit="1" customWidth="1"/>
    <col min="14092" max="14092" width="4.125" style="12" customWidth="1"/>
    <col min="14093" max="14093" width="8.5" style="12" customWidth="1"/>
    <col min="14094" max="14094" width="40" style="12" customWidth="1"/>
    <col min="14095" max="14095" width="6.375" style="12" customWidth="1"/>
    <col min="14096" max="14096" width="6.625" style="12" bestFit="1" customWidth="1"/>
    <col min="14097" max="14097" width="8.25" style="12" bestFit="1" customWidth="1"/>
    <col min="14098" max="14336" width="9" style="12"/>
    <col min="14337" max="14337" width="8.5" style="12" customWidth="1"/>
    <col min="14338" max="14338" width="40" style="12" customWidth="1"/>
    <col min="14339" max="14339" width="6.375" style="12" bestFit="1" customWidth="1"/>
    <col min="14340" max="14340" width="6.625" style="12" bestFit="1" customWidth="1"/>
    <col min="14341" max="14341" width="8.25" style="12" bestFit="1" customWidth="1"/>
    <col min="14342" max="14342" width="4.125" style="12" customWidth="1"/>
    <col min="14343" max="14343" width="8.5" style="12" customWidth="1"/>
    <col min="14344" max="14344" width="40" style="12" customWidth="1"/>
    <col min="14345" max="14345" width="6.375" style="12" customWidth="1"/>
    <col min="14346" max="14346" width="6.625" style="12" bestFit="1" customWidth="1"/>
    <col min="14347" max="14347" width="8.25" style="12" bestFit="1" customWidth="1"/>
    <col min="14348" max="14348" width="4.125" style="12" customWidth="1"/>
    <col min="14349" max="14349" width="8.5" style="12" customWidth="1"/>
    <col min="14350" max="14350" width="40" style="12" customWidth="1"/>
    <col min="14351" max="14351" width="6.375" style="12" customWidth="1"/>
    <col min="14352" max="14352" width="6.625" style="12" bestFit="1" customWidth="1"/>
    <col min="14353" max="14353" width="8.25" style="12" bestFit="1" customWidth="1"/>
    <col min="14354" max="14592" width="9" style="12"/>
    <col min="14593" max="14593" width="8.5" style="12" customWidth="1"/>
    <col min="14594" max="14594" width="40" style="12" customWidth="1"/>
    <col min="14595" max="14595" width="6.375" style="12" bestFit="1" customWidth="1"/>
    <col min="14596" max="14596" width="6.625" style="12" bestFit="1" customWidth="1"/>
    <col min="14597" max="14597" width="8.25" style="12" bestFit="1" customWidth="1"/>
    <col min="14598" max="14598" width="4.125" style="12" customWidth="1"/>
    <col min="14599" max="14599" width="8.5" style="12" customWidth="1"/>
    <col min="14600" max="14600" width="40" style="12" customWidth="1"/>
    <col min="14601" max="14601" width="6.375" style="12" customWidth="1"/>
    <col min="14602" max="14602" width="6.625" style="12" bestFit="1" customWidth="1"/>
    <col min="14603" max="14603" width="8.25" style="12" bestFit="1" customWidth="1"/>
    <col min="14604" max="14604" width="4.125" style="12" customWidth="1"/>
    <col min="14605" max="14605" width="8.5" style="12" customWidth="1"/>
    <col min="14606" max="14606" width="40" style="12" customWidth="1"/>
    <col min="14607" max="14607" width="6.375" style="12" customWidth="1"/>
    <col min="14608" max="14608" width="6.625" style="12" bestFit="1" customWidth="1"/>
    <col min="14609" max="14609" width="8.25" style="12" bestFit="1" customWidth="1"/>
    <col min="14610" max="14848" width="9" style="12"/>
    <col min="14849" max="14849" width="8.5" style="12" customWidth="1"/>
    <col min="14850" max="14850" width="40" style="12" customWidth="1"/>
    <col min="14851" max="14851" width="6.375" style="12" bestFit="1" customWidth="1"/>
    <col min="14852" max="14852" width="6.625" style="12" bestFit="1" customWidth="1"/>
    <col min="14853" max="14853" width="8.25" style="12" bestFit="1" customWidth="1"/>
    <col min="14854" max="14854" width="4.125" style="12" customWidth="1"/>
    <col min="14855" max="14855" width="8.5" style="12" customWidth="1"/>
    <col min="14856" max="14856" width="40" style="12" customWidth="1"/>
    <col min="14857" max="14857" width="6.375" style="12" customWidth="1"/>
    <col min="14858" max="14858" width="6.625" style="12" bestFit="1" customWidth="1"/>
    <col min="14859" max="14859" width="8.25" style="12" bestFit="1" customWidth="1"/>
    <col min="14860" max="14860" width="4.125" style="12" customWidth="1"/>
    <col min="14861" max="14861" width="8.5" style="12" customWidth="1"/>
    <col min="14862" max="14862" width="40" style="12" customWidth="1"/>
    <col min="14863" max="14863" width="6.375" style="12" customWidth="1"/>
    <col min="14864" max="14864" width="6.625" style="12" bestFit="1" customWidth="1"/>
    <col min="14865" max="14865" width="8.25" style="12" bestFit="1" customWidth="1"/>
    <col min="14866" max="15104" width="9" style="12"/>
    <col min="15105" max="15105" width="8.5" style="12" customWidth="1"/>
    <col min="15106" max="15106" width="40" style="12" customWidth="1"/>
    <col min="15107" max="15107" width="6.375" style="12" bestFit="1" customWidth="1"/>
    <col min="15108" max="15108" width="6.625" style="12" bestFit="1" customWidth="1"/>
    <col min="15109" max="15109" width="8.25" style="12" bestFit="1" customWidth="1"/>
    <col min="15110" max="15110" width="4.125" style="12" customWidth="1"/>
    <col min="15111" max="15111" width="8.5" style="12" customWidth="1"/>
    <col min="15112" max="15112" width="40" style="12" customWidth="1"/>
    <col min="15113" max="15113" width="6.375" style="12" customWidth="1"/>
    <col min="15114" max="15114" width="6.625" style="12" bestFit="1" customWidth="1"/>
    <col min="15115" max="15115" width="8.25" style="12" bestFit="1" customWidth="1"/>
    <col min="15116" max="15116" width="4.125" style="12" customWidth="1"/>
    <col min="15117" max="15117" width="8.5" style="12" customWidth="1"/>
    <col min="15118" max="15118" width="40" style="12" customWidth="1"/>
    <col min="15119" max="15119" width="6.375" style="12" customWidth="1"/>
    <col min="15120" max="15120" width="6.625" style="12" bestFit="1" customWidth="1"/>
    <col min="15121" max="15121" width="8.25" style="12" bestFit="1" customWidth="1"/>
    <col min="15122" max="15360" width="9" style="12"/>
    <col min="15361" max="15361" width="8.5" style="12" customWidth="1"/>
    <col min="15362" max="15362" width="40" style="12" customWidth="1"/>
    <col min="15363" max="15363" width="6.375" style="12" bestFit="1" customWidth="1"/>
    <col min="15364" max="15364" width="6.625" style="12" bestFit="1" customWidth="1"/>
    <col min="15365" max="15365" width="8.25" style="12" bestFit="1" customWidth="1"/>
    <col min="15366" max="15366" width="4.125" style="12" customWidth="1"/>
    <col min="15367" max="15367" width="8.5" style="12" customWidth="1"/>
    <col min="15368" max="15368" width="40" style="12" customWidth="1"/>
    <col min="15369" max="15369" width="6.375" style="12" customWidth="1"/>
    <col min="15370" max="15370" width="6.625" style="12" bestFit="1" customWidth="1"/>
    <col min="15371" max="15371" width="8.25" style="12" bestFit="1" customWidth="1"/>
    <col min="15372" max="15372" width="4.125" style="12" customWidth="1"/>
    <col min="15373" max="15373" width="8.5" style="12" customWidth="1"/>
    <col min="15374" max="15374" width="40" style="12" customWidth="1"/>
    <col min="15375" max="15375" width="6.375" style="12" customWidth="1"/>
    <col min="15376" max="15376" width="6.625" style="12" bestFit="1" customWidth="1"/>
    <col min="15377" max="15377" width="8.25" style="12" bestFit="1" customWidth="1"/>
    <col min="15378" max="15616" width="9" style="12"/>
    <col min="15617" max="15617" width="8.5" style="12" customWidth="1"/>
    <col min="15618" max="15618" width="40" style="12" customWidth="1"/>
    <col min="15619" max="15619" width="6.375" style="12" bestFit="1" customWidth="1"/>
    <col min="15620" max="15620" width="6.625" style="12" bestFit="1" customWidth="1"/>
    <col min="15621" max="15621" width="8.25" style="12" bestFit="1" customWidth="1"/>
    <col min="15622" max="15622" width="4.125" style="12" customWidth="1"/>
    <col min="15623" max="15623" width="8.5" style="12" customWidth="1"/>
    <col min="15624" max="15624" width="40" style="12" customWidth="1"/>
    <col min="15625" max="15625" width="6.375" style="12" customWidth="1"/>
    <col min="15626" max="15626" width="6.625" style="12" bestFit="1" customWidth="1"/>
    <col min="15627" max="15627" width="8.25" style="12" bestFit="1" customWidth="1"/>
    <col min="15628" max="15628" width="4.125" style="12" customWidth="1"/>
    <col min="15629" max="15629" width="8.5" style="12" customWidth="1"/>
    <col min="15630" max="15630" width="40" style="12" customWidth="1"/>
    <col min="15631" max="15631" width="6.375" style="12" customWidth="1"/>
    <col min="15632" max="15632" width="6.625" style="12" bestFit="1" customWidth="1"/>
    <col min="15633" max="15633" width="8.25" style="12" bestFit="1" customWidth="1"/>
    <col min="15634" max="15872" width="9" style="12"/>
    <col min="15873" max="15873" width="8.5" style="12" customWidth="1"/>
    <col min="15874" max="15874" width="40" style="12" customWidth="1"/>
    <col min="15875" max="15875" width="6.375" style="12" bestFit="1" customWidth="1"/>
    <col min="15876" max="15876" width="6.625" style="12" bestFit="1" customWidth="1"/>
    <col min="15877" max="15877" width="8.25" style="12" bestFit="1" customWidth="1"/>
    <col min="15878" max="15878" width="4.125" style="12" customWidth="1"/>
    <col min="15879" max="15879" width="8.5" style="12" customWidth="1"/>
    <col min="15880" max="15880" width="40" style="12" customWidth="1"/>
    <col min="15881" max="15881" width="6.375" style="12" customWidth="1"/>
    <col min="15882" max="15882" width="6.625" style="12" bestFit="1" customWidth="1"/>
    <col min="15883" max="15883" width="8.25" style="12" bestFit="1" customWidth="1"/>
    <col min="15884" max="15884" width="4.125" style="12" customWidth="1"/>
    <col min="15885" max="15885" width="8.5" style="12" customWidth="1"/>
    <col min="15886" max="15886" width="40" style="12" customWidth="1"/>
    <col min="15887" max="15887" width="6.375" style="12" customWidth="1"/>
    <col min="15888" max="15888" width="6.625" style="12" bestFit="1" customWidth="1"/>
    <col min="15889" max="15889" width="8.25" style="12" bestFit="1" customWidth="1"/>
    <col min="15890" max="16128" width="9" style="12"/>
    <col min="16129" max="16129" width="8.5" style="12" customWidth="1"/>
    <col min="16130" max="16130" width="40" style="12" customWidth="1"/>
    <col min="16131" max="16131" width="6.375" style="12" bestFit="1" customWidth="1"/>
    <col min="16132" max="16132" width="6.625" style="12" bestFit="1" customWidth="1"/>
    <col min="16133" max="16133" width="8.25" style="12" bestFit="1" customWidth="1"/>
    <col min="16134" max="16134" width="4.125" style="12" customWidth="1"/>
    <col min="16135" max="16135" width="8.5" style="12" customWidth="1"/>
    <col min="16136" max="16136" width="40" style="12" customWidth="1"/>
    <col min="16137" max="16137" width="6.375" style="12" customWidth="1"/>
    <col min="16138" max="16138" width="6.625" style="12" bestFit="1" customWidth="1"/>
    <col min="16139" max="16139" width="8.25" style="12" bestFit="1" customWidth="1"/>
    <col min="16140" max="16140" width="4.125" style="12" customWidth="1"/>
    <col min="16141" max="16141" width="8.5" style="12" customWidth="1"/>
    <col min="16142" max="16142" width="40" style="12" customWidth="1"/>
    <col min="16143" max="16143" width="6.375" style="12" customWidth="1"/>
    <col min="16144" max="16144" width="6.625" style="12" bestFit="1" customWidth="1"/>
    <col min="16145" max="16145" width="8.25" style="12" bestFit="1" customWidth="1"/>
    <col min="16146" max="16384" width="9" style="12"/>
  </cols>
  <sheetData>
    <row r="1" spans="1:17" ht="15" customHeight="1" x14ac:dyDescent="0.2">
      <c r="A1" s="100" t="s">
        <v>592</v>
      </c>
      <c r="B1" s="5"/>
      <c r="C1" s="6"/>
      <c r="D1" s="7"/>
      <c r="E1" s="8"/>
      <c r="F1" s="9"/>
      <c r="G1" s="4"/>
      <c r="H1" s="5"/>
      <c r="I1" s="10"/>
      <c r="J1" s="11"/>
      <c r="K1" s="8"/>
      <c r="L1" s="9"/>
      <c r="M1" s="4"/>
      <c r="N1" s="5"/>
      <c r="O1" s="10"/>
      <c r="P1" s="11"/>
      <c r="Q1" s="8"/>
    </row>
    <row r="2" spans="1:17" s="199" customFormat="1" ht="15" customHeight="1" x14ac:dyDescent="0.2">
      <c r="A2" s="500" t="s">
        <v>585</v>
      </c>
    </row>
    <row r="3" spans="1:17" ht="15" customHeight="1" x14ac:dyDescent="0.2">
      <c r="A3" s="568"/>
      <c r="B3" s="607" t="s">
        <v>0</v>
      </c>
      <c r="C3" s="607"/>
      <c r="D3" s="607"/>
      <c r="E3" s="607"/>
      <c r="F3" s="14"/>
      <c r="G3" s="568"/>
      <c r="H3" s="607" t="s">
        <v>1</v>
      </c>
      <c r="I3" s="607"/>
      <c r="J3" s="607"/>
      <c r="K3" s="607"/>
      <c r="L3" s="14"/>
      <c r="M3" s="13"/>
      <c r="N3" s="607" t="s">
        <v>2</v>
      </c>
      <c r="O3" s="607"/>
      <c r="P3" s="607"/>
      <c r="Q3" s="607"/>
    </row>
    <row r="4" spans="1:17" s="20" customFormat="1" ht="45" customHeight="1" x14ac:dyDescent="0.2">
      <c r="A4" s="15" t="s">
        <v>74</v>
      </c>
      <c r="B4" s="16" t="s">
        <v>40</v>
      </c>
      <c r="C4" s="17" t="s">
        <v>75</v>
      </c>
      <c r="D4" s="18" t="s">
        <v>38</v>
      </c>
      <c r="E4" s="19" t="s">
        <v>564</v>
      </c>
      <c r="F4" s="19"/>
      <c r="G4" s="15" t="s">
        <v>74</v>
      </c>
      <c r="H4" s="16" t="s">
        <v>40</v>
      </c>
      <c r="I4" s="17" t="s">
        <v>75</v>
      </c>
      <c r="J4" s="18" t="s">
        <v>38</v>
      </c>
      <c r="K4" s="19" t="s">
        <v>564</v>
      </c>
      <c r="L4" s="19"/>
      <c r="M4" s="15" t="s">
        <v>74</v>
      </c>
      <c r="N4" s="16" t="s">
        <v>40</v>
      </c>
      <c r="O4" s="17" t="s">
        <v>75</v>
      </c>
      <c r="P4" s="18" t="s">
        <v>38</v>
      </c>
      <c r="Q4" s="19" t="s">
        <v>564</v>
      </c>
    </row>
    <row r="5" spans="1:17" s="25" customFormat="1" ht="15" customHeight="1" x14ac:dyDescent="0.2">
      <c r="A5" s="21" t="s">
        <v>76</v>
      </c>
      <c r="B5" s="22"/>
      <c r="C5" s="23"/>
      <c r="D5" s="24"/>
      <c r="E5" s="24"/>
      <c r="F5" s="23"/>
      <c r="G5" s="21" t="s">
        <v>76</v>
      </c>
      <c r="H5" s="22"/>
      <c r="I5" s="23"/>
      <c r="J5" s="24"/>
      <c r="K5" s="24"/>
      <c r="L5" s="23"/>
      <c r="M5" s="21" t="s">
        <v>76</v>
      </c>
      <c r="N5" s="22"/>
      <c r="O5" s="23"/>
      <c r="P5" s="24"/>
      <c r="Q5" s="24"/>
    </row>
    <row r="6" spans="1:17" s="25" customFormat="1" ht="15" customHeight="1" x14ac:dyDescent="0.2">
      <c r="A6" s="26">
        <v>1</v>
      </c>
      <c r="B6" s="27" t="s">
        <v>77</v>
      </c>
      <c r="C6" s="28">
        <v>406</v>
      </c>
      <c r="D6" s="29">
        <v>78.5</v>
      </c>
      <c r="E6" s="29">
        <v>271.2</v>
      </c>
      <c r="F6" s="30"/>
      <c r="G6" s="31">
        <v>1</v>
      </c>
      <c r="H6" s="27" t="s">
        <v>77</v>
      </c>
      <c r="I6" s="28">
        <v>324</v>
      </c>
      <c r="J6" s="29">
        <v>82.2</v>
      </c>
      <c r="K6" s="29">
        <v>229.2</v>
      </c>
      <c r="L6" s="30"/>
      <c r="M6" s="32">
        <v>1</v>
      </c>
      <c r="N6" s="33" t="s">
        <v>77</v>
      </c>
      <c r="O6" s="34">
        <v>730</v>
      </c>
      <c r="P6" s="30">
        <v>80.099999999999994</v>
      </c>
      <c r="Q6" s="35">
        <v>250.8</v>
      </c>
    </row>
    <row r="7" spans="1:17" s="25" customFormat="1" ht="15" customHeight="1" x14ac:dyDescent="0.2">
      <c r="A7" s="26">
        <v>2</v>
      </c>
      <c r="B7" s="27" t="s">
        <v>55</v>
      </c>
      <c r="C7" s="28">
        <v>53</v>
      </c>
      <c r="D7" s="29">
        <v>10.3</v>
      </c>
      <c r="E7" s="29">
        <v>35.4</v>
      </c>
      <c r="F7" s="30"/>
      <c r="G7" s="31">
        <v>2</v>
      </c>
      <c r="H7" s="27" t="s">
        <v>55</v>
      </c>
      <c r="I7" s="28">
        <v>27</v>
      </c>
      <c r="J7" s="29">
        <v>6.9</v>
      </c>
      <c r="K7" s="29">
        <v>19.100000000000001</v>
      </c>
      <c r="L7" s="30"/>
      <c r="M7" s="32">
        <v>2</v>
      </c>
      <c r="N7" s="33" t="s">
        <v>55</v>
      </c>
      <c r="O7" s="34">
        <v>80</v>
      </c>
      <c r="P7" s="30">
        <v>8.8000000000000007</v>
      </c>
      <c r="Q7" s="35">
        <v>27.5</v>
      </c>
    </row>
    <row r="8" spans="1:17" s="25" customFormat="1" ht="15" customHeight="1" x14ac:dyDescent="0.2">
      <c r="A8" s="26">
        <v>3</v>
      </c>
      <c r="B8" s="27" t="s">
        <v>78</v>
      </c>
      <c r="C8" s="28">
        <v>10</v>
      </c>
      <c r="D8" s="29">
        <v>1.9</v>
      </c>
      <c r="E8" s="29">
        <v>6.7</v>
      </c>
      <c r="F8" s="30"/>
      <c r="G8" s="31">
        <v>3</v>
      </c>
      <c r="H8" s="27" t="s">
        <v>79</v>
      </c>
      <c r="I8" s="28">
        <v>4</v>
      </c>
      <c r="J8" s="29">
        <v>1</v>
      </c>
      <c r="K8" s="29">
        <v>2.8</v>
      </c>
      <c r="L8" s="30"/>
      <c r="M8" s="32">
        <v>3</v>
      </c>
      <c r="N8" s="33" t="s">
        <v>78</v>
      </c>
      <c r="O8" s="34">
        <v>13</v>
      </c>
      <c r="P8" s="30">
        <v>1.4</v>
      </c>
      <c r="Q8" s="35">
        <v>4.5</v>
      </c>
    </row>
    <row r="9" spans="1:17" s="25" customFormat="1" ht="15" customHeight="1" x14ac:dyDescent="0.2">
      <c r="A9" s="26">
        <v>4</v>
      </c>
      <c r="B9" s="27" t="s">
        <v>80</v>
      </c>
      <c r="C9" s="28">
        <v>7</v>
      </c>
      <c r="D9" s="29">
        <v>1.4</v>
      </c>
      <c r="E9" s="29">
        <v>4.7</v>
      </c>
      <c r="F9" s="30"/>
      <c r="G9" s="31">
        <v>3</v>
      </c>
      <c r="H9" s="27" t="s">
        <v>80</v>
      </c>
      <c r="I9" s="28">
        <v>4</v>
      </c>
      <c r="J9" s="29">
        <v>1</v>
      </c>
      <c r="K9" s="29">
        <v>2.8</v>
      </c>
      <c r="L9" s="30"/>
      <c r="M9" s="32">
        <v>4</v>
      </c>
      <c r="N9" s="33" t="s">
        <v>80</v>
      </c>
      <c r="O9" s="34">
        <v>11</v>
      </c>
      <c r="P9" s="30">
        <v>1.2</v>
      </c>
      <c r="Q9" s="35">
        <v>3.8</v>
      </c>
    </row>
    <row r="10" spans="1:17" s="25" customFormat="1" ht="15" customHeight="1" x14ac:dyDescent="0.2">
      <c r="A10" s="26">
        <v>4</v>
      </c>
      <c r="B10" s="27" t="s">
        <v>79</v>
      </c>
      <c r="C10" s="28">
        <v>7</v>
      </c>
      <c r="D10" s="29">
        <v>1.4</v>
      </c>
      <c r="E10" s="29">
        <v>4.7</v>
      </c>
      <c r="F10" s="30"/>
      <c r="G10" s="31">
        <v>3</v>
      </c>
      <c r="H10" s="27" t="s">
        <v>87</v>
      </c>
      <c r="I10" s="28">
        <v>4</v>
      </c>
      <c r="J10" s="29">
        <v>1</v>
      </c>
      <c r="K10" s="29">
        <v>2.8</v>
      </c>
      <c r="L10" s="30"/>
      <c r="M10" s="32">
        <v>4</v>
      </c>
      <c r="N10" s="33" t="s">
        <v>79</v>
      </c>
      <c r="O10" s="34">
        <v>11</v>
      </c>
      <c r="P10" s="30">
        <v>1.2</v>
      </c>
      <c r="Q10" s="35">
        <v>3.8</v>
      </c>
    </row>
    <row r="11" spans="1:17" s="43" customFormat="1" ht="15" customHeight="1" x14ac:dyDescent="0.2">
      <c r="A11" s="36"/>
      <c r="B11" s="37" t="s">
        <v>562</v>
      </c>
      <c r="C11" s="149">
        <v>483</v>
      </c>
      <c r="D11" s="150">
        <v>93.4</v>
      </c>
      <c r="E11" s="410">
        <v>322.60000000000002</v>
      </c>
      <c r="F11" s="38"/>
      <c r="G11" s="39"/>
      <c r="H11" s="37" t="s">
        <v>562</v>
      </c>
      <c r="I11" s="149">
        <v>363</v>
      </c>
      <c r="J11" s="150">
        <v>92.1</v>
      </c>
      <c r="K11" s="410">
        <v>256.8</v>
      </c>
      <c r="L11" s="38"/>
      <c r="M11" s="40"/>
      <c r="N11" s="37" t="s">
        <v>562</v>
      </c>
      <c r="O11" s="41">
        <v>845</v>
      </c>
      <c r="P11" s="38">
        <v>92.8</v>
      </c>
      <c r="Q11" s="410">
        <v>290.3</v>
      </c>
    </row>
    <row r="12" spans="1:17" s="54" customFormat="1" ht="15" customHeight="1" x14ac:dyDescent="0.2">
      <c r="A12" s="44"/>
      <c r="B12" s="45" t="s">
        <v>67</v>
      </c>
      <c r="C12" s="46">
        <v>517</v>
      </c>
      <c r="D12" s="47">
        <v>100</v>
      </c>
      <c r="E12" s="47">
        <v>345.3</v>
      </c>
      <c r="F12" s="48"/>
      <c r="G12" s="49"/>
      <c r="H12" s="45" t="s">
        <v>67</v>
      </c>
      <c r="I12" s="46">
        <v>394</v>
      </c>
      <c r="J12" s="47">
        <v>100</v>
      </c>
      <c r="K12" s="47">
        <v>278.8</v>
      </c>
      <c r="L12" s="48"/>
      <c r="M12" s="50"/>
      <c r="N12" s="51" t="s">
        <v>67</v>
      </c>
      <c r="O12" s="52">
        <v>911</v>
      </c>
      <c r="P12" s="48">
        <v>100</v>
      </c>
      <c r="Q12" s="53">
        <v>313</v>
      </c>
    </row>
    <row r="13" spans="1:17" s="54" customFormat="1" ht="15" customHeight="1" x14ac:dyDescent="0.2">
      <c r="A13" s="21" t="s">
        <v>81</v>
      </c>
      <c r="B13" s="55"/>
      <c r="C13" s="56"/>
      <c r="D13" s="57"/>
      <c r="E13" s="58"/>
      <c r="F13" s="58"/>
      <c r="G13" s="61" t="s">
        <v>81</v>
      </c>
      <c r="H13" s="55"/>
      <c r="I13" s="60"/>
      <c r="J13" s="58"/>
      <c r="K13" s="58"/>
      <c r="L13" s="58"/>
      <c r="M13" s="21" t="s">
        <v>81</v>
      </c>
      <c r="N13" s="55"/>
      <c r="O13" s="60"/>
      <c r="P13" s="58"/>
      <c r="Q13" s="58"/>
    </row>
    <row r="14" spans="1:17" s="25" customFormat="1" ht="15" customHeight="1" x14ac:dyDescent="0.2">
      <c r="A14" s="32">
        <v>1</v>
      </c>
      <c r="B14" s="62" t="s">
        <v>100</v>
      </c>
      <c r="C14" s="63">
        <v>34</v>
      </c>
      <c r="D14" s="64">
        <v>12.8</v>
      </c>
      <c r="E14" s="35">
        <v>1.5</v>
      </c>
      <c r="F14" s="30"/>
      <c r="G14" s="32">
        <v>1</v>
      </c>
      <c r="H14" s="33" t="s">
        <v>100</v>
      </c>
      <c r="I14" s="34">
        <v>20</v>
      </c>
      <c r="J14" s="30">
        <v>9.6999999999999993</v>
      </c>
      <c r="K14" s="35">
        <v>0.9</v>
      </c>
      <c r="L14" s="30"/>
      <c r="M14" s="32">
        <v>1</v>
      </c>
      <c r="N14" s="33" t="s">
        <v>100</v>
      </c>
      <c r="O14" s="34">
        <v>54</v>
      </c>
      <c r="P14" s="30">
        <v>11.4</v>
      </c>
      <c r="Q14" s="35">
        <v>1.2</v>
      </c>
    </row>
    <row r="15" spans="1:17" s="25" customFormat="1" ht="15" customHeight="1" x14ac:dyDescent="0.2">
      <c r="A15" s="32">
        <v>2</v>
      </c>
      <c r="B15" s="62" t="s">
        <v>77</v>
      </c>
      <c r="C15" s="63">
        <v>22</v>
      </c>
      <c r="D15" s="64">
        <v>8.3000000000000007</v>
      </c>
      <c r="E15" s="35">
        <v>1</v>
      </c>
      <c r="F15" s="30"/>
      <c r="G15" s="32">
        <v>2</v>
      </c>
      <c r="H15" s="33" t="s">
        <v>82</v>
      </c>
      <c r="I15" s="34">
        <v>18</v>
      </c>
      <c r="J15" s="30">
        <v>8.6999999999999993</v>
      </c>
      <c r="K15" s="35">
        <v>0.8</v>
      </c>
      <c r="L15" s="30"/>
      <c r="M15" s="32">
        <v>2</v>
      </c>
      <c r="N15" s="33" t="s">
        <v>77</v>
      </c>
      <c r="O15" s="34">
        <v>39</v>
      </c>
      <c r="P15" s="30">
        <v>8.3000000000000007</v>
      </c>
      <c r="Q15" s="35">
        <v>0.9</v>
      </c>
    </row>
    <row r="16" spans="1:17" s="25" customFormat="1" ht="15" customHeight="1" x14ac:dyDescent="0.2">
      <c r="A16" s="32">
        <v>3</v>
      </c>
      <c r="B16" s="62" t="s">
        <v>82</v>
      </c>
      <c r="C16" s="63">
        <v>18</v>
      </c>
      <c r="D16" s="64">
        <v>6.8</v>
      </c>
      <c r="E16" s="35">
        <v>0.8</v>
      </c>
      <c r="F16" s="30"/>
      <c r="G16" s="32">
        <v>3</v>
      </c>
      <c r="H16" s="33" t="s">
        <v>77</v>
      </c>
      <c r="I16" s="34">
        <v>17</v>
      </c>
      <c r="J16" s="30">
        <v>8.3000000000000007</v>
      </c>
      <c r="K16" s="35">
        <v>0.8</v>
      </c>
      <c r="L16" s="30"/>
      <c r="M16" s="32">
        <v>3</v>
      </c>
      <c r="N16" s="33" t="s">
        <v>82</v>
      </c>
      <c r="O16" s="34">
        <v>36</v>
      </c>
      <c r="P16" s="30">
        <v>7.6</v>
      </c>
      <c r="Q16" s="35">
        <v>0.8</v>
      </c>
    </row>
    <row r="17" spans="1:17" s="25" customFormat="1" ht="15" customHeight="1" x14ac:dyDescent="0.2">
      <c r="A17" s="32">
        <v>4</v>
      </c>
      <c r="B17" s="62" t="s">
        <v>55</v>
      </c>
      <c r="C17" s="63">
        <v>14</v>
      </c>
      <c r="D17" s="64">
        <v>5.3</v>
      </c>
      <c r="E17" s="35">
        <v>0.6</v>
      </c>
      <c r="F17" s="30"/>
      <c r="G17" s="32">
        <v>4</v>
      </c>
      <c r="H17" s="33" t="s">
        <v>53</v>
      </c>
      <c r="I17" s="34">
        <v>14</v>
      </c>
      <c r="J17" s="30">
        <v>6.8</v>
      </c>
      <c r="K17" s="35">
        <v>0.6</v>
      </c>
      <c r="L17" s="30"/>
      <c r="M17" s="32">
        <v>4</v>
      </c>
      <c r="N17" s="33" t="s">
        <v>53</v>
      </c>
      <c r="O17" s="34">
        <v>27</v>
      </c>
      <c r="P17" s="30">
        <v>5.7</v>
      </c>
      <c r="Q17" s="35">
        <v>0.6</v>
      </c>
    </row>
    <row r="18" spans="1:17" s="25" customFormat="1" ht="15" customHeight="1" x14ac:dyDescent="0.2">
      <c r="A18" s="32">
        <v>5</v>
      </c>
      <c r="B18" s="62" t="s">
        <v>53</v>
      </c>
      <c r="C18" s="63">
        <v>13</v>
      </c>
      <c r="D18" s="64">
        <v>4.9000000000000004</v>
      </c>
      <c r="E18" s="35">
        <v>0.6</v>
      </c>
      <c r="F18" s="30"/>
      <c r="G18" s="32">
        <v>5</v>
      </c>
      <c r="H18" s="33" t="s">
        <v>61</v>
      </c>
      <c r="I18" s="34">
        <v>10</v>
      </c>
      <c r="J18" s="30">
        <v>4.9000000000000004</v>
      </c>
      <c r="K18" s="35">
        <v>0.5</v>
      </c>
      <c r="L18" s="30"/>
      <c r="M18" s="32">
        <v>5</v>
      </c>
      <c r="N18" s="33" t="s">
        <v>84</v>
      </c>
      <c r="O18" s="34">
        <v>22</v>
      </c>
      <c r="P18" s="30">
        <v>4.7</v>
      </c>
      <c r="Q18" s="35">
        <v>0.5</v>
      </c>
    </row>
    <row r="19" spans="1:17" s="25" customFormat="1" ht="15" customHeight="1" x14ac:dyDescent="0.2">
      <c r="A19" s="32">
        <v>5</v>
      </c>
      <c r="B19" s="62" t="s">
        <v>84</v>
      </c>
      <c r="C19" s="63">
        <v>13</v>
      </c>
      <c r="D19" s="64">
        <v>4.9000000000000004</v>
      </c>
      <c r="E19" s="35">
        <v>0.6</v>
      </c>
      <c r="F19" s="30"/>
      <c r="G19" s="32">
        <v>6</v>
      </c>
      <c r="H19" s="33" t="s">
        <v>84</v>
      </c>
      <c r="I19" s="34">
        <v>9</v>
      </c>
      <c r="J19" s="30">
        <v>4.4000000000000004</v>
      </c>
      <c r="K19" s="35">
        <v>0.4</v>
      </c>
      <c r="L19" s="30"/>
      <c r="M19" s="32">
        <v>5</v>
      </c>
      <c r="N19" s="33" t="s">
        <v>61</v>
      </c>
      <c r="O19" s="34">
        <v>22</v>
      </c>
      <c r="P19" s="30">
        <v>4.7</v>
      </c>
      <c r="Q19" s="35">
        <v>0.5</v>
      </c>
    </row>
    <row r="20" spans="1:17" s="25" customFormat="1" ht="15" customHeight="1" x14ac:dyDescent="0.2">
      <c r="A20" s="32">
        <v>7</v>
      </c>
      <c r="B20" s="62" t="s">
        <v>61</v>
      </c>
      <c r="C20" s="63">
        <v>12</v>
      </c>
      <c r="D20" s="64">
        <v>4.5</v>
      </c>
      <c r="E20" s="35">
        <v>0.5</v>
      </c>
      <c r="F20" s="30"/>
      <c r="G20" s="32">
        <v>6</v>
      </c>
      <c r="H20" s="33" t="s">
        <v>83</v>
      </c>
      <c r="I20" s="34">
        <v>9</v>
      </c>
      <c r="J20" s="30">
        <v>4.4000000000000004</v>
      </c>
      <c r="K20" s="35">
        <v>0.4</v>
      </c>
      <c r="L20" s="30"/>
      <c r="M20" s="32">
        <v>7</v>
      </c>
      <c r="N20" s="33" t="s">
        <v>55</v>
      </c>
      <c r="O20" s="34">
        <v>20</v>
      </c>
      <c r="P20" s="30">
        <v>4.2</v>
      </c>
      <c r="Q20" s="35">
        <v>0.4</v>
      </c>
    </row>
    <row r="21" spans="1:17" s="25" customFormat="1" ht="15" customHeight="1" x14ac:dyDescent="0.2">
      <c r="A21" s="32">
        <v>8</v>
      </c>
      <c r="B21" s="62" t="s">
        <v>79</v>
      </c>
      <c r="C21" s="63">
        <v>11</v>
      </c>
      <c r="D21" s="64">
        <v>4.0999999999999996</v>
      </c>
      <c r="E21" s="35">
        <v>0.5</v>
      </c>
      <c r="F21" s="30"/>
      <c r="G21" s="32">
        <v>8</v>
      </c>
      <c r="H21" s="33" t="s">
        <v>85</v>
      </c>
      <c r="I21" s="34">
        <v>8</v>
      </c>
      <c r="J21" s="30">
        <v>3.9</v>
      </c>
      <c r="K21" s="35">
        <v>0.4</v>
      </c>
      <c r="L21" s="30"/>
      <c r="M21" s="32">
        <v>8</v>
      </c>
      <c r="N21" s="33" t="s">
        <v>79</v>
      </c>
      <c r="O21" s="34">
        <v>19</v>
      </c>
      <c r="P21" s="30">
        <v>4</v>
      </c>
      <c r="Q21" s="35">
        <v>0.4</v>
      </c>
    </row>
    <row r="22" spans="1:17" s="25" customFormat="1" ht="15" customHeight="1" x14ac:dyDescent="0.2">
      <c r="A22" s="32">
        <v>9</v>
      </c>
      <c r="B22" s="62" t="s">
        <v>264</v>
      </c>
      <c r="C22" s="63">
        <v>9</v>
      </c>
      <c r="D22" s="64">
        <v>3.4</v>
      </c>
      <c r="E22" s="35">
        <v>0.4</v>
      </c>
      <c r="F22" s="30"/>
      <c r="G22" s="32">
        <v>8</v>
      </c>
      <c r="H22" s="33" t="s">
        <v>79</v>
      </c>
      <c r="I22" s="34">
        <v>8</v>
      </c>
      <c r="J22" s="30">
        <v>3.9</v>
      </c>
      <c r="K22" s="35">
        <v>0.4</v>
      </c>
      <c r="L22" s="30"/>
      <c r="M22" s="32">
        <v>9</v>
      </c>
      <c r="N22" s="33" t="s">
        <v>85</v>
      </c>
      <c r="O22" s="34">
        <v>16</v>
      </c>
      <c r="P22" s="30">
        <v>3.4</v>
      </c>
      <c r="Q22" s="35">
        <v>0.4</v>
      </c>
    </row>
    <row r="23" spans="1:17" s="25" customFormat="1" ht="15" customHeight="1" x14ac:dyDescent="0.2">
      <c r="A23" s="32">
        <v>9</v>
      </c>
      <c r="B23" s="62" t="s">
        <v>265</v>
      </c>
      <c r="C23" s="63">
        <v>9</v>
      </c>
      <c r="D23" s="64">
        <v>3.4</v>
      </c>
      <c r="E23" s="35">
        <v>0.4</v>
      </c>
      <c r="F23" s="30"/>
      <c r="G23" s="32">
        <v>10</v>
      </c>
      <c r="H23" s="33" t="s">
        <v>265</v>
      </c>
      <c r="I23" s="34">
        <v>7</v>
      </c>
      <c r="J23" s="30">
        <v>3.4</v>
      </c>
      <c r="K23" s="35">
        <v>0.3</v>
      </c>
      <c r="L23" s="30"/>
      <c r="M23" s="32">
        <v>9</v>
      </c>
      <c r="N23" s="33" t="s">
        <v>265</v>
      </c>
      <c r="O23" s="34">
        <v>16</v>
      </c>
      <c r="P23" s="30">
        <v>3.4</v>
      </c>
      <c r="Q23" s="35">
        <v>0.4</v>
      </c>
    </row>
    <row r="24" spans="1:17" s="25" customFormat="1" ht="15" customHeight="1" x14ac:dyDescent="0.2">
      <c r="A24" s="32"/>
      <c r="B24" s="62"/>
      <c r="C24" s="63"/>
      <c r="D24" s="64"/>
      <c r="E24" s="35"/>
      <c r="F24" s="30"/>
      <c r="G24" s="32">
        <v>10</v>
      </c>
      <c r="H24" s="33" t="s">
        <v>247</v>
      </c>
      <c r="I24" s="34">
        <v>7</v>
      </c>
      <c r="J24" s="30">
        <v>3.4</v>
      </c>
      <c r="K24" s="35">
        <v>0.3</v>
      </c>
      <c r="L24" s="30"/>
      <c r="M24" s="32"/>
      <c r="N24" s="33"/>
      <c r="O24" s="34"/>
      <c r="P24" s="30"/>
      <c r="Q24" s="35"/>
    </row>
    <row r="25" spans="1:17" s="43" customFormat="1" ht="15" customHeight="1" x14ac:dyDescent="0.2">
      <c r="A25" s="40"/>
      <c r="B25" s="65" t="s">
        <v>561</v>
      </c>
      <c r="C25" s="66">
        <v>155</v>
      </c>
      <c r="D25" s="67">
        <v>58.3</v>
      </c>
      <c r="E25" s="42">
        <v>6.7</v>
      </c>
      <c r="F25" s="38"/>
      <c r="G25" s="40"/>
      <c r="H25" s="65" t="s">
        <v>561</v>
      </c>
      <c r="I25" s="41">
        <v>127</v>
      </c>
      <c r="J25" s="38">
        <v>61.7</v>
      </c>
      <c r="K25" s="42">
        <v>5.8</v>
      </c>
      <c r="L25" s="38"/>
      <c r="M25" s="40"/>
      <c r="N25" s="65" t="s">
        <v>561</v>
      </c>
      <c r="O25" s="41">
        <v>271</v>
      </c>
      <c r="P25" s="38">
        <v>57.4</v>
      </c>
      <c r="Q25" s="42">
        <v>6</v>
      </c>
    </row>
    <row r="26" spans="1:17" s="54" customFormat="1" ht="15" customHeight="1" x14ac:dyDescent="0.2">
      <c r="A26" s="50"/>
      <c r="B26" s="68" t="s">
        <v>67</v>
      </c>
      <c r="C26" s="69">
        <v>266</v>
      </c>
      <c r="D26" s="70">
        <v>100</v>
      </c>
      <c r="E26" s="53">
        <v>11.5</v>
      </c>
      <c r="F26" s="48"/>
      <c r="G26" s="50"/>
      <c r="H26" s="51" t="s">
        <v>67</v>
      </c>
      <c r="I26" s="52">
        <v>206</v>
      </c>
      <c r="J26" s="48">
        <v>100</v>
      </c>
      <c r="K26" s="53">
        <v>9.4</v>
      </c>
      <c r="L26" s="48"/>
      <c r="M26" s="50"/>
      <c r="N26" s="51" t="s">
        <v>67</v>
      </c>
      <c r="O26" s="52">
        <v>472</v>
      </c>
      <c r="P26" s="48">
        <v>100</v>
      </c>
      <c r="Q26" s="53">
        <v>10.5</v>
      </c>
    </row>
    <row r="27" spans="1:17" s="54" customFormat="1" ht="15" customHeight="1" x14ac:dyDescent="0.2">
      <c r="A27" s="55" t="s">
        <v>88</v>
      </c>
      <c r="B27" s="55"/>
      <c r="C27" s="56"/>
      <c r="D27" s="57"/>
      <c r="E27" s="58"/>
      <c r="F27" s="58"/>
      <c r="G27" s="59" t="s">
        <v>88</v>
      </c>
      <c r="H27" s="55"/>
      <c r="I27" s="60"/>
      <c r="J27" s="58"/>
      <c r="K27" s="58"/>
      <c r="L27" s="58"/>
      <c r="M27" s="55" t="s">
        <v>88</v>
      </c>
      <c r="N27" s="55"/>
      <c r="O27" s="60"/>
      <c r="P27" s="58"/>
      <c r="Q27" s="58"/>
    </row>
    <row r="28" spans="1:17" s="25" customFormat="1" ht="15" customHeight="1" x14ac:dyDescent="0.2">
      <c r="A28" s="32">
        <v>1</v>
      </c>
      <c r="B28" s="62" t="s">
        <v>53</v>
      </c>
      <c r="C28" s="63">
        <v>259</v>
      </c>
      <c r="D28" s="64">
        <v>32.299999999999997</v>
      </c>
      <c r="E28" s="35">
        <v>15</v>
      </c>
      <c r="F28" s="30"/>
      <c r="G28" s="32">
        <v>1</v>
      </c>
      <c r="H28" s="62" t="s">
        <v>53</v>
      </c>
      <c r="I28" s="34">
        <v>106</v>
      </c>
      <c r="J28" s="30">
        <v>34.4</v>
      </c>
      <c r="K28" s="35">
        <v>6.6</v>
      </c>
      <c r="L28" s="30"/>
      <c r="M28" s="32">
        <v>1</v>
      </c>
      <c r="N28" s="62" t="s">
        <v>53</v>
      </c>
      <c r="O28" s="34">
        <v>365</v>
      </c>
      <c r="P28" s="30">
        <v>32.9</v>
      </c>
      <c r="Q28" s="35">
        <v>10.9</v>
      </c>
    </row>
    <row r="29" spans="1:17" s="25" customFormat="1" ht="15" customHeight="1" x14ac:dyDescent="0.2">
      <c r="A29" s="32">
        <v>2</v>
      </c>
      <c r="B29" s="62" t="s">
        <v>100</v>
      </c>
      <c r="C29" s="63">
        <v>195</v>
      </c>
      <c r="D29" s="64">
        <v>24.3</v>
      </c>
      <c r="E29" s="35">
        <v>11.3</v>
      </c>
      <c r="F29" s="30"/>
      <c r="G29" s="32">
        <v>2</v>
      </c>
      <c r="H29" s="33" t="s">
        <v>100</v>
      </c>
      <c r="I29" s="34">
        <v>51</v>
      </c>
      <c r="J29" s="30">
        <v>16.600000000000001</v>
      </c>
      <c r="K29" s="35">
        <v>3.2</v>
      </c>
      <c r="L29" s="30"/>
      <c r="M29" s="32">
        <v>2</v>
      </c>
      <c r="N29" s="33" t="s">
        <v>100</v>
      </c>
      <c r="O29" s="34">
        <v>246</v>
      </c>
      <c r="P29" s="30">
        <v>22.1</v>
      </c>
      <c r="Q29" s="35">
        <v>7.4</v>
      </c>
    </row>
    <row r="30" spans="1:17" s="25" customFormat="1" ht="15" customHeight="1" x14ac:dyDescent="0.2">
      <c r="A30" s="32">
        <v>3</v>
      </c>
      <c r="B30" s="62" t="s">
        <v>89</v>
      </c>
      <c r="C30" s="63">
        <v>46</v>
      </c>
      <c r="D30" s="64">
        <v>5.7</v>
      </c>
      <c r="E30" s="35">
        <v>2.7</v>
      </c>
      <c r="F30" s="30"/>
      <c r="G30" s="32">
        <v>3</v>
      </c>
      <c r="H30" s="33" t="s">
        <v>55</v>
      </c>
      <c r="I30" s="34">
        <v>17</v>
      </c>
      <c r="J30" s="30">
        <v>5.5</v>
      </c>
      <c r="K30" s="35">
        <v>1.1000000000000001</v>
      </c>
      <c r="L30" s="30"/>
      <c r="M30" s="32">
        <v>3</v>
      </c>
      <c r="N30" s="33" t="s">
        <v>89</v>
      </c>
      <c r="O30" s="34">
        <v>56</v>
      </c>
      <c r="P30" s="30">
        <v>5</v>
      </c>
      <c r="Q30" s="35">
        <v>1.7</v>
      </c>
    </row>
    <row r="31" spans="1:17" s="25" customFormat="1" ht="15" customHeight="1" x14ac:dyDescent="0.2">
      <c r="A31" s="32">
        <v>4</v>
      </c>
      <c r="B31" s="62" t="s">
        <v>55</v>
      </c>
      <c r="C31" s="63">
        <v>32</v>
      </c>
      <c r="D31" s="64">
        <v>4</v>
      </c>
      <c r="E31" s="35">
        <v>1.9</v>
      </c>
      <c r="F31" s="30"/>
      <c r="G31" s="32">
        <v>4</v>
      </c>
      <c r="H31" s="33" t="s">
        <v>102</v>
      </c>
      <c r="I31" s="34">
        <v>11</v>
      </c>
      <c r="J31" s="30">
        <v>3.6</v>
      </c>
      <c r="K31" s="35">
        <v>0.7</v>
      </c>
      <c r="L31" s="30"/>
      <c r="M31" s="32">
        <v>4</v>
      </c>
      <c r="N31" s="33" t="s">
        <v>55</v>
      </c>
      <c r="O31" s="34">
        <v>49</v>
      </c>
      <c r="P31" s="30">
        <v>4.4000000000000004</v>
      </c>
      <c r="Q31" s="35">
        <v>1.5</v>
      </c>
    </row>
    <row r="32" spans="1:17" s="25" customFormat="1" ht="15" customHeight="1" x14ac:dyDescent="0.2">
      <c r="A32" s="32">
        <v>5</v>
      </c>
      <c r="B32" s="62" t="s">
        <v>101</v>
      </c>
      <c r="C32" s="63">
        <v>26</v>
      </c>
      <c r="D32" s="64">
        <v>3.2</v>
      </c>
      <c r="E32" s="35">
        <v>1.5</v>
      </c>
      <c r="F32" s="30"/>
      <c r="G32" s="32">
        <v>5</v>
      </c>
      <c r="H32" s="33" t="s">
        <v>89</v>
      </c>
      <c r="I32" s="34">
        <v>10</v>
      </c>
      <c r="J32" s="30">
        <v>3.2</v>
      </c>
      <c r="K32" s="35">
        <v>0.6</v>
      </c>
      <c r="L32" s="30"/>
      <c r="M32" s="32">
        <v>5</v>
      </c>
      <c r="N32" s="33" t="s">
        <v>102</v>
      </c>
      <c r="O32" s="34">
        <v>32</v>
      </c>
      <c r="P32" s="30">
        <v>2.9</v>
      </c>
      <c r="Q32" s="35">
        <v>1</v>
      </c>
    </row>
    <row r="33" spans="1:17" s="25" customFormat="1" ht="15" customHeight="1" x14ac:dyDescent="0.2">
      <c r="A33" s="32">
        <v>6</v>
      </c>
      <c r="B33" s="62" t="s">
        <v>84</v>
      </c>
      <c r="C33" s="63">
        <v>22</v>
      </c>
      <c r="D33" s="64">
        <v>2.7</v>
      </c>
      <c r="E33" s="35">
        <v>1.3</v>
      </c>
      <c r="F33" s="30"/>
      <c r="G33" s="32">
        <v>6</v>
      </c>
      <c r="H33" s="33" t="s">
        <v>87</v>
      </c>
      <c r="I33" s="34">
        <v>8</v>
      </c>
      <c r="J33" s="30">
        <v>2.6</v>
      </c>
      <c r="K33" s="35">
        <v>0.5</v>
      </c>
      <c r="L33" s="30"/>
      <c r="M33" s="32">
        <v>6</v>
      </c>
      <c r="N33" s="33" t="s">
        <v>101</v>
      </c>
      <c r="O33" s="34">
        <v>29</v>
      </c>
      <c r="P33" s="30">
        <v>2.6</v>
      </c>
      <c r="Q33" s="35">
        <v>0.9</v>
      </c>
    </row>
    <row r="34" spans="1:17" s="25" customFormat="1" ht="15" customHeight="1" x14ac:dyDescent="0.2">
      <c r="A34" s="32">
        <v>7</v>
      </c>
      <c r="B34" s="62" t="s">
        <v>102</v>
      </c>
      <c r="C34" s="63">
        <v>21</v>
      </c>
      <c r="D34" s="64">
        <v>2.6</v>
      </c>
      <c r="E34" s="35">
        <v>1.2</v>
      </c>
      <c r="F34" s="30"/>
      <c r="G34" s="32">
        <v>7</v>
      </c>
      <c r="H34" s="33" t="s">
        <v>86</v>
      </c>
      <c r="I34" s="34">
        <v>6</v>
      </c>
      <c r="J34" s="30">
        <v>1.9</v>
      </c>
      <c r="K34" s="35">
        <v>0.4</v>
      </c>
      <c r="L34" s="30"/>
      <c r="M34" s="32">
        <v>7</v>
      </c>
      <c r="N34" s="33" t="s">
        <v>84</v>
      </c>
      <c r="O34" s="34">
        <v>24</v>
      </c>
      <c r="P34" s="30">
        <v>2.2000000000000002</v>
      </c>
      <c r="Q34" s="35">
        <v>0.7</v>
      </c>
    </row>
    <row r="35" spans="1:17" s="25" customFormat="1" ht="15" customHeight="1" x14ac:dyDescent="0.2">
      <c r="A35" s="32">
        <v>8</v>
      </c>
      <c r="B35" s="62" t="s">
        <v>83</v>
      </c>
      <c r="C35" s="63">
        <v>17</v>
      </c>
      <c r="D35" s="64">
        <v>2.1</v>
      </c>
      <c r="E35" s="35">
        <v>1</v>
      </c>
      <c r="F35" s="30"/>
      <c r="G35" s="32">
        <v>7</v>
      </c>
      <c r="H35" s="33" t="s">
        <v>83</v>
      </c>
      <c r="I35" s="34">
        <v>6</v>
      </c>
      <c r="J35" s="30">
        <v>1.9</v>
      </c>
      <c r="K35" s="35">
        <v>0.4</v>
      </c>
      <c r="L35" s="30"/>
      <c r="M35" s="32">
        <v>8</v>
      </c>
      <c r="N35" s="33" t="s">
        <v>83</v>
      </c>
      <c r="O35" s="34">
        <v>23</v>
      </c>
      <c r="P35" s="30">
        <v>2.1</v>
      </c>
      <c r="Q35" s="35">
        <v>0.7</v>
      </c>
    </row>
    <row r="36" spans="1:17" s="25" customFormat="1" ht="15" customHeight="1" x14ac:dyDescent="0.2">
      <c r="A36" s="32">
        <v>9</v>
      </c>
      <c r="B36" s="62" t="s">
        <v>86</v>
      </c>
      <c r="C36" s="63">
        <v>14</v>
      </c>
      <c r="D36" s="64">
        <v>1.7</v>
      </c>
      <c r="E36" s="35">
        <v>0.8</v>
      </c>
      <c r="F36" s="30"/>
      <c r="G36" s="32">
        <v>9</v>
      </c>
      <c r="H36" s="33" t="s">
        <v>77</v>
      </c>
      <c r="I36" s="34">
        <v>5</v>
      </c>
      <c r="J36" s="30">
        <v>1.6</v>
      </c>
      <c r="K36" s="35">
        <v>0.3</v>
      </c>
      <c r="L36" s="30"/>
      <c r="M36" s="32">
        <v>9</v>
      </c>
      <c r="N36" s="33" t="s">
        <v>87</v>
      </c>
      <c r="O36" s="34">
        <v>20</v>
      </c>
      <c r="P36" s="30">
        <v>1.8</v>
      </c>
      <c r="Q36" s="35">
        <v>0.6</v>
      </c>
    </row>
    <row r="37" spans="1:17" s="25" customFormat="1" ht="15" customHeight="1" x14ac:dyDescent="0.2">
      <c r="A37" s="32">
        <v>10</v>
      </c>
      <c r="B37" s="62" t="s">
        <v>77</v>
      </c>
      <c r="C37" s="63">
        <v>13</v>
      </c>
      <c r="D37" s="64">
        <v>1.6</v>
      </c>
      <c r="E37" s="35">
        <v>0.8</v>
      </c>
      <c r="F37" s="30"/>
      <c r="G37" s="32">
        <v>9</v>
      </c>
      <c r="H37" s="33" t="s">
        <v>61</v>
      </c>
      <c r="I37" s="34">
        <v>5</v>
      </c>
      <c r="J37" s="30">
        <v>1.6</v>
      </c>
      <c r="K37" s="35">
        <v>0.3</v>
      </c>
      <c r="L37" s="30"/>
      <c r="M37" s="32">
        <v>9</v>
      </c>
      <c r="N37" s="33" t="s">
        <v>86</v>
      </c>
      <c r="O37" s="34">
        <v>20</v>
      </c>
      <c r="P37" s="30">
        <v>1.8</v>
      </c>
      <c r="Q37" s="35">
        <v>0.6</v>
      </c>
    </row>
    <row r="38" spans="1:17" s="25" customFormat="1" ht="15" customHeight="1" x14ac:dyDescent="0.2">
      <c r="A38" s="32"/>
      <c r="B38" s="62"/>
      <c r="C38" s="63"/>
      <c r="D38" s="64"/>
      <c r="E38" s="35"/>
      <c r="F38" s="30"/>
      <c r="G38" s="32">
        <v>9</v>
      </c>
      <c r="H38" s="33" t="s">
        <v>54</v>
      </c>
      <c r="I38" s="34">
        <v>5</v>
      </c>
      <c r="J38" s="30">
        <v>1.6</v>
      </c>
      <c r="K38" s="35">
        <v>0.3</v>
      </c>
      <c r="L38" s="30"/>
      <c r="M38" s="32"/>
      <c r="N38" s="33"/>
      <c r="O38" s="34"/>
      <c r="P38" s="30"/>
      <c r="Q38" s="35"/>
    </row>
    <row r="39" spans="1:17" s="43" customFormat="1" ht="15" customHeight="1" x14ac:dyDescent="0.2">
      <c r="A39" s="40"/>
      <c r="B39" s="65" t="s">
        <v>561</v>
      </c>
      <c r="C39" s="66">
        <v>645</v>
      </c>
      <c r="D39" s="67">
        <v>80.3</v>
      </c>
      <c r="E39" s="42">
        <v>37.4</v>
      </c>
      <c r="F39" s="38"/>
      <c r="G39" s="40"/>
      <c r="H39" s="65" t="s">
        <v>561</v>
      </c>
      <c r="I39" s="41">
        <v>230</v>
      </c>
      <c r="J39" s="38">
        <v>74.7</v>
      </c>
      <c r="K39" s="42">
        <v>14.3</v>
      </c>
      <c r="L39" s="38"/>
      <c r="M39" s="40"/>
      <c r="N39" s="65" t="s">
        <v>561</v>
      </c>
      <c r="O39" s="41">
        <v>864</v>
      </c>
      <c r="P39" s="38">
        <v>77.8</v>
      </c>
      <c r="Q39" s="42">
        <v>25.9</v>
      </c>
    </row>
    <row r="40" spans="1:17" s="54" customFormat="1" ht="15" customHeight="1" x14ac:dyDescent="0.2">
      <c r="A40" s="50"/>
      <c r="B40" s="68" t="s">
        <v>67</v>
      </c>
      <c r="C40" s="69">
        <v>803</v>
      </c>
      <c r="D40" s="70">
        <v>100</v>
      </c>
      <c r="E40" s="53">
        <v>46.5</v>
      </c>
      <c r="F40" s="48"/>
      <c r="G40" s="50"/>
      <c r="H40" s="51" t="s">
        <v>67</v>
      </c>
      <c r="I40" s="52">
        <v>308</v>
      </c>
      <c r="J40" s="48">
        <v>100</v>
      </c>
      <c r="K40" s="53">
        <v>19.100000000000001</v>
      </c>
      <c r="L40" s="48"/>
      <c r="M40" s="50"/>
      <c r="N40" s="51" t="s">
        <v>67</v>
      </c>
      <c r="O40" s="52">
        <v>1111</v>
      </c>
      <c r="P40" s="48">
        <v>100</v>
      </c>
      <c r="Q40" s="53">
        <v>33.299999999999997</v>
      </c>
    </row>
    <row r="41" spans="1:17" s="43" customFormat="1" ht="15" customHeight="1" x14ac:dyDescent="0.2">
      <c r="A41" s="55" t="s">
        <v>90</v>
      </c>
      <c r="B41" s="65"/>
      <c r="C41" s="66"/>
      <c r="D41" s="67"/>
      <c r="E41" s="38"/>
      <c r="F41" s="38"/>
      <c r="G41" s="59" t="s">
        <v>90</v>
      </c>
      <c r="H41" s="65"/>
      <c r="I41" s="41"/>
      <c r="J41" s="38"/>
      <c r="K41" s="38"/>
      <c r="L41" s="38"/>
      <c r="M41" s="55" t="s">
        <v>90</v>
      </c>
      <c r="N41" s="65"/>
      <c r="O41" s="41"/>
      <c r="P41" s="38"/>
      <c r="Q41" s="38"/>
    </row>
    <row r="42" spans="1:17" s="25" customFormat="1" ht="15" customHeight="1" x14ac:dyDescent="0.2">
      <c r="A42" s="32">
        <v>1</v>
      </c>
      <c r="B42" s="62" t="s">
        <v>53</v>
      </c>
      <c r="C42" s="63">
        <v>901</v>
      </c>
      <c r="D42" s="64">
        <v>25.3</v>
      </c>
      <c r="E42" s="35">
        <v>23.7</v>
      </c>
      <c r="F42" s="30"/>
      <c r="G42" s="32">
        <v>1</v>
      </c>
      <c r="H42" s="62" t="s">
        <v>53</v>
      </c>
      <c r="I42" s="34">
        <v>289</v>
      </c>
      <c r="J42" s="30">
        <v>14.9</v>
      </c>
      <c r="K42" s="35">
        <v>7.6</v>
      </c>
      <c r="L42" s="30"/>
      <c r="M42" s="32">
        <v>1</v>
      </c>
      <c r="N42" s="62" t="s">
        <v>53</v>
      </c>
      <c r="O42" s="34">
        <v>1190</v>
      </c>
      <c r="P42" s="30">
        <v>21.6</v>
      </c>
      <c r="Q42" s="35">
        <v>15.6</v>
      </c>
    </row>
    <row r="43" spans="1:17" s="25" customFormat="1" ht="15" customHeight="1" x14ac:dyDescent="0.2">
      <c r="A43" s="32">
        <v>2</v>
      </c>
      <c r="B43" s="62" t="s">
        <v>89</v>
      </c>
      <c r="C43" s="63">
        <v>375</v>
      </c>
      <c r="D43" s="64">
        <v>10.5</v>
      </c>
      <c r="E43" s="35">
        <v>9.9</v>
      </c>
      <c r="F43" s="30"/>
      <c r="G43" s="32">
        <v>2</v>
      </c>
      <c r="H43" s="62" t="s">
        <v>48</v>
      </c>
      <c r="I43" s="34">
        <v>121</v>
      </c>
      <c r="J43" s="30">
        <v>6.2</v>
      </c>
      <c r="K43" s="35">
        <v>3.2</v>
      </c>
      <c r="L43" s="30"/>
      <c r="M43" s="32">
        <v>2</v>
      </c>
      <c r="N43" s="62" t="s">
        <v>89</v>
      </c>
      <c r="O43" s="34">
        <v>491</v>
      </c>
      <c r="P43" s="30">
        <v>8.9</v>
      </c>
      <c r="Q43" s="35">
        <v>6.4</v>
      </c>
    </row>
    <row r="44" spans="1:17" s="25" customFormat="1" ht="15" customHeight="1" x14ac:dyDescent="0.2">
      <c r="A44" s="32">
        <v>3</v>
      </c>
      <c r="B44" s="62" t="s">
        <v>100</v>
      </c>
      <c r="C44" s="63">
        <v>302</v>
      </c>
      <c r="D44" s="64">
        <v>8.5</v>
      </c>
      <c r="E44" s="35">
        <v>7.9</v>
      </c>
      <c r="F44" s="30"/>
      <c r="G44" s="32">
        <v>3</v>
      </c>
      <c r="H44" s="62" t="s">
        <v>89</v>
      </c>
      <c r="I44" s="34">
        <v>116</v>
      </c>
      <c r="J44" s="30">
        <v>6</v>
      </c>
      <c r="K44" s="35">
        <v>3</v>
      </c>
      <c r="L44" s="30"/>
      <c r="M44" s="32">
        <v>3</v>
      </c>
      <c r="N44" s="62" t="s">
        <v>100</v>
      </c>
      <c r="O44" s="34">
        <v>392</v>
      </c>
      <c r="P44" s="30">
        <v>7.1</v>
      </c>
      <c r="Q44" s="35">
        <v>5.0999999999999996</v>
      </c>
    </row>
    <row r="45" spans="1:17" s="25" customFormat="1" ht="15" customHeight="1" x14ac:dyDescent="0.2">
      <c r="A45" s="32">
        <v>4</v>
      </c>
      <c r="B45" s="62" t="s">
        <v>42</v>
      </c>
      <c r="C45" s="63">
        <v>173</v>
      </c>
      <c r="D45" s="64">
        <v>4.9000000000000004</v>
      </c>
      <c r="E45" s="35">
        <v>4.5</v>
      </c>
      <c r="F45" s="30"/>
      <c r="G45" s="32">
        <v>4</v>
      </c>
      <c r="H45" s="33" t="s">
        <v>55</v>
      </c>
      <c r="I45" s="34">
        <v>95</v>
      </c>
      <c r="J45" s="30">
        <v>4.9000000000000004</v>
      </c>
      <c r="K45" s="35">
        <v>2.5</v>
      </c>
      <c r="L45" s="30"/>
      <c r="M45" s="32">
        <v>4</v>
      </c>
      <c r="N45" s="33" t="s">
        <v>55</v>
      </c>
      <c r="O45" s="34">
        <v>260</v>
      </c>
      <c r="P45" s="30">
        <v>4.7</v>
      </c>
      <c r="Q45" s="35">
        <v>3.4</v>
      </c>
    </row>
    <row r="46" spans="1:17" s="25" customFormat="1" ht="15" customHeight="1" x14ac:dyDescent="0.2">
      <c r="A46" s="32">
        <v>5</v>
      </c>
      <c r="B46" s="62" t="s">
        <v>55</v>
      </c>
      <c r="C46" s="63">
        <v>165</v>
      </c>
      <c r="D46" s="64">
        <v>4.5999999999999996</v>
      </c>
      <c r="E46" s="35">
        <v>4.3</v>
      </c>
      <c r="F46" s="30"/>
      <c r="G46" s="32">
        <v>4</v>
      </c>
      <c r="H46" s="33" t="s">
        <v>50</v>
      </c>
      <c r="I46" s="34">
        <v>95</v>
      </c>
      <c r="J46" s="30">
        <v>4.9000000000000004</v>
      </c>
      <c r="K46" s="35">
        <v>2.5</v>
      </c>
      <c r="L46" s="30"/>
      <c r="M46" s="32">
        <v>5</v>
      </c>
      <c r="N46" s="33" t="s">
        <v>60</v>
      </c>
      <c r="O46" s="34">
        <v>216</v>
      </c>
      <c r="P46" s="30">
        <v>3.9</v>
      </c>
      <c r="Q46" s="35">
        <v>2.8</v>
      </c>
    </row>
    <row r="47" spans="1:17" s="25" customFormat="1" ht="15" customHeight="1" x14ac:dyDescent="0.2">
      <c r="A47" s="32">
        <v>6</v>
      </c>
      <c r="B47" s="62" t="s">
        <v>60</v>
      </c>
      <c r="C47" s="63">
        <v>128</v>
      </c>
      <c r="D47" s="64">
        <v>3.6</v>
      </c>
      <c r="E47" s="35">
        <v>3.4</v>
      </c>
      <c r="F47" s="30"/>
      <c r="G47" s="32">
        <v>6</v>
      </c>
      <c r="H47" s="33" t="s">
        <v>100</v>
      </c>
      <c r="I47" s="34">
        <v>90</v>
      </c>
      <c r="J47" s="30">
        <v>4.5999999999999996</v>
      </c>
      <c r="K47" s="35">
        <v>2.4</v>
      </c>
      <c r="L47" s="30"/>
      <c r="M47" s="32">
        <v>6</v>
      </c>
      <c r="N47" s="33" t="s">
        <v>42</v>
      </c>
      <c r="O47" s="34">
        <v>215</v>
      </c>
      <c r="P47" s="30">
        <v>3.9</v>
      </c>
      <c r="Q47" s="35">
        <v>2.8</v>
      </c>
    </row>
    <row r="48" spans="1:17" s="25" customFormat="1" ht="15" customHeight="1" x14ac:dyDescent="0.2">
      <c r="A48" s="32">
        <v>7</v>
      </c>
      <c r="B48" s="62" t="s">
        <v>50</v>
      </c>
      <c r="C48" s="63">
        <v>96</v>
      </c>
      <c r="D48" s="64">
        <v>2.7</v>
      </c>
      <c r="E48" s="35">
        <v>2.5</v>
      </c>
      <c r="F48" s="30"/>
      <c r="G48" s="32">
        <v>7</v>
      </c>
      <c r="H48" s="33" t="s">
        <v>60</v>
      </c>
      <c r="I48" s="34">
        <v>88</v>
      </c>
      <c r="J48" s="30">
        <v>4.5</v>
      </c>
      <c r="K48" s="35">
        <v>2.2999999999999998</v>
      </c>
      <c r="L48" s="30"/>
      <c r="M48" s="32">
        <v>7</v>
      </c>
      <c r="N48" s="33" t="s">
        <v>50</v>
      </c>
      <c r="O48" s="34">
        <v>191</v>
      </c>
      <c r="P48" s="30">
        <v>3.5</v>
      </c>
      <c r="Q48" s="35">
        <v>2.5</v>
      </c>
    </row>
    <row r="49" spans="1:17" s="25" customFormat="1" ht="15" customHeight="1" x14ac:dyDescent="0.2">
      <c r="A49" s="32">
        <v>8</v>
      </c>
      <c r="B49" s="62" t="s">
        <v>102</v>
      </c>
      <c r="C49" s="63">
        <v>71</v>
      </c>
      <c r="D49" s="64">
        <v>2</v>
      </c>
      <c r="E49" s="35">
        <v>1.9</v>
      </c>
      <c r="F49" s="30"/>
      <c r="G49" s="32">
        <v>8</v>
      </c>
      <c r="H49" s="33" t="s">
        <v>91</v>
      </c>
      <c r="I49" s="34">
        <v>64</v>
      </c>
      <c r="J49" s="30">
        <v>3.3</v>
      </c>
      <c r="K49" s="35">
        <v>1.7</v>
      </c>
      <c r="L49" s="30"/>
      <c r="M49" s="32">
        <v>8</v>
      </c>
      <c r="N49" s="33" t="s">
        <v>48</v>
      </c>
      <c r="O49" s="34">
        <v>121</v>
      </c>
      <c r="P49" s="30">
        <v>2.2000000000000002</v>
      </c>
      <c r="Q49" s="35">
        <v>1.6</v>
      </c>
    </row>
    <row r="50" spans="1:17" s="25" customFormat="1" ht="15" customHeight="1" x14ac:dyDescent="0.2">
      <c r="A50" s="32">
        <v>8</v>
      </c>
      <c r="B50" s="62" t="s">
        <v>82</v>
      </c>
      <c r="C50" s="63">
        <v>71</v>
      </c>
      <c r="D50" s="64">
        <v>2</v>
      </c>
      <c r="E50" s="35">
        <v>1.9</v>
      </c>
      <c r="F50" s="30"/>
      <c r="G50" s="32">
        <v>9</v>
      </c>
      <c r="H50" s="33" t="s">
        <v>77</v>
      </c>
      <c r="I50" s="34">
        <v>46</v>
      </c>
      <c r="J50" s="30">
        <v>2.4</v>
      </c>
      <c r="K50" s="35">
        <v>1.2</v>
      </c>
      <c r="L50" s="30"/>
      <c r="M50" s="32">
        <v>9</v>
      </c>
      <c r="N50" s="33" t="s">
        <v>82</v>
      </c>
      <c r="O50" s="34">
        <v>113</v>
      </c>
      <c r="P50" s="30">
        <v>2.1</v>
      </c>
      <c r="Q50" s="35">
        <v>1.5</v>
      </c>
    </row>
    <row r="51" spans="1:17" s="25" customFormat="1" ht="15" customHeight="1" x14ac:dyDescent="0.2">
      <c r="A51" s="32">
        <v>10</v>
      </c>
      <c r="B51" s="62" t="s">
        <v>101</v>
      </c>
      <c r="C51" s="63">
        <v>62</v>
      </c>
      <c r="D51" s="64">
        <v>1.7</v>
      </c>
      <c r="E51" s="35">
        <v>1.6</v>
      </c>
      <c r="F51" s="30"/>
      <c r="G51" s="32">
        <v>9</v>
      </c>
      <c r="H51" s="33" t="s">
        <v>49</v>
      </c>
      <c r="I51" s="34">
        <v>46</v>
      </c>
      <c r="J51" s="30">
        <v>2.4</v>
      </c>
      <c r="K51" s="35">
        <v>1.2</v>
      </c>
      <c r="L51" s="30"/>
      <c r="M51" s="32">
        <v>10</v>
      </c>
      <c r="N51" s="33" t="s">
        <v>49</v>
      </c>
      <c r="O51" s="34">
        <v>104</v>
      </c>
      <c r="P51" s="30">
        <v>1.9</v>
      </c>
      <c r="Q51" s="35">
        <v>1.4</v>
      </c>
    </row>
    <row r="52" spans="1:17" s="43" customFormat="1" ht="15" customHeight="1" x14ac:dyDescent="0.2">
      <c r="A52" s="40"/>
      <c r="B52" s="65" t="s">
        <v>561</v>
      </c>
      <c r="C52" s="66">
        <v>2344</v>
      </c>
      <c r="D52" s="67">
        <v>65.7</v>
      </c>
      <c r="E52" s="42">
        <v>61.6</v>
      </c>
      <c r="F52" s="38"/>
      <c r="G52" s="40"/>
      <c r="H52" s="65" t="s">
        <v>561</v>
      </c>
      <c r="I52" s="41">
        <v>1050</v>
      </c>
      <c r="J52" s="38">
        <v>54</v>
      </c>
      <c r="K52" s="42">
        <v>27.4</v>
      </c>
      <c r="L52" s="38"/>
      <c r="M52" s="40"/>
      <c r="N52" s="65" t="s">
        <v>561</v>
      </c>
      <c r="O52" s="41">
        <v>3293</v>
      </c>
      <c r="P52" s="38">
        <v>59.8</v>
      </c>
      <c r="Q52" s="42">
        <v>43.1</v>
      </c>
    </row>
    <row r="53" spans="1:17" s="54" customFormat="1" ht="15" customHeight="1" x14ac:dyDescent="0.2">
      <c r="A53" s="50"/>
      <c r="B53" s="68" t="s">
        <v>67</v>
      </c>
      <c r="C53" s="69">
        <v>3566</v>
      </c>
      <c r="D53" s="70">
        <v>100</v>
      </c>
      <c r="E53" s="53">
        <v>93.7</v>
      </c>
      <c r="F53" s="48"/>
      <c r="G53" s="50"/>
      <c r="H53" s="51" t="s">
        <v>67</v>
      </c>
      <c r="I53" s="52">
        <v>1943</v>
      </c>
      <c r="J53" s="48">
        <v>100</v>
      </c>
      <c r="K53" s="53">
        <v>50.8</v>
      </c>
      <c r="L53" s="48"/>
      <c r="M53" s="50"/>
      <c r="N53" s="51" t="s">
        <v>67</v>
      </c>
      <c r="O53" s="52">
        <v>5509</v>
      </c>
      <c r="P53" s="48">
        <v>100</v>
      </c>
      <c r="Q53" s="53">
        <v>72.2</v>
      </c>
    </row>
    <row r="54" spans="1:17" s="25" customFormat="1" ht="15" customHeight="1" x14ac:dyDescent="0.2">
      <c r="A54" s="21" t="s">
        <v>92</v>
      </c>
      <c r="B54" s="62"/>
      <c r="C54" s="63"/>
      <c r="D54" s="64"/>
      <c r="E54" s="30"/>
      <c r="G54" s="61" t="s">
        <v>92</v>
      </c>
      <c r="H54" s="33"/>
      <c r="I54" s="34"/>
      <c r="J54" s="30"/>
      <c r="K54" s="30"/>
      <c r="L54" s="30"/>
      <c r="M54" s="21" t="s">
        <v>92</v>
      </c>
      <c r="N54" s="33"/>
      <c r="O54" s="34"/>
      <c r="P54" s="30"/>
      <c r="Q54" s="30"/>
    </row>
    <row r="55" spans="1:17" s="25" customFormat="1" ht="15" customHeight="1" x14ac:dyDescent="0.2">
      <c r="A55" s="32">
        <v>1</v>
      </c>
      <c r="B55" s="62" t="s">
        <v>42</v>
      </c>
      <c r="C55" s="63">
        <v>1732</v>
      </c>
      <c r="D55" s="64">
        <v>12.8</v>
      </c>
      <c r="E55" s="35">
        <v>55.6</v>
      </c>
      <c r="G55" s="32">
        <v>1</v>
      </c>
      <c r="H55" s="33" t="s">
        <v>48</v>
      </c>
      <c r="I55" s="34">
        <v>829</v>
      </c>
      <c r="J55" s="30">
        <v>9.9</v>
      </c>
      <c r="K55" s="35">
        <v>25.7</v>
      </c>
      <c r="L55" s="30"/>
      <c r="M55" s="32">
        <v>1</v>
      </c>
      <c r="N55" s="33" t="s">
        <v>42</v>
      </c>
      <c r="O55" s="34">
        <v>2203</v>
      </c>
      <c r="P55" s="30">
        <v>10</v>
      </c>
      <c r="Q55" s="35">
        <v>34.700000000000003</v>
      </c>
    </row>
    <row r="56" spans="1:17" s="25" customFormat="1" ht="15" customHeight="1" x14ac:dyDescent="0.2">
      <c r="A56" s="32">
        <v>2</v>
      </c>
      <c r="B56" s="62" t="s">
        <v>44</v>
      </c>
      <c r="C56" s="63">
        <v>960</v>
      </c>
      <c r="D56" s="64">
        <v>7.1</v>
      </c>
      <c r="E56" s="35">
        <v>30.8</v>
      </c>
      <c r="F56" s="30"/>
      <c r="G56" s="32">
        <v>2</v>
      </c>
      <c r="H56" s="62" t="s">
        <v>44</v>
      </c>
      <c r="I56" s="34">
        <v>682</v>
      </c>
      <c r="J56" s="30">
        <v>8.1</v>
      </c>
      <c r="K56" s="35">
        <v>21.1</v>
      </c>
      <c r="L56" s="30"/>
      <c r="M56" s="32">
        <v>2</v>
      </c>
      <c r="N56" s="62" t="s">
        <v>44</v>
      </c>
      <c r="O56" s="34">
        <v>1642</v>
      </c>
      <c r="P56" s="30">
        <v>7.5</v>
      </c>
      <c r="Q56" s="35">
        <v>25.9</v>
      </c>
    </row>
    <row r="57" spans="1:17" s="25" customFormat="1" ht="15" customHeight="1" x14ac:dyDescent="0.2">
      <c r="A57" s="32">
        <v>3</v>
      </c>
      <c r="B57" s="62" t="s">
        <v>53</v>
      </c>
      <c r="C57" s="63">
        <v>818</v>
      </c>
      <c r="D57" s="64">
        <v>6</v>
      </c>
      <c r="E57" s="35">
        <v>26.3</v>
      </c>
      <c r="F57" s="30"/>
      <c r="G57" s="32">
        <v>3</v>
      </c>
      <c r="H57" s="62" t="s">
        <v>42</v>
      </c>
      <c r="I57" s="34">
        <v>471</v>
      </c>
      <c r="J57" s="30">
        <v>5.6</v>
      </c>
      <c r="K57" s="35">
        <v>14.6</v>
      </c>
      <c r="L57" s="30"/>
      <c r="M57" s="32">
        <v>3</v>
      </c>
      <c r="N57" s="62" t="s">
        <v>53</v>
      </c>
      <c r="O57" s="34">
        <v>1071</v>
      </c>
      <c r="P57" s="30">
        <v>4.9000000000000004</v>
      </c>
      <c r="Q57" s="35">
        <v>16.899999999999999</v>
      </c>
    </row>
    <row r="58" spans="1:17" s="25" customFormat="1" ht="15" customHeight="1" x14ac:dyDescent="0.2">
      <c r="A58" s="32">
        <v>4</v>
      </c>
      <c r="B58" s="62" t="s">
        <v>60</v>
      </c>
      <c r="C58" s="63">
        <v>658</v>
      </c>
      <c r="D58" s="64">
        <v>4.9000000000000004</v>
      </c>
      <c r="E58" s="35">
        <v>21.1</v>
      </c>
      <c r="F58" s="30"/>
      <c r="G58" s="32">
        <v>4</v>
      </c>
      <c r="H58" s="62" t="s">
        <v>50</v>
      </c>
      <c r="I58" s="34">
        <v>432</v>
      </c>
      <c r="J58" s="30">
        <v>5.0999999999999996</v>
      </c>
      <c r="K58" s="35">
        <v>13.4</v>
      </c>
      <c r="L58" s="30"/>
      <c r="M58" s="32">
        <v>4</v>
      </c>
      <c r="N58" s="62" t="s">
        <v>60</v>
      </c>
      <c r="O58" s="34">
        <v>1022</v>
      </c>
      <c r="P58" s="30">
        <v>4.7</v>
      </c>
      <c r="Q58" s="35">
        <v>16.100000000000001</v>
      </c>
    </row>
    <row r="59" spans="1:17" s="25" customFormat="1" ht="15" customHeight="1" x14ac:dyDescent="0.2">
      <c r="A59" s="71">
        <v>5</v>
      </c>
      <c r="B59" s="62" t="s">
        <v>50</v>
      </c>
      <c r="C59" s="63">
        <v>576</v>
      </c>
      <c r="D59" s="64">
        <v>4.3</v>
      </c>
      <c r="E59" s="35">
        <v>18.5</v>
      </c>
      <c r="F59" s="30"/>
      <c r="G59" s="71">
        <v>5</v>
      </c>
      <c r="H59" s="62" t="s">
        <v>60</v>
      </c>
      <c r="I59" s="34">
        <v>364</v>
      </c>
      <c r="J59" s="30">
        <v>4.3</v>
      </c>
      <c r="K59" s="35">
        <v>11.3</v>
      </c>
      <c r="L59" s="30"/>
      <c r="M59" s="71">
        <v>5</v>
      </c>
      <c r="N59" s="62" t="s">
        <v>50</v>
      </c>
      <c r="O59" s="34">
        <v>1008</v>
      </c>
      <c r="P59" s="30">
        <v>4.5999999999999996</v>
      </c>
      <c r="Q59" s="35">
        <v>15.9</v>
      </c>
    </row>
    <row r="60" spans="1:17" s="25" customFormat="1" ht="15" customHeight="1" x14ac:dyDescent="0.2">
      <c r="A60" s="32">
        <v>6</v>
      </c>
      <c r="B60" s="62" t="s">
        <v>49</v>
      </c>
      <c r="C60" s="63">
        <v>444</v>
      </c>
      <c r="D60" s="64">
        <v>3.3</v>
      </c>
      <c r="E60" s="35">
        <v>14.3</v>
      </c>
      <c r="F60" s="30"/>
      <c r="G60" s="32">
        <v>6</v>
      </c>
      <c r="H60" s="33" t="s">
        <v>46</v>
      </c>
      <c r="I60" s="34">
        <v>342</v>
      </c>
      <c r="J60" s="30">
        <v>4.0999999999999996</v>
      </c>
      <c r="K60" s="35">
        <v>10.6</v>
      </c>
      <c r="L60" s="30"/>
      <c r="M60" s="32">
        <v>6</v>
      </c>
      <c r="N60" s="33" t="s">
        <v>48</v>
      </c>
      <c r="O60" s="34">
        <v>837</v>
      </c>
      <c r="P60" s="30">
        <v>3.8</v>
      </c>
      <c r="Q60" s="35">
        <v>13.2</v>
      </c>
    </row>
    <row r="61" spans="1:17" s="25" customFormat="1" ht="15" customHeight="1" x14ac:dyDescent="0.2">
      <c r="A61" s="32">
        <v>7</v>
      </c>
      <c r="B61" s="62" t="s">
        <v>56</v>
      </c>
      <c r="C61" s="63">
        <v>430</v>
      </c>
      <c r="D61" s="64">
        <v>3.2</v>
      </c>
      <c r="E61" s="35">
        <v>13.8</v>
      </c>
      <c r="F61" s="30"/>
      <c r="G61" s="32">
        <v>7</v>
      </c>
      <c r="H61" s="33" t="s">
        <v>56</v>
      </c>
      <c r="I61" s="34">
        <v>302</v>
      </c>
      <c r="J61" s="30">
        <v>3.6</v>
      </c>
      <c r="K61" s="35">
        <v>9.4</v>
      </c>
      <c r="L61" s="30"/>
      <c r="M61" s="32">
        <v>7</v>
      </c>
      <c r="N61" s="33" t="s">
        <v>56</v>
      </c>
      <c r="O61" s="34">
        <v>732</v>
      </c>
      <c r="P61" s="30">
        <v>3.3</v>
      </c>
      <c r="Q61" s="35">
        <v>11.5</v>
      </c>
    </row>
    <row r="62" spans="1:17" s="25" customFormat="1" ht="15" customHeight="1" x14ac:dyDescent="0.2">
      <c r="A62" s="32">
        <v>8</v>
      </c>
      <c r="B62" s="62" t="s">
        <v>55</v>
      </c>
      <c r="C62" s="63">
        <v>405</v>
      </c>
      <c r="D62" s="64">
        <v>3</v>
      </c>
      <c r="E62" s="35">
        <v>13</v>
      </c>
      <c r="F62" s="30"/>
      <c r="G62" s="32">
        <v>8</v>
      </c>
      <c r="H62" s="33" t="s">
        <v>45</v>
      </c>
      <c r="I62" s="34">
        <v>288</v>
      </c>
      <c r="J62" s="30">
        <v>3.4</v>
      </c>
      <c r="K62" s="35">
        <v>8.9</v>
      </c>
      <c r="L62" s="30"/>
      <c r="M62" s="32">
        <v>8</v>
      </c>
      <c r="N62" s="33" t="s">
        <v>46</v>
      </c>
      <c r="O62" s="34">
        <v>730</v>
      </c>
      <c r="P62" s="30">
        <v>3.3</v>
      </c>
      <c r="Q62" s="35">
        <v>11.5</v>
      </c>
    </row>
    <row r="63" spans="1:17" s="25" customFormat="1" ht="15" customHeight="1" x14ac:dyDescent="0.2">
      <c r="A63" s="32">
        <v>9</v>
      </c>
      <c r="B63" s="62" t="s">
        <v>89</v>
      </c>
      <c r="C63" s="63">
        <v>392</v>
      </c>
      <c r="D63" s="64">
        <v>2.9</v>
      </c>
      <c r="E63" s="35">
        <v>12.6</v>
      </c>
      <c r="F63" s="30"/>
      <c r="G63" s="32">
        <v>9</v>
      </c>
      <c r="H63" s="33" t="s">
        <v>66</v>
      </c>
      <c r="I63" s="34">
        <v>262</v>
      </c>
      <c r="J63" s="30">
        <v>3.1</v>
      </c>
      <c r="K63" s="35">
        <v>8.1</v>
      </c>
      <c r="L63" s="30"/>
      <c r="M63" s="32">
        <v>9</v>
      </c>
      <c r="N63" s="33" t="s">
        <v>49</v>
      </c>
      <c r="O63" s="34">
        <v>657</v>
      </c>
      <c r="P63" s="30">
        <v>3</v>
      </c>
      <c r="Q63" s="35">
        <v>10.4</v>
      </c>
    </row>
    <row r="64" spans="1:17" s="25" customFormat="1" ht="15" customHeight="1" x14ac:dyDescent="0.2">
      <c r="A64" s="32">
        <v>10</v>
      </c>
      <c r="B64" s="62" t="s">
        <v>46</v>
      </c>
      <c r="C64" s="63">
        <v>388</v>
      </c>
      <c r="D64" s="64">
        <v>2.9</v>
      </c>
      <c r="E64" s="35">
        <v>12.5</v>
      </c>
      <c r="F64" s="30"/>
      <c r="G64" s="32">
        <v>10</v>
      </c>
      <c r="H64" s="33" t="s">
        <v>53</v>
      </c>
      <c r="I64" s="34">
        <v>253</v>
      </c>
      <c r="J64" s="30">
        <v>3</v>
      </c>
      <c r="K64" s="35">
        <v>7.8</v>
      </c>
      <c r="L64" s="30"/>
      <c r="M64" s="32">
        <v>10</v>
      </c>
      <c r="N64" s="33" t="s">
        <v>45</v>
      </c>
      <c r="O64" s="34">
        <v>652</v>
      </c>
      <c r="P64" s="30">
        <v>3</v>
      </c>
      <c r="Q64" s="35">
        <v>10.3</v>
      </c>
    </row>
    <row r="65" spans="1:17" s="43" customFormat="1" ht="15" customHeight="1" x14ac:dyDescent="0.2">
      <c r="A65" s="40"/>
      <c r="B65" s="65" t="s">
        <v>561</v>
      </c>
      <c r="C65" s="66">
        <v>6803</v>
      </c>
      <c r="D65" s="67">
        <v>50.2</v>
      </c>
      <c r="E65" s="42">
        <v>218.5</v>
      </c>
      <c r="F65" s="38"/>
      <c r="G65" s="40"/>
      <c r="H65" s="65" t="s">
        <v>561</v>
      </c>
      <c r="I65" s="41">
        <v>4225</v>
      </c>
      <c r="J65" s="38">
        <v>50.3</v>
      </c>
      <c r="K65" s="42">
        <v>130.9</v>
      </c>
      <c r="L65" s="38"/>
      <c r="M65" s="40"/>
      <c r="N65" s="65" t="s">
        <v>561</v>
      </c>
      <c r="O65" s="41">
        <v>10554</v>
      </c>
      <c r="P65" s="38">
        <v>48.1</v>
      </c>
      <c r="Q65" s="42">
        <v>166.4</v>
      </c>
    </row>
    <row r="66" spans="1:17" s="54" customFormat="1" ht="15" customHeight="1" x14ac:dyDescent="0.2">
      <c r="A66" s="50"/>
      <c r="B66" s="68" t="s">
        <v>67</v>
      </c>
      <c r="C66" s="69">
        <v>13539</v>
      </c>
      <c r="D66" s="70">
        <v>100</v>
      </c>
      <c r="E66" s="53">
        <v>434.8</v>
      </c>
      <c r="F66" s="48"/>
      <c r="G66" s="50"/>
      <c r="H66" s="51" t="s">
        <v>67</v>
      </c>
      <c r="I66" s="52">
        <v>8396</v>
      </c>
      <c r="J66" s="48">
        <v>100</v>
      </c>
      <c r="K66" s="53">
        <v>260.2</v>
      </c>
      <c r="L66" s="48"/>
      <c r="M66" s="50"/>
      <c r="N66" s="51" t="s">
        <v>67</v>
      </c>
      <c r="O66" s="52">
        <v>21935</v>
      </c>
      <c r="P66" s="48">
        <v>100</v>
      </c>
      <c r="Q66" s="53">
        <v>345.9</v>
      </c>
    </row>
    <row r="67" spans="1:17" s="25" customFormat="1" ht="15" customHeight="1" x14ac:dyDescent="0.2">
      <c r="A67" s="55" t="s">
        <v>93</v>
      </c>
      <c r="B67" s="62"/>
      <c r="C67" s="63"/>
      <c r="D67" s="64"/>
      <c r="E67" s="30"/>
      <c r="F67" s="30"/>
      <c r="G67" s="59" t="s">
        <v>93</v>
      </c>
      <c r="H67" s="33"/>
      <c r="I67" s="34"/>
      <c r="J67" s="30"/>
      <c r="K67" s="30"/>
      <c r="L67" s="30"/>
      <c r="M67" s="55" t="s">
        <v>93</v>
      </c>
      <c r="N67" s="33"/>
      <c r="O67" s="34"/>
      <c r="P67" s="30"/>
      <c r="Q67" s="30"/>
    </row>
    <row r="68" spans="1:17" s="25" customFormat="1" ht="15" customHeight="1" x14ac:dyDescent="0.2">
      <c r="A68" s="32">
        <v>1</v>
      </c>
      <c r="B68" s="62" t="s">
        <v>42</v>
      </c>
      <c r="C68" s="63">
        <v>1983</v>
      </c>
      <c r="D68" s="64">
        <v>11.5</v>
      </c>
      <c r="E68" s="35">
        <v>166.3</v>
      </c>
      <c r="F68" s="30"/>
      <c r="G68" s="32">
        <v>1</v>
      </c>
      <c r="H68" s="33" t="s">
        <v>44</v>
      </c>
      <c r="I68" s="34">
        <v>1130</v>
      </c>
      <c r="J68" s="30">
        <v>10</v>
      </c>
      <c r="K68" s="35">
        <v>87.4</v>
      </c>
      <c r="L68" s="30"/>
      <c r="M68" s="32">
        <v>1</v>
      </c>
      <c r="N68" s="33" t="s">
        <v>44</v>
      </c>
      <c r="O68" s="34">
        <v>2695</v>
      </c>
      <c r="P68" s="30">
        <v>9.4</v>
      </c>
      <c r="Q68" s="35">
        <v>108.4</v>
      </c>
    </row>
    <row r="69" spans="1:17" s="25" customFormat="1" ht="15" customHeight="1" x14ac:dyDescent="0.2">
      <c r="A69" s="32">
        <v>2</v>
      </c>
      <c r="B69" s="62" t="s">
        <v>44</v>
      </c>
      <c r="C69" s="63">
        <v>1565</v>
      </c>
      <c r="D69" s="64">
        <v>9.1</v>
      </c>
      <c r="E69" s="35">
        <v>131.19999999999999</v>
      </c>
      <c r="G69" s="32">
        <v>2</v>
      </c>
      <c r="H69" s="33" t="s">
        <v>46</v>
      </c>
      <c r="I69" s="34">
        <v>751</v>
      </c>
      <c r="J69" s="30">
        <v>6.7</v>
      </c>
      <c r="K69" s="35">
        <v>58.1</v>
      </c>
      <c r="L69" s="30"/>
      <c r="M69" s="32">
        <v>2</v>
      </c>
      <c r="N69" s="33" t="s">
        <v>42</v>
      </c>
      <c r="O69" s="34">
        <v>2618</v>
      </c>
      <c r="P69" s="30">
        <v>9.1999999999999993</v>
      </c>
      <c r="Q69" s="35">
        <v>105.3</v>
      </c>
    </row>
    <row r="70" spans="1:17" s="25" customFormat="1" ht="15" customHeight="1" x14ac:dyDescent="0.2">
      <c r="A70" s="32">
        <v>3</v>
      </c>
      <c r="B70" s="62" t="s">
        <v>46</v>
      </c>
      <c r="C70" s="63">
        <v>920</v>
      </c>
      <c r="D70" s="64">
        <v>5.3</v>
      </c>
      <c r="E70" s="35">
        <v>77.099999999999994</v>
      </c>
      <c r="G70" s="32">
        <v>3</v>
      </c>
      <c r="H70" s="33" t="s">
        <v>48</v>
      </c>
      <c r="I70" s="34">
        <v>715</v>
      </c>
      <c r="J70" s="30">
        <v>6.3</v>
      </c>
      <c r="K70" s="35">
        <v>55.3</v>
      </c>
      <c r="L70" s="30"/>
      <c r="M70" s="32">
        <v>3</v>
      </c>
      <c r="N70" s="33" t="s">
        <v>46</v>
      </c>
      <c r="O70" s="34">
        <v>1671</v>
      </c>
      <c r="P70" s="30">
        <v>5.9</v>
      </c>
      <c r="Q70" s="35">
        <v>67.2</v>
      </c>
    </row>
    <row r="71" spans="1:17" s="25" customFormat="1" ht="15" customHeight="1" x14ac:dyDescent="0.2">
      <c r="A71" s="32">
        <v>4</v>
      </c>
      <c r="B71" s="62" t="s">
        <v>49</v>
      </c>
      <c r="C71" s="63">
        <v>660</v>
      </c>
      <c r="D71" s="64">
        <v>3.8</v>
      </c>
      <c r="E71" s="35">
        <v>55.3</v>
      </c>
      <c r="F71" s="30"/>
      <c r="G71" s="32">
        <v>4</v>
      </c>
      <c r="H71" s="33" t="s">
        <v>42</v>
      </c>
      <c r="I71" s="34">
        <v>635</v>
      </c>
      <c r="J71" s="30">
        <v>5.6</v>
      </c>
      <c r="K71" s="35">
        <v>49.1</v>
      </c>
      <c r="L71" s="30"/>
      <c r="M71" s="32">
        <v>4</v>
      </c>
      <c r="N71" s="33" t="s">
        <v>45</v>
      </c>
      <c r="O71" s="34">
        <v>1076</v>
      </c>
      <c r="P71" s="30">
        <v>3.8</v>
      </c>
      <c r="Q71" s="35">
        <v>43.3</v>
      </c>
    </row>
    <row r="72" spans="1:17" s="25" customFormat="1" ht="15" customHeight="1" x14ac:dyDescent="0.2">
      <c r="A72" s="32">
        <v>5</v>
      </c>
      <c r="B72" s="62" t="s">
        <v>50</v>
      </c>
      <c r="C72" s="63">
        <v>656</v>
      </c>
      <c r="D72" s="64">
        <v>3.8</v>
      </c>
      <c r="E72" s="35">
        <v>55</v>
      </c>
      <c r="F72" s="30"/>
      <c r="G72" s="32">
        <v>5</v>
      </c>
      <c r="H72" s="33" t="s">
        <v>45</v>
      </c>
      <c r="I72" s="34">
        <v>481</v>
      </c>
      <c r="J72" s="30">
        <v>4.3</v>
      </c>
      <c r="K72" s="35">
        <v>37.200000000000003</v>
      </c>
      <c r="L72" s="30"/>
      <c r="M72" s="32">
        <v>5</v>
      </c>
      <c r="N72" s="33" t="s">
        <v>49</v>
      </c>
      <c r="O72" s="34">
        <v>1067</v>
      </c>
      <c r="P72" s="30">
        <v>3.7</v>
      </c>
      <c r="Q72" s="35">
        <v>42.9</v>
      </c>
    </row>
    <row r="73" spans="1:17" s="25" customFormat="1" ht="15" customHeight="1" x14ac:dyDescent="0.2">
      <c r="A73" s="32">
        <v>6</v>
      </c>
      <c r="B73" s="62" t="s">
        <v>47</v>
      </c>
      <c r="C73" s="63">
        <v>629</v>
      </c>
      <c r="D73" s="64">
        <v>3.6</v>
      </c>
      <c r="E73" s="35">
        <v>52.7</v>
      </c>
      <c r="F73" s="30"/>
      <c r="G73" s="32">
        <v>6</v>
      </c>
      <c r="H73" s="33" t="s">
        <v>56</v>
      </c>
      <c r="I73" s="34">
        <v>454</v>
      </c>
      <c r="J73" s="30">
        <v>4</v>
      </c>
      <c r="K73" s="35">
        <v>35.1</v>
      </c>
      <c r="L73" s="30"/>
      <c r="M73" s="32">
        <v>6</v>
      </c>
      <c r="N73" s="33" t="s">
        <v>50</v>
      </c>
      <c r="O73" s="34">
        <v>1064</v>
      </c>
      <c r="P73" s="30">
        <v>3.7</v>
      </c>
      <c r="Q73" s="35">
        <v>42.8</v>
      </c>
    </row>
    <row r="74" spans="1:17" s="25" customFormat="1" ht="15" customHeight="1" x14ac:dyDescent="0.2">
      <c r="A74" s="32">
        <v>7</v>
      </c>
      <c r="B74" s="62" t="s">
        <v>45</v>
      </c>
      <c r="C74" s="63">
        <v>595</v>
      </c>
      <c r="D74" s="64">
        <v>3.4</v>
      </c>
      <c r="E74" s="35">
        <v>49.9</v>
      </c>
      <c r="F74" s="30"/>
      <c r="G74" s="32">
        <v>7</v>
      </c>
      <c r="H74" s="33" t="s">
        <v>43</v>
      </c>
      <c r="I74" s="34">
        <v>428</v>
      </c>
      <c r="J74" s="30">
        <v>3.8</v>
      </c>
      <c r="K74" s="35">
        <v>33.1</v>
      </c>
      <c r="L74" s="30"/>
      <c r="M74" s="32">
        <v>7</v>
      </c>
      <c r="N74" s="33" t="s">
        <v>56</v>
      </c>
      <c r="O74" s="34">
        <v>1016</v>
      </c>
      <c r="P74" s="30">
        <v>3.6</v>
      </c>
      <c r="Q74" s="35">
        <v>40.9</v>
      </c>
    </row>
    <row r="75" spans="1:17" s="25" customFormat="1" ht="15" customHeight="1" x14ac:dyDescent="0.2">
      <c r="A75" s="32">
        <v>8</v>
      </c>
      <c r="B75" s="62" t="s">
        <v>56</v>
      </c>
      <c r="C75" s="63">
        <v>562</v>
      </c>
      <c r="D75" s="64">
        <v>3.3</v>
      </c>
      <c r="E75" s="35">
        <v>47.1</v>
      </c>
      <c r="F75" s="30"/>
      <c r="G75" s="32">
        <v>8</v>
      </c>
      <c r="H75" s="33" t="s">
        <v>50</v>
      </c>
      <c r="I75" s="34">
        <v>408</v>
      </c>
      <c r="J75" s="30">
        <v>3.6</v>
      </c>
      <c r="K75" s="35">
        <v>31.5</v>
      </c>
      <c r="L75" s="30"/>
      <c r="M75" s="32">
        <v>8</v>
      </c>
      <c r="N75" s="33" t="s">
        <v>43</v>
      </c>
      <c r="O75" s="34">
        <v>796</v>
      </c>
      <c r="P75" s="30">
        <v>2.8</v>
      </c>
      <c r="Q75" s="35">
        <v>32</v>
      </c>
    </row>
    <row r="76" spans="1:17" s="25" customFormat="1" ht="15" customHeight="1" x14ac:dyDescent="0.2">
      <c r="A76" s="32">
        <v>9</v>
      </c>
      <c r="B76" s="62" t="s">
        <v>64</v>
      </c>
      <c r="C76" s="63">
        <v>500</v>
      </c>
      <c r="D76" s="64">
        <v>2.9</v>
      </c>
      <c r="E76" s="35">
        <v>41.9</v>
      </c>
      <c r="F76" s="30"/>
      <c r="G76" s="32">
        <v>9</v>
      </c>
      <c r="H76" s="33" t="s">
        <v>49</v>
      </c>
      <c r="I76" s="34">
        <v>407</v>
      </c>
      <c r="J76" s="30">
        <v>3.6</v>
      </c>
      <c r="K76" s="35">
        <v>31.5</v>
      </c>
      <c r="L76" s="30"/>
      <c r="M76" s="32">
        <v>9</v>
      </c>
      <c r="N76" s="33" t="s">
        <v>48</v>
      </c>
      <c r="O76" s="34">
        <v>724</v>
      </c>
      <c r="P76" s="30">
        <v>2.5</v>
      </c>
      <c r="Q76" s="35">
        <v>29.1</v>
      </c>
    </row>
    <row r="77" spans="1:17" s="25" customFormat="1" ht="15" customHeight="1" x14ac:dyDescent="0.2">
      <c r="A77" s="32">
        <v>10</v>
      </c>
      <c r="B77" s="62" t="s">
        <v>60</v>
      </c>
      <c r="C77" s="63">
        <v>415</v>
      </c>
      <c r="D77" s="64">
        <v>2.4</v>
      </c>
      <c r="E77" s="35">
        <v>34.799999999999997</v>
      </c>
      <c r="F77" s="30"/>
      <c r="G77" s="32">
        <v>10</v>
      </c>
      <c r="H77" s="33" t="s">
        <v>66</v>
      </c>
      <c r="I77" s="34">
        <v>265</v>
      </c>
      <c r="J77" s="30">
        <v>2.4</v>
      </c>
      <c r="K77" s="35">
        <v>20.5</v>
      </c>
      <c r="L77" s="30"/>
      <c r="M77" s="32">
        <v>10</v>
      </c>
      <c r="N77" s="33" t="s">
        <v>64</v>
      </c>
      <c r="O77" s="34">
        <v>715</v>
      </c>
      <c r="P77" s="30">
        <v>2.5</v>
      </c>
      <c r="Q77" s="35">
        <v>28.8</v>
      </c>
    </row>
    <row r="78" spans="1:17" s="43" customFormat="1" ht="15" customHeight="1" x14ac:dyDescent="0.2">
      <c r="A78" s="40"/>
      <c r="B78" s="65" t="s">
        <v>561</v>
      </c>
      <c r="C78" s="66">
        <v>8485</v>
      </c>
      <c r="D78" s="67">
        <v>49.1</v>
      </c>
      <c r="E78" s="42">
        <v>711.5</v>
      </c>
      <c r="F78" s="38"/>
      <c r="G78" s="40"/>
      <c r="H78" s="65" t="s">
        <v>561</v>
      </c>
      <c r="I78" s="41">
        <v>5674</v>
      </c>
      <c r="J78" s="38">
        <v>50.4</v>
      </c>
      <c r="K78" s="42">
        <v>438.7</v>
      </c>
      <c r="L78" s="38"/>
      <c r="M78" s="40"/>
      <c r="N78" s="65" t="s">
        <v>561</v>
      </c>
      <c r="O78" s="41">
        <v>13442</v>
      </c>
      <c r="P78" s="38">
        <v>47.1</v>
      </c>
      <c r="Q78" s="42">
        <v>540.70000000000005</v>
      </c>
    </row>
    <row r="79" spans="1:17" s="54" customFormat="1" ht="15" customHeight="1" x14ac:dyDescent="0.2">
      <c r="A79" s="50"/>
      <c r="B79" s="68" t="s">
        <v>67</v>
      </c>
      <c r="C79" s="69">
        <v>17264</v>
      </c>
      <c r="D79" s="70">
        <v>100</v>
      </c>
      <c r="E79" s="53">
        <v>1447.7</v>
      </c>
      <c r="F79" s="48"/>
      <c r="G79" s="50"/>
      <c r="H79" s="51" t="s">
        <v>67</v>
      </c>
      <c r="I79" s="52">
        <v>11266</v>
      </c>
      <c r="J79" s="48">
        <v>100</v>
      </c>
      <c r="K79" s="53">
        <v>871</v>
      </c>
      <c r="L79" s="48"/>
      <c r="M79" s="50"/>
      <c r="N79" s="51" t="s">
        <v>67</v>
      </c>
      <c r="O79" s="52">
        <v>28530</v>
      </c>
      <c r="P79" s="48">
        <v>100</v>
      </c>
      <c r="Q79" s="53">
        <v>1147.7</v>
      </c>
    </row>
    <row r="80" spans="1:17" s="25" customFormat="1" ht="15" customHeight="1" x14ac:dyDescent="0.2">
      <c r="A80" s="55" t="s">
        <v>94</v>
      </c>
      <c r="B80" s="62"/>
      <c r="C80" s="63"/>
      <c r="D80" s="64"/>
      <c r="E80" s="30"/>
      <c r="F80" s="30"/>
      <c r="G80" s="59" t="s">
        <v>94</v>
      </c>
      <c r="H80" s="33"/>
      <c r="I80" s="34"/>
      <c r="J80" s="30"/>
      <c r="K80" s="30"/>
      <c r="L80" s="30"/>
      <c r="M80" s="55" t="s">
        <v>94</v>
      </c>
      <c r="N80" s="33"/>
      <c r="O80" s="34"/>
      <c r="P80" s="30"/>
      <c r="Q80" s="30"/>
    </row>
    <row r="81" spans="1:17" s="25" customFormat="1" ht="15" customHeight="1" x14ac:dyDescent="0.2">
      <c r="A81" s="32">
        <v>1</v>
      </c>
      <c r="B81" s="62" t="s">
        <v>42</v>
      </c>
      <c r="C81" s="63">
        <v>2805</v>
      </c>
      <c r="D81" s="64">
        <v>9.8000000000000007</v>
      </c>
      <c r="E81" s="35">
        <v>392.7</v>
      </c>
      <c r="F81" s="30"/>
      <c r="G81" s="32">
        <v>1</v>
      </c>
      <c r="H81" s="33" t="s">
        <v>43</v>
      </c>
      <c r="I81" s="34">
        <v>2468</v>
      </c>
      <c r="J81" s="30">
        <v>11.2</v>
      </c>
      <c r="K81" s="35">
        <v>309</v>
      </c>
      <c r="L81" s="30"/>
      <c r="M81" s="32">
        <v>1</v>
      </c>
      <c r="N81" s="33" t="s">
        <v>43</v>
      </c>
      <c r="O81" s="34">
        <v>4427</v>
      </c>
      <c r="P81" s="30">
        <v>8.6999999999999993</v>
      </c>
      <c r="Q81" s="35">
        <v>292.60000000000002</v>
      </c>
    </row>
    <row r="82" spans="1:17" s="25" customFormat="1" ht="15" customHeight="1" x14ac:dyDescent="0.2">
      <c r="A82" s="32">
        <v>2</v>
      </c>
      <c r="B82" s="62" t="s">
        <v>43</v>
      </c>
      <c r="C82" s="63">
        <v>1959</v>
      </c>
      <c r="D82" s="64">
        <v>6.9</v>
      </c>
      <c r="E82" s="35">
        <v>274.3</v>
      </c>
      <c r="F82" s="30"/>
      <c r="G82" s="32">
        <v>2</v>
      </c>
      <c r="H82" s="33" t="s">
        <v>42</v>
      </c>
      <c r="I82" s="34">
        <v>1477</v>
      </c>
      <c r="J82" s="30">
        <v>6.7</v>
      </c>
      <c r="K82" s="35">
        <v>184.9</v>
      </c>
      <c r="L82" s="30"/>
      <c r="M82" s="32">
        <v>2</v>
      </c>
      <c r="N82" s="33" t="s">
        <v>42</v>
      </c>
      <c r="O82" s="34">
        <v>4282</v>
      </c>
      <c r="P82" s="30">
        <v>8.5</v>
      </c>
      <c r="Q82" s="35">
        <v>283</v>
      </c>
    </row>
    <row r="83" spans="1:17" s="25" customFormat="1" ht="15" customHeight="1" x14ac:dyDescent="0.2">
      <c r="A83" s="32">
        <v>3</v>
      </c>
      <c r="B83" s="62" t="s">
        <v>44</v>
      </c>
      <c r="C83" s="63">
        <v>1793</v>
      </c>
      <c r="D83" s="64">
        <v>6.3</v>
      </c>
      <c r="E83" s="35">
        <v>251</v>
      </c>
      <c r="F83" s="30"/>
      <c r="G83" s="32">
        <v>3</v>
      </c>
      <c r="H83" s="33" t="s">
        <v>45</v>
      </c>
      <c r="I83" s="34">
        <v>1329</v>
      </c>
      <c r="J83" s="30">
        <v>6</v>
      </c>
      <c r="K83" s="35">
        <v>166.4</v>
      </c>
      <c r="L83" s="30"/>
      <c r="M83" s="32">
        <v>3</v>
      </c>
      <c r="N83" s="33" t="s">
        <v>44</v>
      </c>
      <c r="O83" s="34">
        <v>3067</v>
      </c>
      <c r="P83" s="30">
        <v>6.1</v>
      </c>
      <c r="Q83" s="35">
        <v>202.7</v>
      </c>
    </row>
    <row r="84" spans="1:17" s="25" customFormat="1" ht="15" customHeight="1" x14ac:dyDescent="0.2">
      <c r="A84" s="32">
        <v>4</v>
      </c>
      <c r="B84" s="62" t="s">
        <v>46</v>
      </c>
      <c r="C84" s="63">
        <v>1422</v>
      </c>
      <c r="D84" s="64">
        <v>5</v>
      </c>
      <c r="E84" s="35">
        <v>199.1</v>
      </c>
      <c r="G84" s="32">
        <v>4</v>
      </c>
      <c r="H84" s="33" t="s">
        <v>44</v>
      </c>
      <c r="I84" s="34">
        <v>1274</v>
      </c>
      <c r="J84" s="30">
        <v>5.8</v>
      </c>
      <c r="K84" s="35">
        <v>159.5</v>
      </c>
      <c r="L84" s="30"/>
      <c r="M84" s="32">
        <v>4</v>
      </c>
      <c r="N84" s="33" t="s">
        <v>45</v>
      </c>
      <c r="O84" s="34">
        <v>2706</v>
      </c>
      <c r="P84" s="30">
        <v>5.3</v>
      </c>
      <c r="Q84" s="35">
        <v>178.8</v>
      </c>
    </row>
    <row r="85" spans="1:17" s="25" customFormat="1" ht="15" customHeight="1" x14ac:dyDescent="0.2">
      <c r="A85" s="32">
        <v>5</v>
      </c>
      <c r="B85" s="62" t="s">
        <v>47</v>
      </c>
      <c r="C85" s="63">
        <v>1391</v>
      </c>
      <c r="D85" s="64">
        <v>4.9000000000000004</v>
      </c>
      <c r="E85" s="35">
        <v>194.7</v>
      </c>
      <c r="F85" s="30"/>
      <c r="G85" s="32">
        <v>5</v>
      </c>
      <c r="H85" s="33" t="s">
        <v>46</v>
      </c>
      <c r="I85" s="34">
        <v>1204</v>
      </c>
      <c r="J85" s="30">
        <v>5.4</v>
      </c>
      <c r="K85" s="35">
        <v>150.69999999999999</v>
      </c>
      <c r="L85" s="30"/>
      <c r="M85" s="32">
        <v>5</v>
      </c>
      <c r="N85" s="33" t="s">
        <v>46</v>
      </c>
      <c r="O85" s="34">
        <v>2626</v>
      </c>
      <c r="P85" s="30">
        <v>5.2</v>
      </c>
      <c r="Q85" s="35">
        <v>173.6</v>
      </c>
    </row>
    <row r="86" spans="1:17" s="25" customFormat="1" ht="15" customHeight="1" x14ac:dyDescent="0.2">
      <c r="A86" s="32">
        <v>6</v>
      </c>
      <c r="B86" s="62" t="s">
        <v>45</v>
      </c>
      <c r="C86" s="63">
        <v>1377</v>
      </c>
      <c r="D86" s="64">
        <v>4.8</v>
      </c>
      <c r="E86" s="35">
        <v>192.8</v>
      </c>
      <c r="F86" s="30"/>
      <c r="G86" s="32">
        <v>6</v>
      </c>
      <c r="H86" s="33" t="s">
        <v>48</v>
      </c>
      <c r="I86" s="34">
        <v>800</v>
      </c>
      <c r="J86" s="30">
        <v>3.6</v>
      </c>
      <c r="K86" s="35">
        <v>100.2</v>
      </c>
      <c r="L86" s="30"/>
      <c r="M86" s="32">
        <v>6</v>
      </c>
      <c r="N86" s="33" t="s">
        <v>49</v>
      </c>
      <c r="O86" s="34">
        <v>1852</v>
      </c>
      <c r="P86" s="30">
        <v>3.7</v>
      </c>
      <c r="Q86" s="35">
        <v>122.4</v>
      </c>
    </row>
    <row r="87" spans="1:17" s="25" customFormat="1" ht="15" customHeight="1" x14ac:dyDescent="0.2">
      <c r="A87" s="32">
        <v>7</v>
      </c>
      <c r="B87" s="62" t="s">
        <v>49</v>
      </c>
      <c r="C87" s="63">
        <v>1078</v>
      </c>
      <c r="D87" s="64">
        <v>3.8</v>
      </c>
      <c r="E87" s="35">
        <v>150.9</v>
      </c>
      <c r="F87" s="30"/>
      <c r="G87" s="32">
        <v>7</v>
      </c>
      <c r="H87" s="33" t="s">
        <v>49</v>
      </c>
      <c r="I87" s="34">
        <v>774</v>
      </c>
      <c r="J87" s="30">
        <v>3.5</v>
      </c>
      <c r="K87" s="35">
        <v>96.9</v>
      </c>
      <c r="L87" s="30"/>
      <c r="M87" s="32">
        <v>7</v>
      </c>
      <c r="N87" s="33" t="s">
        <v>50</v>
      </c>
      <c r="O87" s="34">
        <v>1470</v>
      </c>
      <c r="P87" s="30">
        <v>2.9</v>
      </c>
      <c r="Q87" s="35">
        <v>97.2</v>
      </c>
    </row>
    <row r="88" spans="1:17" s="25" customFormat="1" ht="15" customHeight="1" x14ac:dyDescent="0.2">
      <c r="A88" s="32">
        <v>8</v>
      </c>
      <c r="B88" s="62" t="s">
        <v>51</v>
      </c>
      <c r="C88" s="63">
        <v>848</v>
      </c>
      <c r="D88" s="64">
        <v>3</v>
      </c>
      <c r="E88" s="35">
        <v>118.7</v>
      </c>
      <c r="F88" s="30"/>
      <c r="G88" s="32">
        <v>8</v>
      </c>
      <c r="H88" s="33" t="s">
        <v>50</v>
      </c>
      <c r="I88" s="34">
        <v>657</v>
      </c>
      <c r="J88" s="30">
        <v>3</v>
      </c>
      <c r="K88" s="35">
        <v>82.2</v>
      </c>
      <c r="L88" s="30"/>
      <c r="M88" s="32">
        <v>8</v>
      </c>
      <c r="N88" s="33" t="s">
        <v>51</v>
      </c>
      <c r="O88" s="34">
        <v>1444</v>
      </c>
      <c r="P88" s="30">
        <v>2.9</v>
      </c>
      <c r="Q88" s="35">
        <v>95.4</v>
      </c>
    </row>
    <row r="89" spans="1:17" s="25" customFormat="1" ht="15" customHeight="1" x14ac:dyDescent="0.2">
      <c r="A89" s="32">
        <v>9</v>
      </c>
      <c r="B89" s="62" t="s">
        <v>50</v>
      </c>
      <c r="C89" s="63">
        <v>813</v>
      </c>
      <c r="D89" s="64">
        <v>2.9</v>
      </c>
      <c r="E89" s="35">
        <v>113.8</v>
      </c>
      <c r="F89" s="30"/>
      <c r="G89" s="32">
        <v>9</v>
      </c>
      <c r="H89" s="33" t="s">
        <v>56</v>
      </c>
      <c r="I89" s="34">
        <v>602</v>
      </c>
      <c r="J89" s="30">
        <v>2.7</v>
      </c>
      <c r="K89" s="35">
        <v>75.400000000000006</v>
      </c>
      <c r="L89" s="30"/>
      <c r="M89" s="32">
        <v>9</v>
      </c>
      <c r="N89" s="33" t="s">
        <v>47</v>
      </c>
      <c r="O89" s="34">
        <v>1391</v>
      </c>
      <c r="P89" s="30">
        <v>2.7</v>
      </c>
      <c r="Q89" s="35">
        <v>91.9</v>
      </c>
    </row>
    <row r="90" spans="1:17" s="25" customFormat="1" ht="15" customHeight="1" x14ac:dyDescent="0.2">
      <c r="A90" s="32">
        <v>10</v>
      </c>
      <c r="B90" s="62" t="s">
        <v>62</v>
      </c>
      <c r="C90" s="63">
        <v>746</v>
      </c>
      <c r="D90" s="64">
        <v>2.6</v>
      </c>
      <c r="E90" s="35">
        <v>104.4</v>
      </c>
      <c r="F90" s="30"/>
      <c r="G90" s="32">
        <v>10</v>
      </c>
      <c r="H90" s="33" t="s">
        <v>51</v>
      </c>
      <c r="I90" s="34">
        <v>596</v>
      </c>
      <c r="J90" s="30">
        <v>2.7</v>
      </c>
      <c r="K90" s="35">
        <v>74.599999999999994</v>
      </c>
      <c r="L90" s="30"/>
      <c r="M90" s="32">
        <v>10</v>
      </c>
      <c r="N90" s="33" t="s">
        <v>56</v>
      </c>
      <c r="O90" s="34">
        <v>1214</v>
      </c>
      <c r="P90" s="30">
        <v>2.4</v>
      </c>
      <c r="Q90" s="35">
        <v>80.2</v>
      </c>
    </row>
    <row r="91" spans="1:17" s="43" customFormat="1" ht="15" customHeight="1" x14ac:dyDescent="0.2">
      <c r="A91" s="40"/>
      <c r="B91" s="65" t="s">
        <v>561</v>
      </c>
      <c r="C91" s="66">
        <v>14232</v>
      </c>
      <c r="D91" s="67">
        <v>50</v>
      </c>
      <c r="E91" s="42">
        <v>1992.4</v>
      </c>
      <c r="F91" s="38"/>
      <c r="G91" s="40"/>
      <c r="H91" s="65" t="s">
        <v>561</v>
      </c>
      <c r="I91" s="41">
        <v>11181</v>
      </c>
      <c r="J91" s="38">
        <v>50.5</v>
      </c>
      <c r="K91" s="42">
        <v>1399.7</v>
      </c>
      <c r="L91" s="38"/>
      <c r="M91" s="40"/>
      <c r="N91" s="65" t="s">
        <v>561</v>
      </c>
      <c r="O91" s="41">
        <v>24479</v>
      </c>
      <c r="P91" s="38">
        <v>48.4</v>
      </c>
      <c r="Q91" s="42">
        <v>1617.8</v>
      </c>
    </row>
    <row r="92" spans="1:17" s="25" customFormat="1" ht="15" customHeight="1" x14ac:dyDescent="0.2">
      <c r="A92" s="50"/>
      <c r="B92" s="68" t="s">
        <v>67</v>
      </c>
      <c r="C92" s="69">
        <v>28489</v>
      </c>
      <c r="D92" s="70">
        <v>100</v>
      </c>
      <c r="E92" s="53">
        <v>3988.4</v>
      </c>
      <c r="F92" s="48"/>
      <c r="G92" s="50"/>
      <c r="H92" s="51" t="s">
        <v>67</v>
      </c>
      <c r="I92" s="52">
        <v>22119</v>
      </c>
      <c r="J92" s="48">
        <v>100</v>
      </c>
      <c r="K92" s="53">
        <v>2769.1</v>
      </c>
      <c r="L92" s="48"/>
      <c r="M92" s="50"/>
      <c r="N92" s="51" t="s">
        <v>67</v>
      </c>
      <c r="O92" s="52">
        <v>50608</v>
      </c>
      <c r="P92" s="48">
        <v>100</v>
      </c>
      <c r="Q92" s="53">
        <v>3344.7</v>
      </c>
    </row>
    <row r="93" spans="1:17" s="25" customFormat="1" ht="15" customHeight="1" x14ac:dyDescent="0.2">
      <c r="A93" s="55" t="s">
        <v>95</v>
      </c>
      <c r="B93" s="62"/>
      <c r="C93" s="63"/>
      <c r="D93" s="64"/>
      <c r="E93" s="30"/>
      <c r="F93" s="30"/>
      <c r="G93" s="59" t="s">
        <v>95</v>
      </c>
      <c r="H93" s="33"/>
      <c r="I93" s="34"/>
      <c r="J93" s="30"/>
      <c r="K93" s="30"/>
      <c r="L93" s="30"/>
      <c r="M93" s="55" t="s">
        <v>95</v>
      </c>
      <c r="N93" s="33"/>
      <c r="O93" s="34"/>
      <c r="P93" s="30"/>
      <c r="Q93" s="30"/>
    </row>
    <row r="94" spans="1:17" s="25" customFormat="1" ht="15" customHeight="1" x14ac:dyDescent="0.2">
      <c r="A94" s="32">
        <v>1</v>
      </c>
      <c r="B94" s="62" t="s">
        <v>43</v>
      </c>
      <c r="C94" s="63">
        <v>3096</v>
      </c>
      <c r="D94" s="64">
        <v>11.6</v>
      </c>
      <c r="E94" s="35">
        <v>1492.2</v>
      </c>
      <c r="F94" s="30"/>
      <c r="G94" s="32">
        <v>1</v>
      </c>
      <c r="H94" s="33" t="s">
        <v>43</v>
      </c>
      <c r="I94" s="34">
        <v>5525</v>
      </c>
      <c r="J94" s="30">
        <v>17.600000000000001</v>
      </c>
      <c r="K94" s="35">
        <v>1838.2</v>
      </c>
      <c r="L94" s="30"/>
      <c r="M94" s="32">
        <v>1</v>
      </c>
      <c r="N94" s="33" t="s">
        <v>43</v>
      </c>
      <c r="O94" s="34">
        <v>8621</v>
      </c>
      <c r="P94" s="30">
        <v>14.8</v>
      </c>
      <c r="Q94" s="35">
        <v>1696.9</v>
      </c>
    </row>
    <row r="95" spans="1:17" s="25" customFormat="1" ht="15" customHeight="1" x14ac:dyDescent="0.2">
      <c r="A95" s="32">
        <v>2</v>
      </c>
      <c r="B95" s="62" t="s">
        <v>42</v>
      </c>
      <c r="C95" s="63">
        <v>3006</v>
      </c>
      <c r="D95" s="64">
        <v>11.2</v>
      </c>
      <c r="E95" s="35">
        <v>1448.8</v>
      </c>
      <c r="F95" s="30"/>
      <c r="G95" s="32">
        <v>2</v>
      </c>
      <c r="H95" s="33" t="s">
        <v>42</v>
      </c>
      <c r="I95" s="34">
        <v>2762</v>
      </c>
      <c r="J95" s="30">
        <v>8.8000000000000007</v>
      </c>
      <c r="K95" s="35">
        <v>918.9</v>
      </c>
      <c r="L95" s="30"/>
      <c r="M95" s="32">
        <v>2</v>
      </c>
      <c r="N95" s="33" t="s">
        <v>42</v>
      </c>
      <c r="O95" s="34">
        <v>5768</v>
      </c>
      <c r="P95" s="30">
        <v>9.9</v>
      </c>
      <c r="Q95" s="35">
        <v>1135.3</v>
      </c>
    </row>
    <row r="96" spans="1:17" s="25" customFormat="1" ht="15" customHeight="1" x14ac:dyDescent="0.2">
      <c r="A96" s="32">
        <v>3</v>
      </c>
      <c r="B96" s="62" t="s">
        <v>45</v>
      </c>
      <c r="C96" s="63">
        <v>1448</v>
      </c>
      <c r="D96" s="64">
        <v>5.4</v>
      </c>
      <c r="E96" s="35">
        <v>697.9</v>
      </c>
      <c r="F96" s="30"/>
      <c r="G96" s="32">
        <v>3</v>
      </c>
      <c r="H96" s="33" t="s">
        <v>45</v>
      </c>
      <c r="I96" s="34">
        <v>2267</v>
      </c>
      <c r="J96" s="30">
        <v>7.2</v>
      </c>
      <c r="K96" s="35">
        <v>754.2</v>
      </c>
      <c r="L96" s="30"/>
      <c r="M96" s="32">
        <v>3</v>
      </c>
      <c r="N96" s="33" t="s">
        <v>45</v>
      </c>
      <c r="O96" s="34">
        <v>3715</v>
      </c>
      <c r="P96" s="30">
        <v>6.4</v>
      </c>
      <c r="Q96" s="35">
        <v>731.2</v>
      </c>
    </row>
    <row r="97" spans="1:17" s="25" customFormat="1" ht="15" customHeight="1" x14ac:dyDescent="0.2">
      <c r="A97" s="32">
        <v>4</v>
      </c>
      <c r="B97" s="62" t="s">
        <v>47</v>
      </c>
      <c r="C97" s="63">
        <v>1336</v>
      </c>
      <c r="D97" s="64">
        <v>5</v>
      </c>
      <c r="E97" s="35">
        <v>643.9</v>
      </c>
      <c r="F97" s="30"/>
      <c r="G97" s="32">
        <v>4</v>
      </c>
      <c r="H97" s="33" t="s">
        <v>54</v>
      </c>
      <c r="I97" s="34">
        <v>1103</v>
      </c>
      <c r="J97" s="30">
        <v>3.5</v>
      </c>
      <c r="K97" s="35">
        <v>367</v>
      </c>
      <c r="L97" s="30"/>
      <c r="M97" s="32">
        <v>4</v>
      </c>
      <c r="N97" s="33" t="s">
        <v>51</v>
      </c>
      <c r="O97" s="34">
        <v>2105</v>
      </c>
      <c r="P97" s="30">
        <v>3.6</v>
      </c>
      <c r="Q97" s="35">
        <v>414.3</v>
      </c>
    </row>
    <row r="98" spans="1:17" s="25" customFormat="1" ht="15" customHeight="1" x14ac:dyDescent="0.2">
      <c r="A98" s="32">
        <v>5</v>
      </c>
      <c r="B98" s="62" t="s">
        <v>51</v>
      </c>
      <c r="C98" s="63">
        <v>1073</v>
      </c>
      <c r="D98" s="64">
        <v>4</v>
      </c>
      <c r="E98" s="35">
        <v>517.20000000000005</v>
      </c>
      <c r="G98" s="32">
        <v>5</v>
      </c>
      <c r="H98" s="33" t="s">
        <v>51</v>
      </c>
      <c r="I98" s="34">
        <v>1032</v>
      </c>
      <c r="J98" s="30">
        <v>3.3</v>
      </c>
      <c r="K98" s="35">
        <v>343.4</v>
      </c>
      <c r="L98" s="30"/>
      <c r="M98" s="32">
        <v>5</v>
      </c>
      <c r="N98" s="33" t="s">
        <v>46</v>
      </c>
      <c r="O98" s="34">
        <v>2003</v>
      </c>
      <c r="P98" s="30">
        <v>3.4</v>
      </c>
      <c r="Q98" s="35">
        <v>394.3</v>
      </c>
    </row>
    <row r="99" spans="1:17" s="25" customFormat="1" ht="15" customHeight="1" x14ac:dyDescent="0.2">
      <c r="A99" s="32">
        <v>6</v>
      </c>
      <c r="B99" s="62" t="s">
        <v>46</v>
      </c>
      <c r="C99" s="63">
        <v>1027</v>
      </c>
      <c r="D99" s="64">
        <v>3.8</v>
      </c>
      <c r="E99" s="35">
        <v>495</v>
      </c>
      <c r="G99" s="32">
        <v>6</v>
      </c>
      <c r="H99" s="33" t="s">
        <v>52</v>
      </c>
      <c r="I99" s="34">
        <v>988</v>
      </c>
      <c r="J99" s="30">
        <v>3.1</v>
      </c>
      <c r="K99" s="35">
        <v>328.7</v>
      </c>
      <c r="L99" s="30"/>
      <c r="M99" s="32">
        <v>6</v>
      </c>
      <c r="N99" s="33" t="s">
        <v>52</v>
      </c>
      <c r="O99" s="34">
        <v>1934</v>
      </c>
      <c r="P99" s="30">
        <v>3.3</v>
      </c>
      <c r="Q99" s="35">
        <v>380.7</v>
      </c>
    </row>
    <row r="100" spans="1:17" s="25" customFormat="1" ht="15" customHeight="1" x14ac:dyDescent="0.2">
      <c r="A100" s="32">
        <v>7</v>
      </c>
      <c r="B100" s="62" t="s">
        <v>52</v>
      </c>
      <c r="C100" s="63">
        <v>946</v>
      </c>
      <c r="D100" s="64">
        <v>3.5</v>
      </c>
      <c r="E100" s="35">
        <v>455.9</v>
      </c>
      <c r="G100" s="32">
        <v>7</v>
      </c>
      <c r="H100" s="33" t="s">
        <v>46</v>
      </c>
      <c r="I100" s="34">
        <v>976</v>
      </c>
      <c r="J100" s="30">
        <v>3.1</v>
      </c>
      <c r="K100" s="35">
        <v>324.7</v>
      </c>
      <c r="L100" s="30"/>
      <c r="M100" s="32">
        <v>7</v>
      </c>
      <c r="N100" s="33" t="s">
        <v>54</v>
      </c>
      <c r="O100" s="34">
        <v>1912</v>
      </c>
      <c r="P100" s="30">
        <v>3.3</v>
      </c>
      <c r="Q100" s="35">
        <v>376.3</v>
      </c>
    </row>
    <row r="101" spans="1:17" s="25" customFormat="1" ht="15" customHeight="1" x14ac:dyDescent="0.2">
      <c r="A101" s="32">
        <v>8</v>
      </c>
      <c r="B101" s="62" t="s">
        <v>49</v>
      </c>
      <c r="C101" s="63">
        <v>927</v>
      </c>
      <c r="D101" s="64">
        <v>3.5</v>
      </c>
      <c r="E101" s="35">
        <v>446.8</v>
      </c>
      <c r="G101" s="32">
        <v>8</v>
      </c>
      <c r="H101" s="33" t="s">
        <v>49</v>
      </c>
      <c r="I101" s="34">
        <v>963</v>
      </c>
      <c r="J101" s="30">
        <v>3.1</v>
      </c>
      <c r="K101" s="35">
        <v>320.39999999999998</v>
      </c>
      <c r="L101" s="30"/>
      <c r="M101" s="32">
        <v>8</v>
      </c>
      <c r="N101" s="33" t="s">
        <v>49</v>
      </c>
      <c r="O101" s="34">
        <v>1890</v>
      </c>
      <c r="P101" s="30">
        <v>3.2</v>
      </c>
      <c r="Q101" s="35">
        <v>372</v>
      </c>
    </row>
    <row r="102" spans="1:17" s="25" customFormat="1" ht="15" customHeight="1" x14ac:dyDescent="0.2">
      <c r="A102" s="32">
        <v>9</v>
      </c>
      <c r="B102" s="62" t="s">
        <v>54</v>
      </c>
      <c r="C102" s="63">
        <v>809</v>
      </c>
      <c r="D102" s="64">
        <v>3</v>
      </c>
      <c r="E102" s="35">
        <v>389.9</v>
      </c>
      <c r="G102" s="32">
        <v>9</v>
      </c>
      <c r="H102" s="33" t="s">
        <v>57</v>
      </c>
      <c r="I102" s="34">
        <v>885</v>
      </c>
      <c r="J102" s="30">
        <v>2.8</v>
      </c>
      <c r="K102" s="35">
        <v>294.39999999999998</v>
      </c>
      <c r="L102" s="30"/>
      <c r="M102" s="32">
        <v>9</v>
      </c>
      <c r="N102" s="33" t="s">
        <v>50</v>
      </c>
      <c r="O102" s="34">
        <v>1405</v>
      </c>
      <c r="P102" s="30">
        <v>2.4</v>
      </c>
      <c r="Q102" s="35">
        <v>276.5</v>
      </c>
    </row>
    <row r="103" spans="1:17" s="25" customFormat="1" ht="15" customHeight="1" x14ac:dyDescent="0.2">
      <c r="A103" s="32">
        <v>10</v>
      </c>
      <c r="B103" s="62" t="s">
        <v>44</v>
      </c>
      <c r="C103" s="63">
        <v>758</v>
      </c>
      <c r="D103" s="64">
        <v>2.8</v>
      </c>
      <c r="E103" s="35">
        <v>365.3</v>
      </c>
      <c r="G103" s="32">
        <v>10</v>
      </c>
      <c r="H103" s="33" t="s">
        <v>50</v>
      </c>
      <c r="I103" s="34">
        <v>790</v>
      </c>
      <c r="J103" s="30">
        <v>2.5</v>
      </c>
      <c r="K103" s="35">
        <v>262.8</v>
      </c>
      <c r="L103" s="30"/>
      <c r="M103" s="32">
        <v>10</v>
      </c>
      <c r="N103" s="33" t="s">
        <v>57</v>
      </c>
      <c r="O103" s="34">
        <v>1387</v>
      </c>
      <c r="P103" s="30">
        <v>2.4</v>
      </c>
      <c r="Q103" s="35">
        <v>273</v>
      </c>
    </row>
    <row r="104" spans="1:17" s="43" customFormat="1" ht="15" customHeight="1" x14ac:dyDescent="0.2">
      <c r="A104" s="40"/>
      <c r="B104" s="65" t="s">
        <v>561</v>
      </c>
      <c r="C104" s="66">
        <v>14426</v>
      </c>
      <c r="D104" s="67">
        <v>53.9</v>
      </c>
      <c r="E104" s="42">
        <v>6952.9</v>
      </c>
      <c r="F104" s="38"/>
      <c r="G104" s="40"/>
      <c r="H104" s="65" t="s">
        <v>561</v>
      </c>
      <c r="I104" s="41">
        <v>17291</v>
      </c>
      <c r="J104" s="38">
        <v>55.1</v>
      </c>
      <c r="K104" s="42">
        <v>5752.8</v>
      </c>
      <c r="L104" s="38"/>
      <c r="M104" s="40"/>
      <c r="N104" s="65" t="s">
        <v>561</v>
      </c>
      <c r="O104" s="41">
        <v>30740</v>
      </c>
      <c r="P104" s="38">
        <v>52.9</v>
      </c>
      <c r="Q104" s="42">
        <v>6050.6</v>
      </c>
    </row>
    <row r="105" spans="1:17" s="54" customFormat="1" ht="15" customHeight="1" x14ac:dyDescent="0.2">
      <c r="A105" s="50"/>
      <c r="B105" s="68" t="s">
        <v>67</v>
      </c>
      <c r="C105" s="69">
        <v>26751</v>
      </c>
      <c r="D105" s="70">
        <v>100</v>
      </c>
      <c r="E105" s="53">
        <v>12893.1</v>
      </c>
      <c r="F105" s="48"/>
      <c r="G105" s="50"/>
      <c r="H105" s="51" t="s">
        <v>67</v>
      </c>
      <c r="I105" s="52">
        <v>31406</v>
      </c>
      <c r="J105" s="48">
        <v>100</v>
      </c>
      <c r="K105" s="53">
        <v>10449</v>
      </c>
      <c r="L105" s="48"/>
      <c r="M105" s="50"/>
      <c r="N105" s="51" t="s">
        <v>67</v>
      </c>
      <c r="O105" s="52">
        <v>58157</v>
      </c>
      <c r="P105" s="48">
        <v>100</v>
      </c>
      <c r="Q105" s="53">
        <v>11447.1</v>
      </c>
    </row>
    <row r="106" spans="1:17" s="25" customFormat="1" ht="15" customHeight="1" x14ac:dyDescent="0.2">
      <c r="A106" s="55" t="s">
        <v>96</v>
      </c>
      <c r="B106" s="62"/>
      <c r="C106" s="63"/>
      <c r="D106" s="64"/>
      <c r="E106" s="30"/>
      <c r="F106" s="30"/>
      <c r="G106" s="59" t="s">
        <v>96</v>
      </c>
      <c r="H106" s="33"/>
      <c r="I106" s="34"/>
      <c r="J106" s="30"/>
      <c r="K106" s="30"/>
      <c r="L106" s="30"/>
      <c r="M106" s="55" t="s">
        <v>96</v>
      </c>
      <c r="N106" s="33"/>
      <c r="O106" s="34"/>
      <c r="P106" s="30"/>
      <c r="Q106" s="30"/>
    </row>
    <row r="107" spans="1:17" s="25" customFormat="1" ht="15" customHeight="1" x14ac:dyDescent="0.2">
      <c r="A107" s="32">
        <v>1</v>
      </c>
      <c r="B107" s="62" t="s">
        <v>42</v>
      </c>
      <c r="C107" s="63">
        <v>644</v>
      </c>
      <c r="D107" s="64">
        <v>12.9</v>
      </c>
      <c r="E107" s="35">
        <v>4071.8</v>
      </c>
      <c r="F107" s="30"/>
      <c r="G107" s="32">
        <v>1</v>
      </c>
      <c r="H107" s="33" t="s">
        <v>43</v>
      </c>
      <c r="I107" s="34">
        <v>2106</v>
      </c>
      <c r="J107" s="30">
        <v>19.3</v>
      </c>
      <c r="K107" s="35">
        <v>5663.9</v>
      </c>
      <c r="L107" s="30"/>
      <c r="M107" s="32">
        <v>1</v>
      </c>
      <c r="N107" s="33" t="s">
        <v>43</v>
      </c>
      <c r="O107" s="34">
        <v>2748</v>
      </c>
      <c r="P107" s="30">
        <v>17.3</v>
      </c>
      <c r="Q107" s="35">
        <v>5185</v>
      </c>
    </row>
    <row r="108" spans="1:17" s="25" customFormat="1" ht="15" customHeight="1" x14ac:dyDescent="0.2">
      <c r="A108" s="32">
        <v>2</v>
      </c>
      <c r="B108" s="62" t="s">
        <v>43</v>
      </c>
      <c r="C108" s="63">
        <v>642</v>
      </c>
      <c r="D108" s="64">
        <v>12.9</v>
      </c>
      <c r="E108" s="35">
        <v>4059.2</v>
      </c>
      <c r="F108" s="30"/>
      <c r="G108" s="32">
        <v>2</v>
      </c>
      <c r="H108" s="33" t="s">
        <v>42</v>
      </c>
      <c r="I108" s="34">
        <v>1189</v>
      </c>
      <c r="J108" s="30">
        <v>10.9</v>
      </c>
      <c r="K108" s="35">
        <v>3197.7</v>
      </c>
      <c r="L108" s="30"/>
      <c r="M108" s="32">
        <v>2</v>
      </c>
      <c r="N108" s="33" t="s">
        <v>42</v>
      </c>
      <c r="O108" s="34">
        <v>1833</v>
      </c>
      <c r="P108" s="30">
        <v>11.5</v>
      </c>
      <c r="Q108" s="35">
        <v>3458.6</v>
      </c>
    </row>
    <row r="109" spans="1:17" s="25" customFormat="1" ht="15" customHeight="1" x14ac:dyDescent="0.2">
      <c r="A109" s="32">
        <v>3</v>
      </c>
      <c r="B109" s="62" t="s">
        <v>45</v>
      </c>
      <c r="C109" s="63">
        <v>252</v>
      </c>
      <c r="D109" s="64">
        <v>5.0999999999999996</v>
      </c>
      <c r="E109" s="35">
        <v>1593.3</v>
      </c>
      <c r="F109" s="30"/>
      <c r="G109" s="32">
        <v>3</v>
      </c>
      <c r="H109" s="33" t="s">
        <v>45</v>
      </c>
      <c r="I109" s="34">
        <v>852</v>
      </c>
      <c r="J109" s="30">
        <v>7.8</v>
      </c>
      <c r="K109" s="35">
        <v>2291.4</v>
      </c>
      <c r="L109" s="30"/>
      <c r="M109" s="32">
        <v>3</v>
      </c>
      <c r="N109" s="33" t="s">
        <v>45</v>
      </c>
      <c r="O109" s="34">
        <v>1104</v>
      </c>
      <c r="P109" s="30">
        <v>6.9</v>
      </c>
      <c r="Q109" s="35">
        <v>2083.1</v>
      </c>
    </row>
    <row r="110" spans="1:17" s="25" customFormat="1" ht="15" customHeight="1" x14ac:dyDescent="0.2">
      <c r="A110" s="32">
        <v>4</v>
      </c>
      <c r="B110" s="62" t="s">
        <v>51</v>
      </c>
      <c r="C110" s="63">
        <v>235</v>
      </c>
      <c r="D110" s="64">
        <v>4.7</v>
      </c>
      <c r="E110" s="35">
        <v>1485.8</v>
      </c>
      <c r="F110" s="30"/>
      <c r="G110" s="32">
        <v>4</v>
      </c>
      <c r="H110" s="33" t="s">
        <v>54</v>
      </c>
      <c r="I110" s="34">
        <v>538</v>
      </c>
      <c r="J110" s="30">
        <v>4.9000000000000004</v>
      </c>
      <c r="K110" s="35">
        <v>1446.9</v>
      </c>
      <c r="L110" s="30"/>
      <c r="M110" s="32">
        <v>4</v>
      </c>
      <c r="N110" s="33" t="s">
        <v>54</v>
      </c>
      <c r="O110" s="34">
        <v>747</v>
      </c>
      <c r="P110" s="30">
        <v>4.7</v>
      </c>
      <c r="Q110" s="35">
        <v>1409.5</v>
      </c>
    </row>
    <row r="111" spans="1:17" s="25" customFormat="1" ht="15" customHeight="1" x14ac:dyDescent="0.2">
      <c r="A111" s="32">
        <v>5</v>
      </c>
      <c r="B111" s="62" t="s">
        <v>52</v>
      </c>
      <c r="C111" s="63">
        <v>218</v>
      </c>
      <c r="D111" s="64">
        <v>4.4000000000000004</v>
      </c>
      <c r="E111" s="35">
        <v>1378.4</v>
      </c>
      <c r="F111" s="30"/>
      <c r="G111" s="32">
        <v>5</v>
      </c>
      <c r="H111" s="33" t="s">
        <v>55</v>
      </c>
      <c r="I111" s="34">
        <v>472</v>
      </c>
      <c r="J111" s="30">
        <v>4.3</v>
      </c>
      <c r="K111" s="35">
        <v>1269.4000000000001</v>
      </c>
      <c r="L111" s="30"/>
      <c r="M111" s="32">
        <v>5</v>
      </c>
      <c r="N111" s="33" t="s">
        <v>51</v>
      </c>
      <c r="O111" s="34">
        <v>666</v>
      </c>
      <c r="P111" s="30">
        <v>4.2</v>
      </c>
      <c r="Q111" s="35">
        <v>1256.5999999999999</v>
      </c>
    </row>
    <row r="112" spans="1:17" s="25" customFormat="1" ht="15" customHeight="1" x14ac:dyDescent="0.2">
      <c r="A112" s="32">
        <v>6</v>
      </c>
      <c r="B112" s="62" t="s">
        <v>54</v>
      </c>
      <c r="C112" s="63">
        <v>209</v>
      </c>
      <c r="D112" s="64">
        <v>4.2</v>
      </c>
      <c r="E112" s="35">
        <v>1321.4</v>
      </c>
      <c r="F112" s="30"/>
      <c r="G112" s="32">
        <v>6</v>
      </c>
      <c r="H112" s="33" t="s">
        <v>51</v>
      </c>
      <c r="I112" s="34">
        <v>431</v>
      </c>
      <c r="J112" s="30">
        <v>3.9</v>
      </c>
      <c r="K112" s="35">
        <v>1159.0999999999999</v>
      </c>
      <c r="L112" s="30"/>
      <c r="M112" s="32">
        <v>6</v>
      </c>
      <c r="N112" s="33" t="s">
        <v>55</v>
      </c>
      <c r="O112" s="34">
        <v>615</v>
      </c>
      <c r="P112" s="30">
        <v>3.9</v>
      </c>
      <c r="Q112" s="35">
        <v>1160.4000000000001</v>
      </c>
    </row>
    <row r="113" spans="1:17" s="25" customFormat="1" ht="15" customHeight="1" x14ac:dyDescent="0.2">
      <c r="A113" s="32">
        <v>7</v>
      </c>
      <c r="B113" s="62" t="s">
        <v>47</v>
      </c>
      <c r="C113" s="63">
        <v>199</v>
      </c>
      <c r="D113" s="64">
        <v>4</v>
      </c>
      <c r="E113" s="35">
        <v>1258.2</v>
      </c>
      <c r="F113" s="30"/>
      <c r="G113" s="32">
        <v>7</v>
      </c>
      <c r="H113" s="33" t="s">
        <v>59</v>
      </c>
      <c r="I113" s="34">
        <v>419</v>
      </c>
      <c r="J113" s="30">
        <v>3.8</v>
      </c>
      <c r="K113" s="35">
        <v>1126.9000000000001</v>
      </c>
      <c r="L113" s="30"/>
      <c r="M113" s="32">
        <v>7</v>
      </c>
      <c r="N113" s="33" t="s">
        <v>52</v>
      </c>
      <c r="O113" s="34">
        <v>540</v>
      </c>
      <c r="P113" s="30">
        <v>3.4</v>
      </c>
      <c r="Q113" s="35">
        <v>1018.9</v>
      </c>
    </row>
    <row r="114" spans="1:17" s="25" customFormat="1" ht="15" customHeight="1" x14ac:dyDescent="0.2">
      <c r="A114" s="32">
        <v>8</v>
      </c>
      <c r="B114" s="62" t="s">
        <v>61</v>
      </c>
      <c r="C114" s="63">
        <v>174</v>
      </c>
      <c r="D114" s="64">
        <v>3.5</v>
      </c>
      <c r="E114" s="35">
        <v>1100.2</v>
      </c>
      <c r="G114" s="32">
        <v>8</v>
      </c>
      <c r="H114" s="33" t="s">
        <v>57</v>
      </c>
      <c r="I114" s="34">
        <v>393</v>
      </c>
      <c r="J114" s="30">
        <v>3.6</v>
      </c>
      <c r="K114" s="35">
        <v>1056.9000000000001</v>
      </c>
      <c r="L114" s="30"/>
      <c r="M114" s="32">
        <v>8</v>
      </c>
      <c r="N114" s="33" t="s">
        <v>59</v>
      </c>
      <c r="O114" s="34">
        <v>526</v>
      </c>
      <c r="P114" s="30">
        <v>3.3</v>
      </c>
      <c r="Q114" s="35">
        <v>992.5</v>
      </c>
    </row>
    <row r="115" spans="1:17" s="25" customFormat="1" ht="15" customHeight="1" x14ac:dyDescent="0.2">
      <c r="A115" s="32">
        <v>9</v>
      </c>
      <c r="B115" s="62" t="s">
        <v>46</v>
      </c>
      <c r="C115" s="63">
        <v>151</v>
      </c>
      <c r="D115" s="64">
        <v>3</v>
      </c>
      <c r="E115" s="35">
        <v>954.7</v>
      </c>
      <c r="G115" s="32">
        <v>9</v>
      </c>
      <c r="H115" s="33" t="s">
        <v>61</v>
      </c>
      <c r="I115" s="34">
        <v>349</v>
      </c>
      <c r="J115" s="30">
        <v>3.2</v>
      </c>
      <c r="K115" s="35">
        <v>938.6</v>
      </c>
      <c r="L115" s="30"/>
      <c r="M115" s="32">
        <v>9</v>
      </c>
      <c r="N115" s="33" t="s">
        <v>61</v>
      </c>
      <c r="O115" s="34">
        <v>523</v>
      </c>
      <c r="P115" s="30">
        <v>3.3</v>
      </c>
      <c r="Q115" s="35">
        <v>986.8</v>
      </c>
    </row>
    <row r="116" spans="1:17" s="25" customFormat="1" ht="15" customHeight="1" x14ac:dyDescent="0.2">
      <c r="A116" s="32">
        <v>10</v>
      </c>
      <c r="B116" s="62" t="s">
        <v>55</v>
      </c>
      <c r="C116" s="63">
        <v>143</v>
      </c>
      <c r="D116" s="64">
        <v>2.9</v>
      </c>
      <c r="E116" s="35">
        <v>904.1</v>
      </c>
      <c r="G116" s="32">
        <v>10</v>
      </c>
      <c r="H116" s="33" t="s">
        <v>52</v>
      </c>
      <c r="I116" s="34">
        <v>322</v>
      </c>
      <c r="J116" s="30">
        <v>3</v>
      </c>
      <c r="K116" s="35">
        <v>866</v>
      </c>
      <c r="L116" s="30"/>
      <c r="M116" s="32">
        <v>10</v>
      </c>
      <c r="N116" s="33" t="s">
        <v>57</v>
      </c>
      <c r="O116" s="34">
        <v>522</v>
      </c>
      <c r="P116" s="30">
        <v>3.3</v>
      </c>
      <c r="Q116" s="35">
        <v>984.9</v>
      </c>
    </row>
    <row r="117" spans="1:17" s="43" customFormat="1" ht="15" customHeight="1" x14ac:dyDescent="0.2">
      <c r="A117" s="40"/>
      <c r="B117" s="65" t="s">
        <v>561</v>
      </c>
      <c r="C117" s="66">
        <v>2867</v>
      </c>
      <c r="D117" s="67">
        <v>57.5</v>
      </c>
      <c r="E117" s="42">
        <v>18127.2</v>
      </c>
      <c r="G117" s="40"/>
      <c r="H117" s="65" t="s">
        <v>561</v>
      </c>
      <c r="I117" s="41">
        <v>7071</v>
      </c>
      <c r="J117" s="38">
        <v>64.8</v>
      </c>
      <c r="K117" s="42">
        <v>19016.8</v>
      </c>
      <c r="L117" s="38"/>
      <c r="M117" s="40"/>
      <c r="N117" s="65" t="s">
        <v>561</v>
      </c>
      <c r="O117" s="41">
        <v>9824</v>
      </c>
      <c r="P117" s="38">
        <v>61.8</v>
      </c>
      <c r="Q117" s="42">
        <v>18536.2</v>
      </c>
    </row>
    <row r="118" spans="1:17" s="54" customFormat="1" ht="15" customHeight="1" x14ac:dyDescent="0.2">
      <c r="A118" s="50"/>
      <c r="B118" s="68" t="s">
        <v>67</v>
      </c>
      <c r="C118" s="69">
        <v>4984</v>
      </c>
      <c r="D118" s="70">
        <v>100</v>
      </c>
      <c r="E118" s="53">
        <v>31512.400000000001</v>
      </c>
      <c r="F118" s="72"/>
      <c r="G118" s="50"/>
      <c r="H118" s="51" t="s">
        <v>67</v>
      </c>
      <c r="I118" s="52">
        <v>10913</v>
      </c>
      <c r="J118" s="48">
        <v>100</v>
      </c>
      <c r="K118" s="53">
        <v>29349.4</v>
      </c>
      <c r="L118" s="48"/>
      <c r="M118" s="50"/>
      <c r="N118" s="51" t="s">
        <v>67</v>
      </c>
      <c r="O118" s="52">
        <v>15897</v>
      </c>
      <c r="P118" s="48">
        <v>100</v>
      </c>
      <c r="Q118" s="53">
        <v>29994.9</v>
      </c>
    </row>
    <row r="119" spans="1:17" s="25" customFormat="1" ht="15" customHeight="1" x14ac:dyDescent="0.2">
      <c r="A119" s="55" t="s">
        <v>3</v>
      </c>
      <c r="B119" s="62"/>
      <c r="C119" s="63"/>
      <c r="D119" s="64"/>
      <c r="E119" s="30"/>
      <c r="F119" s="30"/>
      <c r="G119" s="59" t="s">
        <v>3</v>
      </c>
      <c r="H119" s="33"/>
      <c r="I119" s="34"/>
      <c r="J119" s="30"/>
      <c r="K119" s="30"/>
      <c r="L119" s="30"/>
      <c r="M119" s="55" t="s">
        <v>3</v>
      </c>
      <c r="N119" s="33"/>
      <c r="O119" s="34"/>
      <c r="P119" s="30"/>
      <c r="Q119" s="30"/>
    </row>
    <row r="120" spans="1:17" s="25" customFormat="1" ht="15" customHeight="1" x14ac:dyDescent="0.2">
      <c r="A120" s="32">
        <v>1</v>
      </c>
      <c r="B120" s="62" t="s">
        <v>42</v>
      </c>
      <c r="C120" s="63">
        <v>10343</v>
      </c>
      <c r="D120" s="64">
        <v>10.8</v>
      </c>
      <c r="E120" s="35">
        <v>78.2</v>
      </c>
      <c r="F120" s="30"/>
      <c r="G120" s="32">
        <v>1</v>
      </c>
      <c r="H120" s="33" t="s">
        <v>43</v>
      </c>
      <c r="I120" s="34">
        <v>10574</v>
      </c>
      <c r="J120" s="30">
        <v>12.2</v>
      </c>
      <c r="K120" s="35">
        <v>78.8</v>
      </c>
      <c r="L120" s="30"/>
      <c r="M120" s="32">
        <v>1</v>
      </c>
      <c r="N120" s="33" t="s">
        <v>42</v>
      </c>
      <c r="O120" s="34">
        <v>16922</v>
      </c>
      <c r="P120" s="30">
        <v>9.1999999999999993</v>
      </c>
      <c r="Q120" s="35">
        <v>63.5</v>
      </c>
    </row>
    <row r="121" spans="1:17" s="25" customFormat="1" ht="15" customHeight="1" x14ac:dyDescent="0.2">
      <c r="A121" s="32">
        <v>2</v>
      </c>
      <c r="B121" s="62" t="s">
        <v>43</v>
      </c>
      <c r="C121" s="63">
        <v>6111</v>
      </c>
      <c r="D121" s="64">
        <v>6.4</v>
      </c>
      <c r="E121" s="35">
        <v>46.2</v>
      </c>
      <c r="F121" s="30"/>
      <c r="G121" s="32">
        <v>2</v>
      </c>
      <c r="H121" s="33" t="s">
        <v>42</v>
      </c>
      <c r="I121" s="34">
        <v>6579</v>
      </c>
      <c r="J121" s="30">
        <v>7.6</v>
      </c>
      <c r="K121" s="35">
        <v>49</v>
      </c>
      <c r="L121" s="30"/>
      <c r="M121" s="32">
        <v>2</v>
      </c>
      <c r="N121" s="33" t="s">
        <v>43</v>
      </c>
      <c r="O121" s="34">
        <v>16685</v>
      </c>
      <c r="P121" s="30">
        <v>9.1</v>
      </c>
      <c r="Q121" s="35">
        <v>62.6</v>
      </c>
    </row>
    <row r="122" spans="1:17" s="25" customFormat="1" ht="15" customHeight="1" x14ac:dyDescent="0.2">
      <c r="A122" s="32">
        <v>3</v>
      </c>
      <c r="B122" s="62" t="s">
        <v>44</v>
      </c>
      <c r="C122" s="63">
        <v>5194</v>
      </c>
      <c r="D122" s="64">
        <v>5.4</v>
      </c>
      <c r="E122" s="35">
        <v>39.299999999999997</v>
      </c>
      <c r="F122" s="30"/>
      <c r="G122" s="32">
        <v>3</v>
      </c>
      <c r="H122" s="33" t="s">
        <v>45</v>
      </c>
      <c r="I122" s="34">
        <v>5263</v>
      </c>
      <c r="J122" s="30">
        <v>6.1</v>
      </c>
      <c r="K122" s="35">
        <v>39.200000000000003</v>
      </c>
      <c r="L122" s="30"/>
      <c r="M122" s="32">
        <v>3</v>
      </c>
      <c r="N122" s="33" t="s">
        <v>45</v>
      </c>
      <c r="O122" s="34">
        <v>9359</v>
      </c>
      <c r="P122" s="30">
        <v>5.0999999999999996</v>
      </c>
      <c r="Q122" s="35">
        <v>35.1</v>
      </c>
    </row>
    <row r="123" spans="1:17" s="25" customFormat="1" ht="15" customHeight="1" x14ac:dyDescent="0.2">
      <c r="A123" s="32">
        <v>4</v>
      </c>
      <c r="B123" s="62" t="s">
        <v>45</v>
      </c>
      <c r="C123" s="63">
        <v>4096</v>
      </c>
      <c r="D123" s="64">
        <v>4.3</v>
      </c>
      <c r="E123" s="35">
        <v>31</v>
      </c>
      <c r="F123" s="30"/>
      <c r="G123" s="32">
        <v>4</v>
      </c>
      <c r="H123" s="33" t="s">
        <v>44</v>
      </c>
      <c r="I123" s="34">
        <v>3782</v>
      </c>
      <c r="J123" s="30">
        <v>4.3</v>
      </c>
      <c r="K123" s="35">
        <v>28.2</v>
      </c>
      <c r="L123" s="30"/>
      <c r="M123" s="32">
        <v>4</v>
      </c>
      <c r="N123" s="33" t="s">
        <v>44</v>
      </c>
      <c r="O123" s="34">
        <v>8976</v>
      </c>
      <c r="P123" s="30">
        <v>4.9000000000000004</v>
      </c>
      <c r="Q123" s="35">
        <v>33.700000000000003</v>
      </c>
    </row>
    <row r="124" spans="1:17" s="25" customFormat="1" ht="15" customHeight="1" x14ac:dyDescent="0.2">
      <c r="A124" s="32">
        <v>5</v>
      </c>
      <c r="B124" s="62" t="s">
        <v>46</v>
      </c>
      <c r="C124" s="63">
        <v>3914</v>
      </c>
      <c r="D124" s="64">
        <v>4.0999999999999996</v>
      </c>
      <c r="E124" s="35">
        <v>29.6</v>
      </c>
      <c r="F124" s="30"/>
      <c r="G124" s="32">
        <v>5</v>
      </c>
      <c r="H124" s="33" t="s">
        <v>46</v>
      </c>
      <c r="I124" s="34">
        <v>3500</v>
      </c>
      <c r="J124" s="30">
        <v>4</v>
      </c>
      <c r="K124" s="35">
        <v>26.1</v>
      </c>
      <c r="L124" s="30"/>
      <c r="M124" s="32">
        <v>5</v>
      </c>
      <c r="N124" s="33" t="s">
        <v>46</v>
      </c>
      <c r="O124" s="34">
        <v>7414</v>
      </c>
      <c r="P124" s="30">
        <v>4</v>
      </c>
      <c r="Q124" s="35">
        <v>27.8</v>
      </c>
    </row>
    <row r="125" spans="1:17" s="25" customFormat="1" ht="15" customHeight="1" x14ac:dyDescent="0.2">
      <c r="A125" s="32">
        <v>6</v>
      </c>
      <c r="B125" s="62" t="s">
        <v>47</v>
      </c>
      <c r="C125" s="63">
        <v>3726</v>
      </c>
      <c r="D125" s="64">
        <v>3.9</v>
      </c>
      <c r="E125" s="35">
        <v>28.2</v>
      </c>
      <c r="F125" s="30"/>
      <c r="G125" s="32">
        <v>6</v>
      </c>
      <c r="H125" s="33" t="s">
        <v>48</v>
      </c>
      <c r="I125" s="34">
        <v>3215</v>
      </c>
      <c r="J125" s="30">
        <v>3.7</v>
      </c>
      <c r="K125" s="35">
        <v>24</v>
      </c>
      <c r="L125" s="30"/>
      <c r="M125" s="32">
        <v>6</v>
      </c>
      <c r="N125" s="33" t="s">
        <v>49</v>
      </c>
      <c r="O125" s="34">
        <v>5942</v>
      </c>
      <c r="P125" s="30">
        <v>3.2</v>
      </c>
      <c r="Q125" s="35">
        <v>22.3</v>
      </c>
    </row>
    <row r="126" spans="1:17" s="25" customFormat="1" ht="15" customHeight="1" x14ac:dyDescent="0.2">
      <c r="A126" s="32">
        <v>7</v>
      </c>
      <c r="B126" s="62" t="s">
        <v>49</v>
      </c>
      <c r="C126" s="63">
        <v>3288</v>
      </c>
      <c r="D126" s="64">
        <v>3.4</v>
      </c>
      <c r="E126" s="35">
        <v>24.8</v>
      </c>
      <c r="F126" s="30"/>
      <c r="G126" s="32">
        <v>7</v>
      </c>
      <c r="H126" s="33" t="s">
        <v>49</v>
      </c>
      <c r="I126" s="34">
        <v>2654</v>
      </c>
      <c r="J126" s="30">
        <v>3.1</v>
      </c>
      <c r="K126" s="35">
        <v>19.8</v>
      </c>
      <c r="L126" s="30"/>
      <c r="M126" s="32">
        <v>7</v>
      </c>
      <c r="N126" s="33" t="s">
        <v>50</v>
      </c>
      <c r="O126" s="34">
        <v>5372</v>
      </c>
      <c r="P126" s="30">
        <v>2.9</v>
      </c>
      <c r="Q126" s="35">
        <v>20.2</v>
      </c>
    </row>
    <row r="127" spans="1:17" s="25" customFormat="1" ht="15" customHeight="1" x14ac:dyDescent="0.2">
      <c r="A127" s="32">
        <v>8</v>
      </c>
      <c r="B127" s="62" t="s">
        <v>50</v>
      </c>
      <c r="C127" s="63">
        <v>2832</v>
      </c>
      <c r="D127" s="64">
        <v>2.9</v>
      </c>
      <c r="E127" s="35">
        <v>21.4</v>
      </c>
      <c r="F127" s="30"/>
      <c r="G127" s="32">
        <v>8</v>
      </c>
      <c r="H127" s="33" t="s">
        <v>50</v>
      </c>
      <c r="I127" s="34">
        <v>2540</v>
      </c>
      <c r="J127" s="30">
        <v>2.9</v>
      </c>
      <c r="K127" s="35">
        <v>18.899999999999999</v>
      </c>
      <c r="L127" s="30"/>
      <c r="M127" s="32">
        <v>8</v>
      </c>
      <c r="N127" s="33" t="s">
        <v>51</v>
      </c>
      <c r="O127" s="34">
        <v>5001</v>
      </c>
      <c r="P127" s="30">
        <v>2.7</v>
      </c>
      <c r="Q127" s="35">
        <v>18.8</v>
      </c>
    </row>
    <row r="128" spans="1:17" s="25" customFormat="1" ht="15" customHeight="1" x14ac:dyDescent="0.2">
      <c r="A128" s="32">
        <v>9</v>
      </c>
      <c r="B128" s="62" t="s">
        <v>51</v>
      </c>
      <c r="C128" s="63">
        <v>2644</v>
      </c>
      <c r="D128" s="64">
        <v>2.7</v>
      </c>
      <c r="E128" s="35">
        <v>20</v>
      </c>
      <c r="F128" s="30"/>
      <c r="G128" s="32">
        <v>9</v>
      </c>
      <c r="H128" s="33" t="s">
        <v>51</v>
      </c>
      <c r="I128" s="34">
        <v>2357</v>
      </c>
      <c r="J128" s="30">
        <v>2.7</v>
      </c>
      <c r="K128" s="35">
        <v>17.600000000000001</v>
      </c>
      <c r="L128" s="30"/>
      <c r="M128" s="32">
        <v>9</v>
      </c>
      <c r="N128" s="33" t="s">
        <v>52</v>
      </c>
      <c r="O128" s="34">
        <v>4105</v>
      </c>
      <c r="P128" s="30">
        <v>2.2000000000000002</v>
      </c>
      <c r="Q128" s="35">
        <v>15.4</v>
      </c>
    </row>
    <row r="129" spans="1:18" s="25" customFormat="1" ht="15" customHeight="1" x14ac:dyDescent="0.2">
      <c r="A129" s="32">
        <v>10</v>
      </c>
      <c r="B129" s="62" t="s">
        <v>53</v>
      </c>
      <c r="C129" s="63">
        <v>2419</v>
      </c>
      <c r="D129" s="64">
        <v>2.5</v>
      </c>
      <c r="E129" s="35">
        <v>18.3</v>
      </c>
      <c r="G129" s="32">
        <v>10</v>
      </c>
      <c r="H129" s="33" t="s">
        <v>54</v>
      </c>
      <c r="I129" s="34">
        <v>2195</v>
      </c>
      <c r="J129" s="30">
        <v>2.5</v>
      </c>
      <c r="K129" s="35">
        <v>16.399999999999999</v>
      </c>
      <c r="L129" s="30"/>
      <c r="M129" s="32">
        <v>10</v>
      </c>
      <c r="N129" s="33" t="s">
        <v>54</v>
      </c>
      <c r="O129" s="34">
        <v>4022</v>
      </c>
      <c r="P129" s="30">
        <v>2.2000000000000002</v>
      </c>
      <c r="Q129" s="35">
        <v>15.1</v>
      </c>
    </row>
    <row r="130" spans="1:18" s="43" customFormat="1" ht="15" customHeight="1" x14ac:dyDescent="0.2">
      <c r="A130" s="40"/>
      <c r="B130" s="65" t="s">
        <v>561</v>
      </c>
      <c r="C130" s="66">
        <v>44567</v>
      </c>
      <c r="D130" s="67">
        <v>46.3</v>
      </c>
      <c r="E130" s="42">
        <v>336.8</v>
      </c>
      <c r="F130" s="38"/>
      <c r="G130" s="40"/>
      <c r="H130" s="65" t="s">
        <v>561</v>
      </c>
      <c r="I130" s="41">
        <v>42659</v>
      </c>
      <c r="J130" s="38">
        <v>49.1</v>
      </c>
      <c r="K130" s="42">
        <v>317.89999999999998</v>
      </c>
      <c r="L130" s="38"/>
      <c r="M130" s="40"/>
      <c r="N130" s="65" t="s">
        <v>561</v>
      </c>
      <c r="O130" s="41">
        <v>83798</v>
      </c>
      <c r="P130" s="38">
        <v>45.8</v>
      </c>
      <c r="Q130" s="42">
        <v>314.39999999999998</v>
      </c>
    </row>
    <row r="131" spans="1:18" s="54" customFormat="1" ht="15" customHeight="1" x14ac:dyDescent="0.2">
      <c r="A131" s="50"/>
      <c r="B131" s="68" t="s">
        <v>67</v>
      </c>
      <c r="C131" s="69">
        <v>96180</v>
      </c>
      <c r="D131" s="70">
        <v>100</v>
      </c>
      <c r="E131" s="53">
        <v>726.8</v>
      </c>
      <c r="F131" s="48"/>
      <c r="G131" s="50"/>
      <c r="H131" s="51" t="s">
        <v>67</v>
      </c>
      <c r="I131" s="52">
        <v>86951</v>
      </c>
      <c r="J131" s="48">
        <v>100</v>
      </c>
      <c r="K131" s="53">
        <v>647.9</v>
      </c>
      <c r="L131" s="48"/>
      <c r="M131" s="50"/>
      <c r="N131" s="51" t="s">
        <v>67</v>
      </c>
      <c r="O131" s="52">
        <v>183131</v>
      </c>
      <c r="P131" s="48">
        <v>100</v>
      </c>
      <c r="Q131" s="53">
        <v>687.1</v>
      </c>
    </row>
    <row r="132" spans="1:18" s="199" customFormat="1" ht="15" customHeight="1" x14ac:dyDescent="0.2">
      <c r="A132" s="315" t="s">
        <v>68</v>
      </c>
      <c r="B132" s="345" t="s">
        <v>69</v>
      </c>
      <c r="C132" s="301"/>
      <c r="D132" s="301"/>
      <c r="E132" s="148"/>
      <c r="F132" s="214"/>
      <c r="G132" s="463"/>
      <c r="H132" s="463"/>
      <c r="I132" s="214"/>
      <c r="J132" s="246"/>
      <c r="K132" s="214"/>
      <c r="L132" s="214"/>
      <c r="M132" s="463"/>
      <c r="N132" s="463"/>
      <c r="O132" s="214"/>
      <c r="P132" s="246"/>
      <c r="Q132" s="214"/>
    </row>
    <row r="133" spans="1:18" s="199" customFormat="1" ht="15" customHeight="1" x14ac:dyDescent="0.2">
      <c r="A133" s="461" t="s">
        <v>70</v>
      </c>
      <c r="B133" s="345" t="s">
        <v>71</v>
      </c>
      <c r="C133" s="301"/>
      <c r="D133" s="301"/>
      <c r="E133" s="148"/>
      <c r="F133" s="214"/>
      <c r="G133" s="463"/>
      <c r="H133" s="463"/>
      <c r="I133" s="214"/>
      <c r="J133" s="246"/>
      <c r="K133" s="214"/>
      <c r="L133" s="214"/>
      <c r="M133" s="463"/>
      <c r="N133" s="463"/>
      <c r="O133" s="214"/>
      <c r="P133" s="246"/>
      <c r="Q133" s="214"/>
    </row>
    <row r="134" spans="1:18" s="88" customFormat="1" ht="15" customHeight="1" x14ac:dyDescent="0.2">
      <c r="A134" s="84" t="s">
        <v>4</v>
      </c>
      <c r="B134" s="95"/>
      <c r="C134" s="86"/>
      <c r="D134" s="87"/>
      <c r="E134" s="567"/>
      <c r="F134" s="87"/>
      <c r="G134" s="84"/>
      <c r="H134" s="95"/>
      <c r="J134" s="89"/>
      <c r="K134" s="89"/>
      <c r="L134" s="86"/>
      <c r="M134" s="84"/>
      <c r="N134" s="95"/>
      <c r="O134" s="86"/>
      <c r="P134" s="87"/>
      <c r="Q134" s="87"/>
    </row>
    <row r="135" spans="1:18" s="20" customFormat="1" ht="15" customHeight="1" x14ac:dyDescent="0.2">
      <c r="A135" s="95" t="s">
        <v>103</v>
      </c>
      <c r="B135" s="95"/>
      <c r="C135" s="95"/>
      <c r="D135" s="95"/>
      <c r="E135" s="95"/>
      <c r="F135" s="95"/>
      <c r="G135" s="95"/>
      <c r="H135" s="95"/>
      <c r="I135" s="95"/>
      <c r="J135" s="95"/>
      <c r="K135" s="95"/>
      <c r="L135" s="95"/>
      <c r="M135" s="95"/>
      <c r="N135" s="95"/>
      <c r="O135" s="86"/>
      <c r="P135" s="87"/>
      <c r="Q135" s="89"/>
    </row>
    <row r="136" spans="1:18" s="20" customFormat="1" ht="15" customHeight="1" x14ac:dyDescent="0.2">
      <c r="A136" s="95" t="s">
        <v>97</v>
      </c>
      <c r="B136" s="95"/>
      <c r="C136" s="86"/>
      <c r="D136" s="87"/>
      <c r="E136" s="89"/>
      <c r="G136" s="95"/>
      <c r="H136" s="95"/>
      <c r="I136" s="86"/>
      <c r="J136" s="87"/>
      <c r="K136" s="89"/>
      <c r="M136" s="95"/>
      <c r="N136" s="95"/>
      <c r="O136" s="86"/>
      <c r="P136" s="87"/>
      <c r="Q136" s="89"/>
    </row>
    <row r="137" spans="1:18" s="199" customFormat="1" ht="24.95" customHeight="1" x14ac:dyDescent="0.2">
      <c r="A137" s="599" t="s">
        <v>98</v>
      </c>
      <c r="B137" s="600"/>
      <c r="C137" s="600"/>
      <c r="D137" s="600"/>
      <c r="E137" s="600"/>
      <c r="F137" s="600"/>
      <c r="G137" s="600"/>
      <c r="H137" s="600"/>
      <c r="I137" s="600"/>
      <c r="J137" s="600"/>
      <c r="K137" s="600"/>
      <c r="L137" s="600"/>
      <c r="M137" s="600"/>
      <c r="N137" s="600"/>
      <c r="O137" s="600"/>
      <c r="P137" s="87"/>
      <c r="Q137" s="87"/>
    </row>
    <row r="138" spans="1:18" s="20" customFormat="1" ht="15" customHeight="1" x14ac:dyDescent="0.2">
      <c r="A138" s="95" t="s">
        <v>563</v>
      </c>
      <c r="B138" s="95"/>
      <c r="C138" s="86"/>
      <c r="D138" s="87"/>
      <c r="E138" s="89"/>
      <c r="G138" s="95"/>
      <c r="H138" s="95"/>
      <c r="I138" s="86"/>
      <c r="J138" s="87"/>
      <c r="K138" s="89"/>
      <c r="M138" s="95"/>
      <c r="N138" s="95"/>
      <c r="O138" s="86"/>
      <c r="P138" s="87"/>
      <c r="Q138" s="89"/>
    </row>
    <row r="139" spans="1:18" s="89" customFormat="1" ht="15" customHeight="1" x14ac:dyDescent="0.2">
      <c r="A139" s="95" t="s">
        <v>104</v>
      </c>
      <c r="B139" s="95"/>
      <c r="C139" s="86"/>
      <c r="D139" s="87"/>
      <c r="F139" s="20"/>
      <c r="G139" s="95"/>
      <c r="H139" s="95"/>
      <c r="I139" s="86"/>
      <c r="J139" s="87"/>
      <c r="L139" s="96"/>
      <c r="M139" s="97"/>
      <c r="N139" s="95"/>
      <c r="O139" s="86"/>
      <c r="P139" s="87"/>
      <c r="R139" s="135"/>
    </row>
    <row r="140" spans="1:18" s="89" customFormat="1" ht="15" customHeight="1" x14ac:dyDescent="0.2">
      <c r="A140" s="95" t="s">
        <v>99</v>
      </c>
      <c r="B140" s="95"/>
      <c r="C140" s="86"/>
      <c r="D140" s="87"/>
      <c r="F140" s="96"/>
      <c r="G140" s="97"/>
      <c r="H140" s="95"/>
      <c r="I140" s="86"/>
      <c r="J140" s="87"/>
      <c r="L140" s="95"/>
      <c r="M140" s="95"/>
      <c r="N140" s="86"/>
      <c r="O140" s="86"/>
    </row>
    <row r="143" spans="1:18" s="191" customFormat="1" ht="15" customHeight="1" x14ac:dyDescent="0.2"/>
  </sheetData>
  <mergeCells count="4">
    <mergeCell ref="A137:O137"/>
    <mergeCell ref="B3:E3"/>
    <mergeCell ref="H3:K3"/>
    <mergeCell ref="N3:Q3"/>
  </mergeCells>
  <hyperlinks>
    <hyperlink ref="A2" location="Contents!A1" display="Back to contents" xr:uid="{CD3EF2AB-2C6E-4345-80D1-2F3F3F0263B1}"/>
  </hyperlinks>
  <pageMargins left="0.7" right="0.7" top="0.75" bottom="0.75" header="0.3" footer="0.3"/>
  <pageSetup paperSize="9" orientation="portrait" horizontalDpi="4294967292"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BF6BC-A3E9-4718-90ED-F0809A54ACB9}">
  <dimension ref="A1:Q25"/>
  <sheetViews>
    <sheetView workbookViewId="0">
      <pane ySplit="4" topLeftCell="A5" activePane="bottomLeft" state="frozen"/>
      <selection pane="bottomLeft" activeCell="A5" sqref="A5"/>
    </sheetView>
  </sheetViews>
  <sheetFormatPr defaultRowHeight="15" customHeight="1" x14ac:dyDescent="0.2"/>
  <cols>
    <col min="1" max="2" width="9" style="191"/>
    <col min="3" max="3" width="9.625" style="191" customWidth="1"/>
    <col min="4" max="4" width="2.625" style="191" customWidth="1"/>
    <col min="5" max="5" width="9" style="191"/>
    <col min="6" max="6" width="9.625" style="191" customWidth="1"/>
    <col min="7" max="7" width="2.625" style="191" customWidth="1"/>
    <col min="8" max="8" width="9" style="191"/>
    <col min="9" max="9" width="9.625" style="191" customWidth="1"/>
    <col min="10" max="16384" width="9" style="191"/>
  </cols>
  <sheetData>
    <row r="1" spans="1:17" ht="15" customHeight="1" x14ac:dyDescent="0.25">
      <c r="A1" s="151" t="s">
        <v>593</v>
      </c>
      <c r="B1" s="541"/>
      <c r="C1" s="542"/>
      <c r="D1" s="154"/>
      <c r="E1" s="543"/>
      <c r="F1" s="542"/>
      <c r="G1" s="154"/>
      <c r="H1" s="543"/>
      <c r="I1" s="542"/>
    </row>
    <row r="2" spans="1:17" s="199" customFormat="1" ht="15" customHeight="1" x14ac:dyDescent="0.2">
      <c r="A2" s="500" t="s">
        <v>585</v>
      </c>
    </row>
    <row r="3" spans="1:17" s="165" customFormat="1" ht="15" customHeight="1" x14ac:dyDescent="0.2">
      <c r="A3" s="158"/>
      <c r="B3" s="598" t="s">
        <v>0</v>
      </c>
      <c r="C3" s="598"/>
      <c r="D3" s="159"/>
      <c r="E3" s="598" t="s">
        <v>1</v>
      </c>
      <c r="F3" s="598"/>
      <c r="G3" s="159"/>
      <c r="H3" s="598" t="s">
        <v>2</v>
      </c>
      <c r="I3" s="598"/>
    </row>
    <row r="4" spans="1:17" s="165" customFormat="1" ht="39.950000000000003" customHeight="1" x14ac:dyDescent="0.2">
      <c r="A4" s="160" t="s">
        <v>5</v>
      </c>
      <c r="B4" s="161" t="s">
        <v>41</v>
      </c>
      <c r="C4" s="161" t="s">
        <v>560</v>
      </c>
      <c r="D4" s="161"/>
      <c r="E4" s="161" t="s">
        <v>41</v>
      </c>
      <c r="F4" s="161" t="s">
        <v>560</v>
      </c>
      <c r="G4" s="161"/>
      <c r="H4" s="161" t="s">
        <v>41</v>
      </c>
      <c r="I4" s="161" t="s">
        <v>560</v>
      </c>
    </row>
    <row r="5" spans="1:17" s="165" customFormat="1" ht="15" customHeight="1" x14ac:dyDescent="0.2">
      <c r="A5" s="182" t="s">
        <v>272</v>
      </c>
      <c r="B5" s="184">
        <v>4</v>
      </c>
      <c r="C5" s="177">
        <v>0.2</v>
      </c>
      <c r="D5" s="177"/>
      <c r="E5" s="178">
        <v>0</v>
      </c>
      <c r="F5" s="177" t="s">
        <v>109</v>
      </c>
      <c r="G5" s="177"/>
      <c r="H5" s="178">
        <v>4</v>
      </c>
      <c r="I5" s="177">
        <v>0.1</v>
      </c>
      <c r="K5" s="544"/>
      <c r="L5" s="545"/>
      <c r="M5" s="545"/>
    </row>
    <row r="6" spans="1:17" s="165" customFormat="1" ht="15" customHeight="1" x14ac:dyDescent="0.2">
      <c r="A6" s="182" t="s">
        <v>667</v>
      </c>
      <c r="B6" s="184">
        <v>3</v>
      </c>
      <c r="C6" s="177">
        <v>0.1</v>
      </c>
      <c r="D6" s="177"/>
      <c r="E6" s="178">
        <v>1</v>
      </c>
      <c r="F6" s="177">
        <v>0</v>
      </c>
      <c r="G6" s="177"/>
      <c r="H6" s="178">
        <v>4</v>
      </c>
      <c r="I6" s="177">
        <v>0.1</v>
      </c>
      <c r="K6" s="544"/>
      <c r="L6" s="545"/>
      <c r="M6" s="545"/>
    </row>
    <row r="7" spans="1:17" s="165" customFormat="1" ht="15" customHeight="1" x14ac:dyDescent="0.2">
      <c r="A7" s="182" t="s">
        <v>11</v>
      </c>
      <c r="B7" s="184">
        <v>4</v>
      </c>
      <c r="C7" s="177">
        <v>0.4</v>
      </c>
      <c r="D7" s="177"/>
      <c r="E7" s="178">
        <v>5</v>
      </c>
      <c r="F7" s="177">
        <v>0.5</v>
      </c>
      <c r="G7" s="177"/>
      <c r="H7" s="178">
        <v>9</v>
      </c>
      <c r="I7" s="177">
        <v>0.5</v>
      </c>
      <c r="K7" s="544"/>
      <c r="L7" s="545"/>
      <c r="M7" s="545"/>
    </row>
    <row r="8" spans="1:17" s="165" customFormat="1" ht="15" customHeight="1" x14ac:dyDescent="0.2">
      <c r="A8" s="182" t="s">
        <v>12</v>
      </c>
      <c r="B8" s="184">
        <v>2</v>
      </c>
      <c r="C8" s="177">
        <v>0.2</v>
      </c>
      <c r="D8" s="177"/>
      <c r="E8" s="178">
        <v>5</v>
      </c>
      <c r="F8" s="177">
        <v>0.5</v>
      </c>
      <c r="G8" s="177"/>
      <c r="H8" s="178">
        <v>7</v>
      </c>
      <c r="I8" s="177">
        <v>0.4</v>
      </c>
      <c r="K8" s="544"/>
      <c r="L8" s="545"/>
      <c r="M8" s="545"/>
    </row>
    <row r="9" spans="1:17" s="165" customFormat="1" ht="15" customHeight="1" x14ac:dyDescent="0.2">
      <c r="A9" s="182" t="s">
        <v>13</v>
      </c>
      <c r="B9" s="184">
        <v>8</v>
      </c>
      <c r="C9" s="177">
        <v>0.9</v>
      </c>
      <c r="D9" s="177"/>
      <c r="E9" s="178">
        <v>4</v>
      </c>
      <c r="F9" s="177">
        <v>0.4</v>
      </c>
      <c r="G9" s="177"/>
      <c r="H9" s="178">
        <v>12</v>
      </c>
      <c r="I9" s="177">
        <v>0.7</v>
      </c>
      <c r="K9" s="544"/>
      <c r="L9" s="545"/>
      <c r="M9" s="545"/>
    </row>
    <row r="10" spans="1:17" s="165" customFormat="1" ht="15" customHeight="1" x14ac:dyDescent="0.2">
      <c r="A10" s="182" t="s">
        <v>14</v>
      </c>
      <c r="B10" s="184">
        <v>10</v>
      </c>
      <c r="C10" s="177">
        <v>1.3</v>
      </c>
      <c r="D10" s="177"/>
      <c r="E10" s="178">
        <v>7</v>
      </c>
      <c r="F10" s="177">
        <v>0.9</v>
      </c>
      <c r="G10" s="177"/>
      <c r="H10" s="178">
        <v>17</v>
      </c>
      <c r="I10" s="177">
        <v>1.1000000000000001</v>
      </c>
      <c r="K10" s="544"/>
      <c r="L10" s="545"/>
      <c r="M10" s="545"/>
    </row>
    <row r="11" spans="1:17" s="165" customFormat="1" ht="15" customHeight="1" x14ac:dyDescent="0.2">
      <c r="A11" s="182" t="s">
        <v>15</v>
      </c>
      <c r="B11" s="184">
        <v>24</v>
      </c>
      <c r="C11" s="177">
        <v>2.9</v>
      </c>
      <c r="D11" s="177"/>
      <c r="E11" s="178">
        <v>12</v>
      </c>
      <c r="F11" s="177">
        <v>1.4</v>
      </c>
      <c r="G11" s="177"/>
      <c r="H11" s="178">
        <v>36</v>
      </c>
      <c r="I11" s="177">
        <v>2.1</v>
      </c>
      <c r="K11" s="544"/>
      <c r="L11" s="545"/>
      <c r="M11" s="545"/>
      <c r="O11" s="501"/>
    </row>
    <row r="12" spans="1:17" s="165" customFormat="1" ht="15" customHeight="1" x14ac:dyDescent="0.2">
      <c r="A12" s="182" t="s">
        <v>16</v>
      </c>
      <c r="B12" s="184">
        <v>28</v>
      </c>
      <c r="C12" s="177">
        <v>3.7</v>
      </c>
      <c r="D12" s="177"/>
      <c r="E12" s="178">
        <v>17</v>
      </c>
      <c r="F12" s="177">
        <v>2.2000000000000002</v>
      </c>
      <c r="G12" s="177"/>
      <c r="H12" s="178">
        <v>45</v>
      </c>
      <c r="I12" s="177">
        <v>2.9</v>
      </c>
      <c r="K12" s="544"/>
      <c r="L12" s="545"/>
      <c r="M12" s="545"/>
      <c r="O12" s="501"/>
    </row>
    <row r="13" spans="1:17" s="165" customFormat="1" ht="15" customHeight="1" x14ac:dyDescent="0.2">
      <c r="A13" s="182" t="s">
        <v>17</v>
      </c>
      <c r="B13" s="184">
        <v>63</v>
      </c>
      <c r="C13" s="177">
        <v>8.5</v>
      </c>
      <c r="D13" s="177"/>
      <c r="E13" s="178">
        <v>49</v>
      </c>
      <c r="F13" s="177">
        <v>6.3</v>
      </c>
      <c r="G13" s="177"/>
      <c r="H13" s="178">
        <v>112</v>
      </c>
      <c r="I13" s="177">
        <v>7.4</v>
      </c>
      <c r="K13" s="544"/>
      <c r="L13" s="545"/>
      <c r="M13" s="545"/>
      <c r="N13" s="544"/>
      <c r="O13" s="501"/>
      <c r="Q13" s="544"/>
    </row>
    <row r="14" spans="1:17" s="165" customFormat="1" ht="15" customHeight="1" x14ac:dyDescent="0.2">
      <c r="A14" s="182" t="s">
        <v>18</v>
      </c>
      <c r="B14" s="184">
        <v>128</v>
      </c>
      <c r="C14" s="177">
        <v>20.100000000000001</v>
      </c>
      <c r="D14" s="177"/>
      <c r="E14" s="178">
        <v>80</v>
      </c>
      <c r="F14" s="177">
        <v>11.6</v>
      </c>
      <c r="G14" s="177"/>
      <c r="H14" s="178">
        <v>208</v>
      </c>
      <c r="I14" s="177">
        <v>15.7</v>
      </c>
      <c r="K14" s="544"/>
      <c r="L14" s="545"/>
      <c r="M14" s="545"/>
      <c r="N14" s="544"/>
      <c r="O14" s="501"/>
    </row>
    <row r="15" spans="1:17" s="165" customFormat="1" ht="15" customHeight="1" x14ac:dyDescent="0.2">
      <c r="A15" s="182" t="s">
        <v>19</v>
      </c>
      <c r="B15" s="184">
        <v>214</v>
      </c>
      <c r="C15" s="177">
        <v>38.6</v>
      </c>
      <c r="D15" s="177"/>
      <c r="E15" s="178">
        <v>118</v>
      </c>
      <c r="F15" s="177">
        <v>19.600000000000001</v>
      </c>
      <c r="G15" s="177"/>
      <c r="H15" s="178">
        <v>332</v>
      </c>
      <c r="I15" s="177">
        <v>28.7</v>
      </c>
      <c r="K15" s="544"/>
      <c r="L15" s="545"/>
      <c r="M15" s="545"/>
      <c r="O15" s="501"/>
    </row>
    <row r="16" spans="1:17" s="165" customFormat="1" ht="15" customHeight="1" x14ac:dyDescent="0.2">
      <c r="A16" s="182" t="s">
        <v>20</v>
      </c>
      <c r="B16" s="184">
        <v>351</v>
      </c>
      <c r="C16" s="177">
        <v>78.8</v>
      </c>
      <c r="D16" s="177"/>
      <c r="E16" s="178">
        <v>224</v>
      </c>
      <c r="F16" s="177">
        <v>46.2</v>
      </c>
      <c r="G16" s="177"/>
      <c r="H16" s="178">
        <v>575</v>
      </c>
      <c r="I16" s="177">
        <v>61.8</v>
      </c>
      <c r="K16" s="544"/>
      <c r="L16" s="545"/>
      <c r="M16" s="545"/>
      <c r="O16" s="501"/>
    </row>
    <row r="17" spans="1:17" s="165" customFormat="1" ht="15" customHeight="1" x14ac:dyDescent="0.2">
      <c r="A17" s="182" t="s">
        <v>21</v>
      </c>
      <c r="B17" s="184">
        <v>497</v>
      </c>
      <c r="C17" s="177">
        <v>184.8</v>
      </c>
      <c r="D17" s="177"/>
      <c r="E17" s="178">
        <v>372</v>
      </c>
      <c r="F17" s="177">
        <v>118.4</v>
      </c>
      <c r="G17" s="177"/>
      <c r="H17" s="178">
        <v>869</v>
      </c>
      <c r="I17" s="177">
        <v>149</v>
      </c>
      <c r="K17" s="544"/>
      <c r="L17" s="545"/>
      <c r="M17" s="545"/>
      <c r="O17" s="501"/>
    </row>
    <row r="18" spans="1:17" s="165" customFormat="1" ht="15" customHeight="1" x14ac:dyDescent="0.2">
      <c r="A18" s="182" t="s">
        <v>108</v>
      </c>
      <c r="B18" s="184">
        <v>1308</v>
      </c>
      <c r="C18" s="177">
        <v>585.79999999999995</v>
      </c>
      <c r="D18" s="177"/>
      <c r="E18" s="178">
        <v>1463</v>
      </c>
      <c r="F18" s="177">
        <v>433.2</v>
      </c>
      <c r="G18" s="177"/>
      <c r="H18" s="178">
        <v>2771</v>
      </c>
      <c r="I18" s="177">
        <v>493.9</v>
      </c>
      <c r="K18" s="544"/>
      <c r="L18" s="545"/>
      <c r="M18" s="545"/>
      <c r="O18" s="501"/>
    </row>
    <row r="19" spans="1:17" s="165" customFormat="1" ht="15" customHeight="1" x14ac:dyDescent="0.2">
      <c r="A19" s="546" t="s">
        <v>3</v>
      </c>
      <c r="B19" s="171">
        <v>2644</v>
      </c>
      <c r="C19" s="173">
        <v>20</v>
      </c>
      <c r="D19" s="173"/>
      <c r="E19" s="174">
        <v>2357</v>
      </c>
      <c r="F19" s="173">
        <v>17.600000000000001</v>
      </c>
      <c r="G19" s="173"/>
      <c r="H19" s="174">
        <v>5001</v>
      </c>
      <c r="I19" s="173">
        <v>18.8</v>
      </c>
      <c r="J19" s="545"/>
      <c r="K19" s="544"/>
      <c r="L19" s="545"/>
      <c r="M19" s="545"/>
      <c r="P19" s="545"/>
    </row>
    <row r="20" spans="1:17" s="199" customFormat="1" ht="15" customHeight="1" x14ac:dyDescent="0.2">
      <c r="A20" s="315" t="s">
        <v>68</v>
      </c>
      <c r="B20" s="300" t="s">
        <v>69</v>
      </c>
      <c r="C20" s="301"/>
      <c r="D20" s="301"/>
      <c r="E20" s="214"/>
      <c r="F20" s="214"/>
      <c r="G20" s="463"/>
      <c r="H20" s="463"/>
      <c r="I20" s="214"/>
      <c r="J20" s="246"/>
      <c r="K20" s="214"/>
      <c r="L20" s="214"/>
      <c r="M20" s="463"/>
      <c r="N20" s="463"/>
      <c r="O20" s="214"/>
      <c r="P20" s="246"/>
      <c r="Q20" s="214"/>
    </row>
    <row r="21" spans="1:17" s="199" customFormat="1" ht="15" customHeight="1" x14ac:dyDescent="0.2">
      <c r="A21" s="212" t="s">
        <v>4</v>
      </c>
      <c r="B21" s="484"/>
      <c r="C21" s="214"/>
      <c r="D21" s="20"/>
      <c r="E21" s="86"/>
      <c r="F21" s="20"/>
      <c r="G21" s="20"/>
      <c r="H21" s="86"/>
      <c r="I21" s="88"/>
    </row>
    <row r="22" spans="1:17" s="199" customFormat="1" ht="15" customHeight="1" x14ac:dyDescent="0.2">
      <c r="A22" s="20" t="s">
        <v>103</v>
      </c>
      <c r="B22" s="86"/>
      <c r="C22" s="214"/>
      <c r="D22" s="20"/>
      <c r="E22" s="86"/>
      <c r="F22" s="20"/>
      <c r="G22" s="20"/>
      <c r="H22" s="86"/>
      <c r="I22" s="88"/>
    </row>
    <row r="23" spans="1:17" s="199" customFormat="1" ht="15" customHeight="1" x14ac:dyDescent="0.2">
      <c r="A23" s="20" t="s">
        <v>110</v>
      </c>
      <c r="B23" s="86"/>
      <c r="C23" s="214"/>
      <c r="D23" s="20"/>
      <c r="E23" s="86"/>
      <c r="F23" s="20"/>
      <c r="G23" s="20"/>
      <c r="H23" s="86"/>
      <c r="I23" s="88"/>
    </row>
    <row r="24" spans="1:17" s="199" customFormat="1" ht="15" customHeight="1" x14ac:dyDescent="0.2">
      <c r="A24" s="20" t="s">
        <v>111</v>
      </c>
      <c r="B24" s="86"/>
      <c r="C24" s="214"/>
      <c r="D24" s="20"/>
      <c r="E24" s="86"/>
      <c r="F24" s="20"/>
      <c r="G24" s="20"/>
      <c r="H24" s="86"/>
      <c r="I24" s="88"/>
    </row>
    <row r="25" spans="1:17" s="199" customFormat="1" ht="15" customHeight="1" x14ac:dyDescent="0.2">
      <c r="A25" s="212" t="s">
        <v>604</v>
      </c>
      <c r="B25" s="484"/>
      <c r="C25" s="214"/>
      <c r="D25" s="20"/>
      <c r="E25" s="86"/>
      <c r="F25" s="20"/>
      <c r="G25" s="20"/>
      <c r="H25" s="86"/>
      <c r="I25" s="88"/>
    </row>
  </sheetData>
  <mergeCells count="3">
    <mergeCell ref="B3:C3"/>
    <mergeCell ref="E3:F3"/>
    <mergeCell ref="H3:I3"/>
  </mergeCells>
  <hyperlinks>
    <hyperlink ref="A2" location="Contents!A1" display="Back to contents" xr:uid="{19CF5510-299D-4DCB-82DF-D1C26D8C1B24}"/>
  </hyperlinks>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37D34-0C66-4540-9EAB-74C229264BAC}">
  <dimension ref="A1:P56"/>
  <sheetViews>
    <sheetView workbookViewId="0"/>
  </sheetViews>
  <sheetFormatPr defaultRowHeight="15" customHeight="1" x14ac:dyDescent="0.2"/>
  <cols>
    <col min="1" max="1" width="9" style="157"/>
    <col min="2" max="3" width="8.625" style="157" customWidth="1"/>
    <col min="4" max="5" width="9.625" style="157" customWidth="1"/>
    <col min="6" max="6" width="2.625" style="157" customWidth="1"/>
    <col min="7" max="8" width="8.625" style="157" customWidth="1"/>
    <col min="9" max="10" width="9.625" style="157" customWidth="1"/>
    <col min="11" max="11" width="2.625" style="157" customWidth="1"/>
    <col min="12" max="13" width="8.625" style="157" customWidth="1"/>
    <col min="14" max="15" width="9.625" style="157" customWidth="1"/>
    <col min="16" max="16384" width="9" style="157"/>
  </cols>
  <sheetData>
    <row r="1" spans="1:15" ht="15" customHeight="1" x14ac:dyDescent="0.25">
      <c r="A1" s="151" t="s">
        <v>594</v>
      </c>
      <c r="B1" s="152"/>
      <c r="C1" s="154"/>
      <c r="D1" s="154"/>
      <c r="E1" s="154"/>
      <c r="F1" s="154"/>
      <c r="G1" s="155"/>
      <c r="H1" s="154"/>
      <c r="I1" s="154"/>
      <c r="J1" s="154"/>
      <c r="K1" s="154"/>
      <c r="L1" s="155"/>
      <c r="M1" s="154"/>
    </row>
    <row r="2" spans="1:15" s="199" customFormat="1" ht="15" customHeight="1" x14ac:dyDescent="0.2">
      <c r="A2" s="500" t="s">
        <v>585</v>
      </c>
    </row>
    <row r="3" spans="1:15" ht="15" customHeight="1" x14ac:dyDescent="0.2">
      <c r="A3" s="158"/>
      <c r="B3" s="609" t="s">
        <v>0</v>
      </c>
      <c r="C3" s="609"/>
      <c r="D3" s="609"/>
      <c r="E3" s="609"/>
      <c r="F3" s="159"/>
      <c r="G3" s="606" t="s">
        <v>1</v>
      </c>
      <c r="H3" s="606"/>
      <c r="I3" s="606"/>
      <c r="J3" s="606"/>
      <c r="K3" s="535"/>
      <c r="L3" s="606" t="s">
        <v>2</v>
      </c>
      <c r="M3" s="606"/>
      <c r="N3" s="606"/>
      <c r="O3" s="606"/>
    </row>
    <row r="4" spans="1:15" ht="45" customHeight="1" x14ac:dyDescent="0.2">
      <c r="A4" s="160" t="s">
        <v>26</v>
      </c>
      <c r="B4" s="195" t="s">
        <v>41</v>
      </c>
      <c r="C4" s="161" t="s">
        <v>38</v>
      </c>
      <c r="D4" s="161" t="s">
        <v>565</v>
      </c>
      <c r="E4" s="161" t="s">
        <v>560</v>
      </c>
      <c r="F4" s="161"/>
      <c r="G4" s="195" t="s">
        <v>41</v>
      </c>
      <c r="H4" s="161" t="s">
        <v>38</v>
      </c>
      <c r="I4" s="161" t="s">
        <v>565</v>
      </c>
      <c r="J4" s="161" t="s">
        <v>560</v>
      </c>
      <c r="K4" s="161"/>
      <c r="L4" s="195" t="s">
        <v>41</v>
      </c>
      <c r="M4" s="161" t="s">
        <v>38</v>
      </c>
      <c r="N4" s="161" t="s">
        <v>565</v>
      </c>
      <c r="O4" s="161" t="s">
        <v>560</v>
      </c>
    </row>
    <row r="5" spans="1:15" ht="15" customHeight="1" x14ac:dyDescent="0.2">
      <c r="A5" s="518">
        <v>1997</v>
      </c>
      <c r="B5" s="514">
        <v>21270</v>
      </c>
      <c r="C5" s="515">
        <v>59.8</v>
      </c>
      <c r="D5" s="515">
        <v>241.8</v>
      </c>
      <c r="E5" s="515">
        <v>252.9</v>
      </c>
      <c r="F5" s="514"/>
      <c r="G5" s="514">
        <v>11942</v>
      </c>
      <c r="H5" s="515">
        <v>58.1</v>
      </c>
      <c r="I5" s="515">
        <v>137.5</v>
      </c>
      <c r="J5" s="515">
        <v>136.19999999999999</v>
      </c>
      <c r="K5" s="514"/>
      <c r="L5" s="514">
        <v>33212</v>
      </c>
      <c r="M5" s="515">
        <v>59.2</v>
      </c>
      <c r="N5" s="515">
        <v>190</v>
      </c>
      <c r="O5" s="515">
        <v>193.2</v>
      </c>
    </row>
    <row r="6" spans="1:15" ht="15" customHeight="1" x14ac:dyDescent="0.2">
      <c r="A6" s="518">
        <v>1998</v>
      </c>
      <c r="B6" s="514">
        <v>20550</v>
      </c>
      <c r="C6" s="515">
        <v>59.3</v>
      </c>
      <c r="D6" s="515">
        <v>231.8</v>
      </c>
      <c r="E6" s="515">
        <v>240.4</v>
      </c>
      <c r="F6" s="514"/>
      <c r="G6" s="514">
        <v>11304</v>
      </c>
      <c r="H6" s="515">
        <v>57.4</v>
      </c>
      <c r="I6" s="515">
        <v>129</v>
      </c>
      <c r="J6" s="515">
        <v>127.5</v>
      </c>
      <c r="K6" s="514"/>
      <c r="L6" s="514">
        <v>31854</v>
      </c>
      <c r="M6" s="515">
        <v>58.6</v>
      </c>
      <c r="N6" s="515">
        <v>180.7</v>
      </c>
      <c r="O6" s="515">
        <v>182.8</v>
      </c>
    </row>
    <row r="7" spans="1:15" ht="15" customHeight="1" x14ac:dyDescent="0.2">
      <c r="A7" s="518">
        <v>1999</v>
      </c>
      <c r="B7" s="514">
        <v>20232</v>
      </c>
      <c r="C7" s="515">
        <v>59.3</v>
      </c>
      <c r="D7" s="515">
        <v>226.2</v>
      </c>
      <c r="E7" s="515">
        <v>232.9</v>
      </c>
      <c r="F7" s="514"/>
      <c r="G7" s="514">
        <v>10858</v>
      </c>
      <c r="H7" s="515">
        <v>56.2</v>
      </c>
      <c r="I7" s="515">
        <v>122.7</v>
      </c>
      <c r="J7" s="515">
        <v>121</v>
      </c>
      <c r="K7" s="514"/>
      <c r="L7" s="514">
        <v>31090</v>
      </c>
      <c r="M7" s="515">
        <v>58.2</v>
      </c>
      <c r="N7" s="515">
        <v>174.8</v>
      </c>
      <c r="O7" s="515">
        <v>176</v>
      </c>
    </row>
    <row r="8" spans="1:15" ht="15" customHeight="1" x14ac:dyDescent="0.2">
      <c r="A8" s="518">
        <v>2000</v>
      </c>
      <c r="B8" s="514">
        <v>19218</v>
      </c>
      <c r="C8" s="515">
        <v>58.5</v>
      </c>
      <c r="D8" s="515">
        <v>212.8</v>
      </c>
      <c r="E8" s="515">
        <v>218</v>
      </c>
      <c r="F8" s="514"/>
      <c r="G8" s="514">
        <v>10846</v>
      </c>
      <c r="H8" s="515">
        <v>56.8</v>
      </c>
      <c r="I8" s="515">
        <v>121.4</v>
      </c>
      <c r="J8" s="515">
        <v>119.4</v>
      </c>
      <c r="K8" s="514"/>
      <c r="L8" s="514">
        <v>30064</v>
      </c>
      <c r="M8" s="515">
        <v>57.9</v>
      </c>
      <c r="N8" s="515">
        <v>167.3</v>
      </c>
      <c r="O8" s="515">
        <v>167.9</v>
      </c>
    </row>
    <row r="9" spans="1:15" ht="15" customHeight="1" x14ac:dyDescent="0.2">
      <c r="A9" s="518">
        <v>2001</v>
      </c>
      <c r="B9" s="514">
        <v>18857</v>
      </c>
      <c r="C9" s="515">
        <v>58.4</v>
      </c>
      <c r="D9" s="515">
        <v>206.6</v>
      </c>
      <c r="E9" s="515">
        <v>210.4</v>
      </c>
      <c r="F9" s="514"/>
      <c r="G9" s="514">
        <v>10493</v>
      </c>
      <c r="H9" s="515">
        <v>55.8</v>
      </c>
      <c r="I9" s="515">
        <v>116.1</v>
      </c>
      <c r="J9" s="515">
        <v>113.9</v>
      </c>
      <c r="K9" s="514"/>
      <c r="L9" s="514">
        <v>29350</v>
      </c>
      <c r="M9" s="515">
        <v>57.4</v>
      </c>
      <c r="N9" s="515">
        <v>161.6</v>
      </c>
      <c r="O9" s="515">
        <v>161.5</v>
      </c>
    </row>
    <row r="10" spans="1:15" ht="15" customHeight="1" x14ac:dyDescent="0.2">
      <c r="A10" s="518">
        <v>2002</v>
      </c>
      <c r="B10" s="514">
        <v>18366</v>
      </c>
      <c r="C10" s="515">
        <v>57.5</v>
      </c>
      <c r="D10" s="515">
        <v>199.1</v>
      </c>
      <c r="E10" s="515">
        <v>201.8</v>
      </c>
      <c r="F10" s="514"/>
      <c r="G10" s="514">
        <v>10306</v>
      </c>
      <c r="H10" s="515">
        <v>54.1</v>
      </c>
      <c r="I10" s="515">
        <v>112.9</v>
      </c>
      <c r="J10" s="515">
        <v>110.4</v>
      </c>
      <c r="K10" s="514"/>
      <c r="L10" s="514">
        <v>28672</v>
      </c>
      <c r="M10" s="515">
        <v>56.2</v>
      </c>
      <c r="N10" s="515">
        <v>156.19999999999999</v>
      </c>
      <c r="O10" s="515">
        <v>155.6</v>
      </c>
    </row>
    <row r="11" spans="1:15" ht="15" customHeight="1" x14ac:dyDescent="0.2">
      <c r="A11" s="518">
        <v>2003</v>
      </c>
      <c r="B11" s="514">
        <v>17950</v>
      </c>
      <c r="C11" s="515">
        <v>56.8</v>
      </c>
      <c r="D11" s="515">
        <v>192.6</v>
      </c>
      <c r="E11" s="515">
        <v>194.6</v>
      </c>
      <c r="F11" s="514"/>
      <c r="G11" s="514">
        <v>9863</v>
      </c>
      <c r="H11" s="515">
        <v>53.7</v>
      </c>
      <c r="I11" s="515">
        <v>106.9</v>
      </c>
      <c r="J11" s="515">
        <v>104.3</v>
      </c>
      <c r="K11" s="514"/>
      <c r="L11" s="514">
        <v>27813</v>
      </c>
      <c r="M11" s="515">
        <v>55.7</v>
      </c>
      <c r="N11" s="515">
        <v>150</v>
      </c>
      <c r="O11" s="515">
        <v>148.9</v>
      </c>
    </row>
    <row r="12" spans="1:15" ht="15" customHeight="1" x14ac:dyDescent="0.2">
      <c r="A12" s="518">
        <v>2004</v>
      </c>
      <c r="B12" s="514">
        <v>17158</v>
      </c>
      <c r="C12" s="515">
        <v>55.6</v>
      </c>
      <c r="D12" s="515">
        <v>182.3</v>
      </c>
      <c r="E12" s="515">
        <v>183.4</v>
      </c>
      <c r="F12" s="514"/>
      <c r="G12" s="514">
        <v>9552</v>
      </c>
      <c r="H12" s="515">
        <v>52.8</v>
      </c>
      <c r="I12" s="515">
        <v>102.5</v>
      </c>
      <c r="J12" s="515">
        <v>99.5</v>
      </c>
      <c r="K12" s="514"/>
      <c r="L12" s="514">
        <v>26710</v>
      </c>
      <c r="M12" s="515">
        <v>54.6</v>
      </c>
      <c r="N12" s="515">
        <v>142.6</v>
      </c>
      <c r="O12" s="515">
        <v>140.9</v>
      </c>
    </row>
    <row r="13" spans="1:15" ht="15" customHeight="1" x14ac:dyDescent="0.2">
      <c r="A13" s="518">
        <v>2005</v>
      </c>
      <c r="B13" s="514">
        <v>16702</v>
      </c>
      <c r="C13" s="515">
        <v>55.4</v>
      </c>
      <c r="D13" s="515">
        <v>175.5</v>
      </c>
      <c r="E13" s="515">
        <v>175.3</v>
      </c>
      <c r="F13" s="514"/>
      <c r="G13" s="514">
        <v>9212</v>
      </c>
      <c r="H13" s="515">
        <v>51.8</v>
      </c>
      <c r="I13" s="515">
        <v>97.8</v>
      </c>
      <c r="J13" s="515">
        <v>94.5</v>
      </c>
      <c r="K13" s="514"/>
      <c r="L13" s="514">
        <v>25914</v>
      </c>
      <c r="M13" s="515">
        <v>54.1</v>
      </c>
      <c r="N13" s="515">
        <v>136.80000000000001</v>
      </c>
      <c r="O13" s="515">
        <v>134.4</v>
      </c>
    </row>
    <row r="14" spans="1:15" ht="15" customHeight="1" x14ac:dyDescent="0.2">
      <c r="A14" s="518">
        <v>2006</v>
      </c>
      <c r="B14" s="514">
        <v>16338</v>
      </c>
      <c r="C14" s="515">
        <v>54.7</v>
      </c>
      <c r="D14" s="515">
        <v>169.5</v>
      </c>
      <c r="E14" s="515">
        <v>168.1</v>
      </c>
      <c r="F14" s="514"/>
      <c r="G14" s="514">
        <v>9173</v>
      </c>
      <c r="H14" s="515">
        <v>51.8</v>
      </c>
      <c r="I14" s="515">
        <v>96.1</v>
      </c>
      <c r="J14" s="515">
        <v>92.5</v>
      </c>
      <c r="K14" s="514"/>
      <c r="L14" s="514">
        <v>25511</v>
      </c>
      <c r="M14" s="515">
        <v>53.7</v>
      </c>
      <c r="N14" s="515">
        <v>133</v>
      </c>
      <c r="O14" s="515">
        <v>129.9</v>
      </c>
    </row>
    <row r="15" spans="1:15" ht="15" customHeight="1" x14ac:dyDescent="0.2">
      <c r="A15" s="518">
        <v>2007</v>
      </c>
      <c r="B15" s="514">
        <v>16341</v>
      </c>
      <c r="C15" s="515">
        <v>53.8</v>
      </c>
      <c r="D15" s="515">
        <v>166.4</v>
      </c>
      <c r="E15" s="515">
        <v>163.5</v>
      </c>
      <c r="F15" s="514"/>
      <c r="G15" s="514">
        <v>9348</v>
      </c>
      <c r="H15" s="515">
        <v>50.9</v>
      </c>
      <c r="I15" s="515">
        <v>96.3</v>
      </c>
      <c r="J15" s="515">
        <v>91.5</v>
      </c>
      <c r="K15" s="514"/>
      <c r="L15" s="514">
        <v>25689</v>
      </c>
      <c r="M15" s="515">
        <v>52.7</v>
      </c>
      <c r="N15" s="515">
        <v>131.5</v>
      </c>
      <c r="O15" s="515">
        <v>127.2</v>
      </c>
    </row>
    <row r="16" spans="1:15" ht="15" customHeight="1" x14ac:dyDescent="0.2">
      <c r="A16" s="518">
        <v>2008</v>
      </c>
      <c r="B16" s="514">
        <v>16790</v>
      </c>
      <c r="C16" s="515">
        <v>54</v>
      </c>
      <c r="D16" s="515">
        <v>167.4</v>
      </c>
      <c r="E16" s="515">
        <v>163.69999999999999</v>
      </c>
      <c r="F16" s="514"/>
      <c r="G16" s="514">
        <v>9596</v>
      </c>
      <c r="H16" s="515">
        <v>51.6</v>
      </c>
      <c r="I16" s="515">
        <v>96.9</v>
      </c>
      <c r="J16" s="515">
        <v>91.4</v>
      </c>
      <c r="K16" s="514"/>
      <c r="L16" s="514">
        <v>26386</v>
      </c>
      <c r="M16" s="515">
        <v>53.1</v>
      </c>
      <c r="N16" s="515">
        <v>132.4</v>
      </c>
      <c r="O16" s="515">
        <v>127.2</v>
      </c>
    </row>
    <row r="17" spans="1:16" ht="15" customHeight="1" x14ac:dyDescent="0.2">
      <c r="A17" s="518">
        <v>2009</v>
      </c>
      <c r="B17" s="514">
        <v>16851</v>
      </c>
      <c r="C17" s="515">
        <v>54.1</v>
      </c>
      <c r="D17" s="515">
        <v>164.5</v>
      </c>
      <c r="E17" s="515">
        <v>159.4</v>
      </c>
      <c r="F17" s="514"/>
      <c r="G17" s="514">
        <v>9673</v>
      </c>
      <c r="H17" s="515">
        <v>51.7</v>
      </c>
      <c r="I17" s="515">
        <v>95.7</v>
      </c>
      <c r="J17" s="515">
        <v>89.8</v>
      </c>
      <c r="K17" s="514"/>
      <c r="L17" s="514">
        <v>26524</v>
      </c>
      <c r="M17" s="515">
        <v>53.2</v>
      </c>
      <c r="N17" s="515">
        <v>130.4</v>
      </c>
      <c r="O17" s="515">
        <v>124.4</v>
      </c>
    </row>
    <row r="18" spans="1:16" ht="15" customHeight="1" x14ac:dyDescent="0.2">
      <c r="A18" s="518">
        <v>2010</v>
      </c>
      <c r="B18" s="514">
        <v>16584</v>
      </c>
      <c r="C18" s="515">
        <v>53.1</v>
      </c>
      <c r="D18" s="515">
        <v>159.5</v>
      </c>
      <c r="E18" s="515">
        <v>152.6</v>
      </c>
      <c r="F18" s="514"/>
      <c r="G18" s="514">
        <v>9389</v>
      </c>
      <c r="H18" s="515">
        <v>50</v>
      </c>
      <c r="I18" s="515">
        <v>91.5</v>
      </c>
      <c r="J18" s="515">
        <v>84.9</v>
      </c>
      <c r="K18" s="514"/>
      <c r="L18" s="514">
        <v>25973</v>
      </c>
      <c r="M18" s="515">
        <v>51.9</v>
      </c>
      <c r="N18" s="515">
        <v>125.7</v>
      </c>
      <c r="O18" s="515">
        <v>118.6</v>
      </c>
    </row>
    <row r="19" spans="1:16" ht="15" customHeight="1" x14ac:dyDescent="0.2">
      <c r="A19" s="518">
        <v>2011</v>
      </c>
      <c r="B19" s="514">
        <v>16557</v>
      </c>
      <c r="C19" s="515">
        <v>52.8</v>
      </c>
      <c r="D19" s="515">
        <v>157.19999999999999</v>
      </c>
      <c r="E19" s="515">
        <v>148</v>
      </c>
      <c r="F19" s="514"/>
      <c r="G19" s="514">
        <v>9566</v>
      </c>
      <c r="H19" s="515">
        <v>50.1</v>
      </c>
      <c r="I19" s="515">
        <v>91.9</v>
      </c>
      <c r="J19" s="515">
        <v>84.4</v>
      </c>
      <c r="K19" s="514"/>
      <c r="L19" s="514">
        <v>26123</v>
      </c>
      <c r="M19" s="515">
        <v>51.8</v>
      </c>
      <c r="N19" s="515">
        <v>124.8</v>
      </c>
      <c r="O19" s="515">
        <v>116</v>
      </c>
    </row>
    <row r="20" spans="1:16" ht="15" customHeight="1" x14ac:dyDescent="0.2">
      <c r="A20" s="518">
        <v>2012</v>
      </c>
      <c r="B20" s="514">
        <v>16094</v>
      </c>
      <c r="C20" s="515">
        <v>52.4</v>
      </c>
      <c r="D20" s="515">
        <v>150.30000000000001</v>
      </c>
      <c r="E20" s="515">
        <v>140.4</v>
      </c>
      <c r="F20" s="514"/>
      <c r="G20" s="514">
        <v>9300</v>
      </c>
      <c r="H20" s="515">
        <v>49.1</v>
      </c>
      <c r="I20" s="515">
        <v>87.8</v>
      </c>
      <c r="J20" s="515">
        <v>79.8</v>
      </c>
      <c r="K20" s="514"/>
      <c r="L20" s="514">
        <v>25394</v>
      </c>
      <c r="M20" s="515">
        <v>51.2</v>
      </c>
      <c r="N20" s="515">
        <v>119.2</v>
      </c>
      <c r="O20" s="515">
        <v>109.9</v>
      </c>
    </row>
    <row r="21" spans="1:16" ht="15" customHeight="1" x14ac:dyDescent="0.2">
      <c r="A21" s="518">
        <v>2013</v>
      </c>
      <c r="B21" s="514">
        <v>16578</v>
      </c>
      <c r="C21" s="515">
        <v>52.2</v>
      </c>
      <c r="D21" s="515">
        <v>152.4</v>
      </c>
      <c r="E21" s="515">
        <v>140.9</v>
      </c>
      <c r="F21" s="514"/>
      <c r="G21" s="514">
        <v>9369</v>
      </c>
      <c r="H21" s="515">
        <v>48.4</v>
      </c>
      <c r="I21" s="515">
        <v>86.9</v>
      </c>
      <c r="J21" s="515">
        <v>78.099999999999994</v>
      </c>
      <c r="K21" s="514"/>
      <c r="L21" s="514">
        <v>25947</v>
      </c>
      <c r="M21" s="515">
        <v>50.8</v>
      </c>
      <c r="N21" s="515">
        <v>119.8</v>
      </c>
      <c r="O21" s="515">
        <v>109.2</v>
      </c>
    </row>
    <row r="22" spans="1:16" ht="15" customHeight="1" x14ac:dyDescent="0.2">
      <c r="A22" s="518">
        <v>2014</v>
      </c>
      <c r="B22" s="514">
        <v>17037</v>
      </c>
      <c r="C22" s="515">
        <v>52.2</v>
      </c>
      <c r="D22" s="515">
        <v>154.6</v>
      </c>
      <c r="E22" s="515">
        <v>141.9</v>
      </c>
      <c r="F22" s="514"/>
      <c r="G22" s="514">
        <v>9851</v>
      </c>
      <c r="H22" s="515">
        <v>48.8</v>
      </c>
      <c r="I22" s="515">
        <v>90</v>
      </c>
      <c r="J22" s="515">
        <v>80.2</v>
      </c>
      <c r="K22" s="514"/>
      <c r="L22" s="514">
        <v>26888</v>
      </c>
      <c r="M22" s="515">
        <v>50.9</v>
      </c>
      <c r="N22" s="515">
        <v>122.4</v>
      </c>
      <c r="O22" s="515">
        <v>110.8</v>
      </c>
    </row>
    <row r="23" spans="1:16" ht="15" customHeight="1" x14ac:dyDescent="0.2">
      <c r="A23" s="518">
        <v>2015</v>
      </c>
      <c r="B23" s="514">
        <v>17478</v>
      </c>
      <c r="C23" s="515">
        <v>52.2</v>
      </c>
      <c r="D23" s="515">
        <v>156.6</v>
      </c>
      <c r="E23" s="515">
        <v>142.9</v>
      </c>
      <c r="F23" s="514"/>
      <c r="G23" s="514">
        <v>10012</v>
      </c>
      <c r="H23" s="515">
        <v>48.9</v>
      </c>
      <c r="I23" s="515">
        <v>90.1</v>
      </c>
      <c r="J23" s="515">
        <v>79.7</v>
      </c>
      <c r="K23" s="514"/>
      <c r="L23" s="514">
        <v>27490</v>
      </c>
      <c r="M23" s="515">
        <v>51</v>
      </c>
      <c r="N23" s="515">
        <v>123.4</v>
      </c>
      <c r="O23" s="515">
        <v>110.9</v>
      </c>
    </row>
    <row r="24" spans="1:16" ht="15" customHeight="1" x14ac:dyDescent="0.2">
      <c r="A24" s="518">
        <v>2016</v>
      </c>
      <c r="B24" s="514">
        <v>17471</v>
      </c>
      <c r="C24" s="515">
        <v>52.3</v>
      </c>
      <c r="D24" s="515">
        <v>154.4</v>
      </c>
      <c r="E24" s="515">
        <v>139.9</v>
      </c>
      <c r="F24" s="514"/>
      <c r="G24" s="514">
        <v>9939</v>
      </c>
      <c r="H24" s="515">
        <v>48.5</v>
      </c>
      <c r="I24" s="515">
        <v>88</v>
      </c>
      <c r="J24" s="515">
        <v>77.099999999999994</v>
      </c>
      <c r="K24" s="514"/>
      <c r="L24" s="514">
        <v>27410</v>
      </c>
      <c r="M24" s="515">
        <v>50.8</v>
      </c>
      <c r="N24" s="515">
        <v>121.3</v>
      </c>
      <c r="O24" s="515">
        <v>108.1</v>
      </c>
    </row>
    <row r="25" spans="1:16" ht="15" customHeight="1" x14ac:dyDescent="0.2">
      <c r="A25" s="182">
        <v>2017</v>
      </c>
      <c r="B25" s="184">
        <v>17794</v>
      </c>
      <c r="C25" s="177">
        <v>52.5</v>
      </c>
      <c r="D25" s="177">
        <v>154.9</v>
      </c>
      <c r="E25" s="177">
        <v>139.1</v>
      </c>
      <c r="F25" s="177"/>
      <c r="G25" s="178">
        <v>10087</v>
      </c>
      <c r="H25" s="177">
        <v>48.2</v>
      </c>
      <c r="I25" s="177">
        <v>87.9</v>
      </c>
      <c r="J25" s="177">
        <v>76.099999999999994</v>
      </c>
      <c r="K25" s="177"/>
      <c r="L25" s="178">
        <v>27881</v>
      </c>
      <c r="M25" s="177">
        <v>50.9</v>
      </c>
      <c r="N25" s="536">
        <v>121.4</v>
      </c>
      <c r="O25" s="536">
        <v>107.2</v>
      </c>
    </row>
    <row r="26" spans="1:16" ht="15" customHeight="1" x14ac:dyDescent="0.2">
      <c r="A26" s="182">
        <v>2018</v>
      </c>
      <c r="B26" s="184">
        <v>17618</v>
      </c>
      <c r="C26" s="177">
        <v>51.9</v>
      </c>
      <c r="D26" s="177">
        <v>151.19999999999999</v>
      </c>
      <c r="E26" s="177">
        <v>134.5</v>
      </c>
      <c r="F26" s="177"/>
      <c r="G26" s="178">
        <v>9994</v>
      </c>
      <c r="H26" s="177">
        <v>47.6</v>
      </c>
      <c r="I26" s="177">
        <v>85.9</v>
      </c>
      <c r="J26" s="177">
        <v>73.599999999999994</v>
      </c>
      <c r="K26" s="177"/>
      <c r="L26" s="178">
        <v>27612</v>
      </c>
      <c r="M26" s="177">
        <v>50.2</v>
      </c>
      <c r="N26" s="536">
        <v>118.6</v>
      </c>
      <c r="O26" s="536">
        <v>103.6</v>
      </c>
    </row>
    <row r="27" spans="1:16" ht="15" customHeight="1" x14ac:dyDescent="0.2">
      <c r="A27" s="182">
        <v>2019</v>
      </c>
      <c r="B27" s="184">
        <v>18058</v>
      </c>
      <c r="C27" s="177">
        <v>51.7</v>
      </c>
      <c r="D27" s="177">
        <v>153</v>
      </c>
      <c r="E27" s="177">
        <v>135.5</v>
      </c>
      <c r="F27" s="177"/>
      <c r="G27" s="178">
        <v>10181</v>
      </c>
      <c r="H27" s="177">
        <v>47.3</v>
      </c>
      <c r="I27" s="177">
        <v>86.4</v>
      </c>
      <c r="J27" s="177">
        <v>73.099999999999994</v>
      </c>
      <c r="K27" s="177"/>
      <c r="L27" s="178">
        <v>28239</v>
      </c>
      <c r="M27" s="177">
        <v>50</v>
      </c>
      <c r="N27" s="536">
        <v>119.7</v>
      </c>
      <c r="O27" s="536">
        <v>103.8</v>
      </c>
    </row>
    <row r="28" spans="1:16" ht="15" customHeight="1" x14ac:dyDescent="0.2">
      <c r="A28" s="182">
        <v>2020</v>
      </c>
      <c r="B28" s="184">
        <v>17514</v>
      </c>
      <c r="C28" s="177">
        <v>51.5</v>
      </c>
      <c r="D28" s="177">
        <v>146.9</v>
      </c>
      <c r="E28" s="177">
        <v>128.69999999999999</v>
      </c>
      <c r="F28" s="177"/>
      <c r="G28" s="178">
        <v>9884</v>
      </c>
      <c r="H28" s="177">
        <v>47.3</v>
      </c>
      <c r="I28" s="177">
        <v>82.9</v>
      </c>
      <c r="J28" s="177">
        <v>69.599999999999994</v>
      </c>
      <c r="K28" s="177"/>
      <c r="L28" s="178">
        <v>27398</v>
      </c>
      <c r="M28" s="177">
        <v>49.9</v>
      </c>
      <c r="N28" s="536">
        <v>114.9</v>
      </c>
      <c r="O28" s="536">
        <v>98.7</v>
      </c>
    </row>
    <row r="29" spans="1:16" ht="15" customHeight="1" x14ac:dyDescent="0.2">
      <c r="A29" s="182">
        <v>2021</v>
      </c>
      <c r="B29" s="184">
        <v>17349</v>
      </c>
      <c r="C29" s="177">
        <v>49.9</v>
      </c>
      <c r="D29" s="177">
        <v>145.80000000000001</v>
      </c>
      <c r="E29" s="177">
        <v>126</v>
      </c>
      <c r="F29" s="177"/>
      <c r="G29" s="178">
        <v>9971</v>
      </c>
      <c r="H29" s="177">
        <v>45.5</v>
      </c>
      <c r="I29" s="177">
        <v>83.8</v>
      </c>
      <c r="J29" s="177">
        <v>69</v>
      </c>
      <c r="K29" s="177"/>
      <c r="L29" s="178">
        <v>27320</v>
      </c>
      <c r="M29" s="177">
        <v>48.2</v>
      </c>
      <c r="N29" s="536">
        <v>114.8</v>
      </c>
      <c r="O29" s="536">
        <v>97</v>
      </c>
    </row>
    <row r="30" spans="1:16" ht="15" customHeight="1" x14ac:dyDescent="0.2">
      <c r="A30" s="537">
        <v>2022</v>
      </c>
      <c r="B30" s="184">
        <v>18357</v>
      </c>
      <c r="C30" s="177">
        <v>49.3</v>
      </c>
      <c r="D30" s="177">
        <v>152.80000000000001</v>
      </c>
      <c r="E30" s="177">
        <v>131.9</v>
      </c>
      <c r="F30" s="177"/>
      <c r="G30" s="178">
        <v>10578</v>
      </c>
      <c r="H30" s="177">
        <v>45.2</v>
      </c>
      <c r="I30" s="177">
        <v>88.1</v>
      </c>
      <c r="J30" s="177">
        <v>72.599999999999994</v>
      </c>
      <c r="K30" s="177"/>
      <c r="L30" s="178">
        <v>28935</v>
      </c>
      <c r="M30" s="177">
        <v>47.7</v>
      </c>
      <c r="N30" s="536">
        <v>120.4</v>
      </c>
      <c r="O30" s="536">
        <v>101.6</v>
      </c>
      <c r="P30" s="538"/>
    </row>
    <row r="31" spans="1:16" ht="15" customHeight="1" x14ac:dyDescent="0.2">
      <c r="A31" s="196">
        <v>2023</v>
      </c>
      <c r="B31" s="493">
        <v>17805</v>
      </c>
      <c r="C31" s="198">
        <v>49.5</v>
      </c>
      <c r="D31" s="198">
        <v>144.80000000000001</v>
      </c>
      <c r="E31" s="198">
        <v>126.1</v>
      </c>
      <c r="F31" s="198"/>
      <c r="G31" s="494">
        <v>10307</v>
      </c>
      <c r="H31" s="198">
        <v>45.8</v>
      </c>
      <c r="I31" s="198">
        <v>83.9</v>
      </c>
      <c r="J31" s="198">
        <v>69.2</v>
      </c>
      <c r="K31" s="198"/>
      <c r="L31" s="494">
        <v>28112</v>
      </c>
      <c r="M31" s="198">
        <v>48.1</v>
      </c>
      <c r="N31" s="539">
        <v>114.4</v>
      </c>
      <c r="O31" s="539">
        <v>97</v>
      </c>
      <c r="P31" s="538"/>
    </row>
    <row r="32" spans="1:16" s="199" customFormat="1" ht="15" customHeight="1" x14ac:dyDescent="0.2">
      <c r="A32" s="315" t="s">
        <v>68</v>
      </c>
      <c r="B32" s="300" t="s">
        <v>69</v>
      </c>
      <c r="C32" s="301"/>
      <c r="D32" s="301"/>
      <c r="E32" s="148"/>
      <c r="F32" s="214"/>
      <c r="G32" s="463"/>
      <c r="H32" s="463"/>
      <c r="I32" s="214"/>
      <c r="J32" s="246"/>
      <c r="K32" s="214"/>
      <c r="L32" s="214"/>
      <c r="M32" s="463"/>
      <c r="N32" s="463"/>
      <c r="O32" s="214"/>
      <c r="P32" s="214"/>
    </row>
    <row r="33" spans="1:16" s="199" customFormat="1" ht="15" customHeight="1" x14ac:dyDescent="0.2">
      <c r="A33" s="212" t="s">
        <v>4</v>
      </c>
      <c r="B33" s="301"/>
      <c r="C33" s="214"/>
      <c r="D33" s="214"/>
      <c r="E33" s="214"/>
      <c r="F33" s="214"/>
      <c r="G33" s="246"/>
      <c r="H33" s="214"/>
      <c r="I33" s="214"/>
      <c r="J33" s="214"/>
      <c r="K33" s="214"/>
      <c r="L33" s="246"/>
      <c r="M33" s="214"/>
    </row>
    <row r="34" spans="1:16" s="473" customFormat="1" ht="39.950000000000003" customHeight="1" x14ac:dyDescent="0.2">
      <c r="A34" s="608" t="s">
        <v>35</v>
      </c>
      <c r="B34" s="605"/>
      <c r="C34" s="605"/>
      <c r="D34" s="605"/>
      <c r="E34" s="605"/>
      <c r="F34" s="605"/>
      <c r="G34" s="605"/>
      <c r="H34" s="605"/>
      <c r="I34" s="605"/>
      <c r="J34" s="605"/>
      <c r="K34" s="605"/>
      <c r="L34" s="605"/>
      <c r="M34" s="605"/>
      <c r="N34" s="605"/>
      <c r="O34" s="605"/>
      <c r="P34" s="605"/>
    </row>
    <row r="35" spans="1:16" s="473" customFormat="1" ht="15" customHeight="1" x14ac:dyDescent="0.2">
      <c r="A35" s="608" t="s">
        <v>586</v>
      </c>
      <c r="B35" s="605"/>
      <c r="C35" s="605"/>
      <c r="D35" s="605"/>
      <c r="E35" s="605"/>
      <c r="F35" s="605"/>
      <c r="G35" s="605"/>
      <c r="H35" s="605"/>
      <c r="I35" s="605"/>
      <c r="J35" s="605"/>
      <c r="K35" s="605"/>
      <c r="L35" s="605"/>
      <c r="M35" s="605"/>
      <c r="N35" s="605"/>
      <c r="O35" s="605"/>
      <c r="P35" s="605"/>
    </row>
    <row r="36" spans="1:16" s="473" customFormat="1" ht="39.950000000000003" customHeight="1" x14ac:dyDescent="0.2">
      <c r="A36" s="608" t="s">
        <v>567</v>
      </c>
      <c r="B36" s="605"/>
      <c r="C36" s="605"/>
      <c r="D36" s="605"/>
      <c r="E36" s="605"/>
      <c r="F36" s="605"/>
      <c r="G36" s="605"/>
      <c r="H36" s="605"/>
      <c r="I36" s="605"/>
      <c r="J36" s="605"/>
      <c r="K36" s="605"/>
      <c r="L36" s="605"/>
      <c r="M36" s="605"/>
      <c r="N36" s="605"/>
      <c r="O36" s="605"/>
      <c r="P36" s="605"/>
    </row>
    <row r="37" spans="1:16" s="473" customFormat="1" ht="39.950000000000003" customHeight="1" x14ac:dyDescent="0.2">
      <c r="A37" s="608" t="s">
        <v>133</v>
      </c>
      <c r="B37" s="605"/>
      <c r="C37" s="605"/>
      <c r="D37" s="605"/>
      <c r="E37" s="605"/>
      <c r="F37" s="605"/>
      <c r="G37" s="605"/>
      <c r="H37" s="605"/>
      <c r="I37" s="605"/>
      <c r="J37" s="605"/>
      <c r="K37" s="605"/>
      <c r="L37" s="605"/>
      <c r="M37" s="605"/>
      <c r="N37" s="605"/>
      <c r="O37" s="605"/>
      <c r="P37" s="605"/>
    </row>
    <row r="38" spans="1:16" s="473" customFormat="1" ht="15.75" customHeight="1" x14ac:dyDescent="0.2">
      <c r="A38" s="610" t="s">
        <v>606</v>
      </c>
      <c r="B38" s="610"/>
      <c r="C38" s="610"/>
      <c r="D38" s="610"/>
      <c r="E38" s="610"/>
      <c r="F38" s="610"/>
      <c r="G38" s="610"/>
      <c r="H38" s="610"/>
      <c r="I38" s="610"/>
      <c r="J38" s="610"/>
      <c r="K38" s="610"/>
      <c r="L38" s="610"/>
      <c r="M38" s="610"/>
      <c r="N38" s="610"/>
      <c r="O38" s="610"/>
      <c r="P38" s="610"/>
    </row>
    <row r="39" spans="1:16" s="473" customFormat="1" ht="30" customHeight="1" x14ac:dyDescent="0.2">
      <c r="A39" s="608" t="s">
        <v>605</v>
      </c>
      <c r="B39" s="605"/>
      <c r="C39" s="605"/>
      <c r="D39" s="605"/>
      <c r="E39" s="605"/>
      <c r="F39" s="605"/>
      <c r="G39" s="605"/>
      <c r="H39" s="605"/>
      <c r="I39" s="605"/>
      <c r="J39" s="605"/>
      <c r="K39" s="605"/>
      <c r="L39" s="605"/>
      <c r="M39" s="605"/>
      <c r="N39" s="605"/>
      <c r="O39" s="605"/>
      <c r="P39" s="605"/>
    </row>
    <row r="40" spans="1:16" s="199" customFormat="1" ht="15" customHeight="1" x14ac:dyDescent="0.2">
      <c r="A40" s="212" t="s">
        <v>554</v>
      </c>
      <c r="B40" s="301"/>
      <c r="C40" s="214"/>
      <c r="D40" s="214"/>
      <c r="E40" s="214"/>
      <c r="F40" s="214"/>
      <c r="G40" s="246"/>
      <c r="H40" s="214"/>
      <c r="I40" s="214"/>
      <c r="J40" s="214"/>
      <c r="K40" s="214"/>
      <c r="L40" s="246"/>
      <c r="M40" s="214"/>
    </row>
    <row r="41" spans="1:16" ht="15" customHeight="1" x14ac:dyDescent="0.2">
      <c r="A41" s="182"/>
      <c r="B41" s="184"/>
      <c r="C41" s="177"/>
      <c r="D41" s="177"/>
      <c r="E41" s="177"/>
      <c r="F41" s="177"/>
      <c r="G41" s="178"/>
      <c r="H41" s="177"/>
      <c r="I41" s="177"/>
      <c r="J41" s="177"/>
      <c r="K41" s="177"/>
      <c r="L41" s="178"/>
      <c r="M41" s="177"/>
    </row>
    <row r="42" spans="1:16" ht="15" customHeight="1" x14ac:dyDescent="0.2">
      <c r="A42" s="182"/>
      <c r="B42" s="184"/>
      <c r="C42" s="177"/>
      <c r="D42" s="177"/>
      <c r="E42" s="177"/>
      <c r="F42" s="177"/>
      <c r="G42" s="178"/>
      <c r="H42" s="177"/>
      <c r="I42" s="177"/>
      <c r="J42" s="177"/>
      <c r="K42" s="540"/>
      <c r="L42" s="540"/>
      <c r="M42" s="540"/>
    </row>
    <row r="43" spans="1:16" ht="15" customHeight="1" x14ac:dyDescent="0.2">
      <c r="A43" s="182"/>
      <c r="B43" s="184"/>
      <c r="C43" s="177"/>
      <c r="D43" s="177"/>
      <c r="E43" s="177"/>
      <c r="F43" s="177"/>
      <c r="G43" s="178"/>
      <c r="H43" s="177"/>
      <c r="I43" s="177"/>
      <c r="J43" s="177"/>
      <c r="K43" s="177"/>
      <c r="L43" s="178"/>
      <c r="M43" s="177"/>
    </row>
    <row r="44" spans="1:16" ht="15" customHeight="1" x14ac:dyDescent="0.2">
      <c r="A44" s="182"/>
      <c r="B44" s="184"/>
      <c r="C44" s="177"/>
      <c r="D44" s="177"/>
      <c r="E44" s="177"/>
      <c r="F44" s="177"/>
      <c r="G44" s="178"/>
      <c r="H44" s="177"/>
      <c r="I44" s="177"/>
      <c r="J44" s="177"/>
      <c r="K44" s="177"/>
      <c r="L44" s="178"/>
      <c r="M44" s="177"/>
    </row>
    <row r="45" spans="1:16" ht="15" customHeight="1" x14ac:dyDescent="0.2">
      <c r="A45" s="182"/>
      <c r="B45" s="184"/>
      <c r="C45" s="177"/>
      <c r="D45" s="177"/>
      <c r="E45" s="177"/>
      <c r="F45" s="177"/>
      <c r="G45" s="178"/>
      <c r="H45" s="177"/>
      <c r="I45" s="177"/>
      <c r="J45" s="177"/>
      <c r="K45" s="177"/>
      <c r="L45" s="178"/>
      <c r="M45" s="177"/>
    </row>
    <row r="46" spans="1:16" ht="15" customHeight="1" x14ac:dyDescent="0.2">
      <c r="A46" s="182"/>
      <c r="B46" s="184"/>
      <c r="C46" s="177"/>
      <c r="D46" s="177"/>
      <c r="E46" s="177"/>
      <c r="F46" s="177"/>
      <c r="G46" s="178"/>
      <c r="H46" s="177"/>
      <c r="I46" s="177"/>
      <c r="J46" s="177"/>
      <c r="K46" s="177"/>
      <c r="L46" s="178"/>
      <c r="M46" s="177"/>
    </row>
    <row r="47" spans="1:16" ht="15" customHeight="1" x14ac:dyDescent="0.2">
      <c r="A47" s="182"/>
      <c r="B47" s="184"/>
      <c r="C47" s="177"/>
      <c r="D47" s="177"/>
      <c r="E47" s="177"/>
      <c r="F47" s="177"/>
      <c r="G47" s="178"/>
      <c r="H47" s="177"/>
      <c r="I47" s="177"/>
      <c r="J47" s="177"/>
      <c r="K47" s="177"/>
      <c r="L47" s="178"/>
      <c r="M47" s="177"/>
    </row>
    <row r="48" spans="1:16" ht="15" customHeight="1" x14ac:dyDescent="0.2">
      <c r="A48" s="182"/>
      <c r="B48" s="184"/>
      <c r="C48" s="177"/>
      <c r="D48" s="177"/>
      <c r="E48" s="177"/>
      <c r="F48" s="177"/>
      <c r="G48" s="178"/>
      <c r="H48" s="177"/>
      <c r="I48" s="177"/>
      <c r="J48" s="177"/>
      <c r="K48" s="177"/>
      <c r="L48" s="178"/>
      <c r="M48" s="177"/>
    </row>
    <row r="49" spans="1:13" ht="15" customHeight="1" x14ac:dyDescent="0.2">
      <c r="A49" s="182"/>
      <c r="B49" s="184"/>
      <c r="C49" s="177"/>
      <c r="D49" s="177"/>
      <c r="E49" s="177"/>
      <c r="F49" s="177"/>
      <c r="G49" s="178"/>
      <c r="H49" s="177"/>
      <c r="I49" s="177"/>
      <c r="J49" s="177"/>
      <c r="K49" s="177"/>
      <c r="L49" s="178"/>
      <c r="M49" s="177"/>
    </row>
    <row r="50" spans="1:13" ht="15" customHeight="1" x14ac:dyDescent="0.2">
      <c r="A50" s="182"/>
      <c r="B50" s="184"/>
      <c r="C50" s="177"/>
      <c r="D50" s="177"/>
      <c r="E50" s="177"/>
      <c r="F50" s="177"/>
      <c r="G50" s="178"/>
      <c r="H50" s="177"/>
      <c r="I50" s="177"/>
      <c r="J50" s="177"/>
      <c r="K50" s="177"/>
      <c r="L50" s="178"/>
      <c r="M50" s="177"/>
    </row>
    <row r="51" spans="1:13" ht="15" customHeight="1" x14ac:dyDescent="0.2">
      <c r="A51" s="182"/>
      <c r="B51" s="184"/>
      <c r="C51" s="177"/>
      <c r="D51" s="177"/>
      <c r="E51" s="177"/>
      <c r="F51" s="177"/>
      <c r="G51" s="178"/>
      <c r="H51" s="177"/>
      <c r="I51" s="177"/>
      <c r="J51" s="177"/>
      <c r="K51" s="177"/>
      <c r="L51" s="178"/>
      <c r="M51" s="177"/>
    </row>
    <row r="52" spans="1:13" ht="15" customHeight="1" x14ac:dyDescent="0.2">
      <c r="A52" s="182"/>
      <c r="B52" s="184"/>
      <c r="C52" s="177"/>
      <c r="D52" s="177"/>
      <c r="E52" s="177"/>
      <c r="F52" s="177"/>
      <c r="G52" s="178"/>
      <c r="H52" s="177"/>
      <c r="I52" s="177"/>
      <c r="J52" s="177"/>
      <c r="K52" s="177"/>
      <c r="L52" s="178"/>
      <c r="M52" s="177"/>
    </row>
    <row r="53" spans="1:13" ht="15" customHeight="1" x14ac:dyDescent="0.2">
      <c r="A53" s="182"/>
      <c r="B53" s="184"/>
      <c r="C53" s="177"/>
      <c r="D53" s="177"/>
      <c r="E53" s="177"/>
      <c r="F53" s="177"/>
      <c r="G53" s="178"/>
      <c r="H53" s="177"/>
      <c r="I53" s="177"/>
      <c r="J53" s="177"/>
      <c r="K53" s="177"/>
      <c r="L53" s="178"/>
      <c r="M53" s="177"/>
    </row>
    <row r="54" spans="1:13" ht="15" customHeight="1" x14ac:dyDescent="0.2">
      <c r="A54" s="182"/>
      <c r="B54" s="184"/>
      <c r="C54" s="177"/>
      <c r="D54" s="177"/>
      <c r="E54" s="177"/>
      <c r="F54" s="177"/>
      <c r="G54" s="178"/>
      <c r="H54" s="177"/>
      <c r="I54" s="177"/>
      <c r="J54" s="177"/>
      <c r="K54" s="177"/>
      <c r="L54" s="178"/>
      <c r="M54" s="177"/>
    </row>
    <row r="55" spans="1:13" ht="15" customHeight="1" x14ac:dyDescent="0.2">
      <c r="A55" s="182"/>
      <c r="B55" s="184"/>
      <c r="C55" s="177"/>
      <c r="D55" s="177"/>
      <c r="E55" s="177"/>
      <c r="F55" s="177"/>
      <c r="G55" s="178"/>
      <c r="H55" s="177"/>
      <c r="I55" s="177"/>
      <c r="J55" s="177"/>
      <c r="K55" s="177"/>
      <c r="L55" s="178"/>
      <c r="M55" s="177"/>
    </row>
    <row r="56" spans="1:13" ht="15" customHeight="1" x14ac:dyDescent="0.2">
      <c r="A56" s="182"/>
      <c r="B56" s="184"/>
      <c r="C56" s="177"/>
      <c r="D56" s="177"/>
      <c r="E56" s="177"/>
      <c r="F56" s="177"/>
      <c r="G56" s="178"/>
      <c r="H56" s="177"/>
      <c r="I56" s="177"/>
      <c r="J56" s="177"/>
      <c r="K56" s="177"/>
      <c r="L56" s="178"/>
      <c r="M56" s="177"/>
    </row>
  </sheetData>
  <mergeCells count="9">
    <mergeCell ref="A36:P36"/>
    <mergeCell ref="A37:P37"/>
    <mergeCell ref="A39:P39"/>
    <mergeCell ref="B3:E3"/>
    <mergeCell ref="G3:J3"/>
    <mergeCell ref="L3:O3"/>
    <mergeCell ref="A34:P34"/>
    <mergeCell ref="A35:P35"/>
    <mergeCell ref="A38:P38"/>
  </mergeCells>
  <hyperlinks>
    <hyperlink ref="A2" location="Contents!A1" display="Back to contents" xr:uid="{C0F28C8C-4212-447E-B530-346F5D767896}"/>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530E7-C0F9-4D76-85F5-51DF7B460BD4}">
  <dimension ref="A1:Q28"/>
  <sheetViews>
    <sheetView showGridLines="0" zoomScaleNormal="100" workbookViewId="0">
      <pane ySplit="4" topLeftCell="A5" activePane="bottomLeft" state="frozen"/>
      <selection activeCell="M33" sqref="M33:N33"/>
      <selection pane="bottomLeft" activeCell="A5" sqref="A5"/>
    </sheetView>
  </sheetViews>
  <sheetFormatPr defaultRowHeight="15" customHeight="1" x14ac:dyDescent="0.2"/>
  <cols>
    <col min="1" max="1" width="37.625" style="101" customWidth="1"/>
    <col min="2" max="2" width="7.5" style="90" bestFit="1" customWidth="1"/>
    <col min="3" max="3" width="6.625" style="91" bestFit="1" customWidth="1"/>
    <col min="4" max="5" width="9.625" style="91" customWidth="1"/>
    <col min="6" max="6" width="5.875" style="12" customWidth="1"/>
    <col min="7" max="7" width="37.625" style="101" customWidth="1"/>
    <col min="8" max="8" width="7.625" style="90" bestFit="1" customWidth="1"/>
    <col min="9" max="9" width="6.625" style="91" bestFit="1" customWidth="1"/>
    <col min="10" max="11" width="9.625" style="91" customWidth="1"/>
    <col min="12" max="12" width="5.875" style="12" customWidth="1"/>
    <col min="13" max="13" width="37.625" style="101" customWidth="1"/>
    <col min="14" max="14" width="7.75" style="90" bestFit="1" customWidth="1"/>
    <col min="15" max="15" width="6.625" style="91" bestFit="1" customWidth="1"/>
    <col min="16" max="17" width="9.625" style="91" customWidth="1"/>
    <col min="18" max="256" width="9" style="12"/>
    <col min="257" max="257" width="8.5" style="12" customWidth="1"/>
    <col min="258" max="258" width="40" style="12" customWidth="1"/>
    <col min="259" max="259" width="6.375" style="12" bestFit="1" customWidth="1"/>
    <col min="260" max="260" width="6.625" style="12" bestFit="1" customWidth="1"/>
    <col min="261" max="261" width="8.25" style="12" bestFit="1" customWidth="1"/>
    <col min="262" max="262" width="4.125" style="12" customWidth="1"/>
    <col min="263" max="263" width="8.5" style="12" customWidth="1"/>
    <col min="264" max="264" width="40" style="12" customWidth="1"/>
    <col min="265" max="265" width="6.375" style="12" customWidth="1"/>
    <col min="266" max="266" width="6.625" style="12" bestFit="1" customWidth="1"/>
    <col min="267" max="267" width="8.25" style="12" bestFit="1" customWidth="1"/>
    <col min="268" max="268" width="4.125" style="12" customWidth="1"/>
    <col min="269" max="269" width="8.5" style="12" customWidth="1"/>
    <col min="270" max="270" width="40" style="12" customWidth="1"/>
    <col min="271" max="271" width="6.375" style="12" customWidth="1"/>
    <col min="272" max="272" width="6.625" style="12" bestFit="1" customWidth="1"/>
    <col min="273" max="273" width="8.25" style="12" bestFit="1" customWidth="1"/>
    <col min="274" max="512" width="9" style="12"/>
    <col min="513" max="513" width="8.5" style="12" customWidth="1"/>
    <col min="514" max="514" width="40" style="12" customWidth="1"/>
    <col min="515" max="515" width="6.375" style="12" bestFit="1" customWidth="1"/>
    <col min="516" max="516" width="6.625" style="12" bestFit="1" customWidth="1"/>
    <col min="517" max="517" width="8.25" style="12" bestFit="1" customWidth="1"/>
    <col min="518" max="518" width="4.125" style="12" customWidth="1"/>
    <col min="519" max="519" width="8.5" style="12" customWidth="1"/>
    <col min="520" max="520" width="40" style="12" customWidth="1"/>
    <col min="521" max="521" width="6.375" style="12" customWidth="1"/>
    <col min="522" max="522" width="6.625" style="12" bestFit="1" customWidth="1"/>
    <col min="523" max="523" width="8.25" style="12" bestFit="1" customWidth="1"/>
    <col min="524" max="524" width="4.125" style="12" customWidth="1"/>
    <col min="525" max="525" width="8.5" style="12" customWidth="1"/>
    <col min="526" max="526" width="40" style="12" customWidth="1"/>
    <col min="527" max="527" width="6.375" style="12" customWidth="1"/>
    <col min="528" max="528" width="6.625" style="12" bestFit="1" customWidth="1"/>
    <col min="529" max="529" width="8.25" style="12" bestFit="1" customWidth="1"/>
    <col min="530" max="768" width="9" style="12"/>
    <col min="769" max="769" width="8.5" style="12" customWidth="1"/>
    <col min="770" max="770" width="40" style="12" customWidth="1"/>
    <col min="771" max="771" width="6.375" style="12" bestFit="1" customWidth="1"/>
    <col min="772" max="772" width="6.625" style="12" bestFit="1" customWidth="1"/>
    <col min="773" max="773" width="8.25" style="12" bestFit="1" customWidth="1"/>
    <col min="774" max="774" width="4.125" style="12" customWidth="1"/>
    <col min="775" max="775" width="8.5" style="12" customWidth="1"/>
    <col min="776" max="776" width="40" style="12" customWidth="1"/>
    <col min="777" max="777" width="6.375" style="12" customWidth="1"/>
    <col min="778" max="778" width="6.625" style="12" bestFit="1" customWidth="1"/>
    <col min="779" max="779" width="8.25" style="12" bestFit="1" customWidth="1"/>
    <col min="780" max="780" width="4.125" style="12" customWidth="1"/>
    <col min="781" max="781" width="8.5" style="12" customWidth="1"/>
    <col min="782" max="782" width="40" style="12" customWidth="1"/>
    <col min="783" max="783" width="6.375" style="12" customWidth="1"/>
    <col min="784" max="784" width="6.625" style="12" bestFit="1" customWidth="1"/>
    <col min="785" max="785" width="8.25" style="12" bestFit="1" customWidth="1"/>
    <col min="786" max="1024" width="9" style="12"/>
    <col min="1025" max="1025" width="8.5" style="12" customWidth="1"/>
    <col min="1026" max="1026" width="40" style="12" customWidth="1"/>
    <col min="1027" max="1027" width="6.375" style="12" bestFit="1" customWidth="1"/>
    <col min="1028" max="1028" width="6.625" style="12" bestFit="1" customWidth="1"/>
    <col min="1029" max="1029" width="8.25" style="12" bestFit="1" customWidth="1"/>
    <col min="1030" max="1030" width="4.125" style="12" customWidth="1"/>
    <col min="1031" max="1031" width="8.5" style="12" customWidth="1"/>
    <col min="1032" max="1032" width="40" style="12" customWidth="1"/>
    <col min="1033" max="1033" width="6.375" style="12" customWidth="1"/>
    <col min="1034" max="1034" width="6.625" style="12" bestFit="1" customWidth="1"/>
    <col min="1035" max="1035" width="8.25" style="12" bestFit="1" customWidth="1"/>
    <col min="1036" max="1036" width="4.125" style="12" customWidth="1"/>
    <col min="1037" max="1037" width="8.5" style="12" customWidth="1"/>
    <col min="1038" max="1038" width="40" style="12" customWidth="1"/>
    <col min="1039" max="1039" width="6.375" style="12" customWidth="1"/>
    <col min="1040" max="1040" width="6.625" style="12" bestFit="1" customWidth="1"/>
    <col min="1041" max="1041" width="8.25" style="12" bestFit="1" customWidth="1"/>
    <col min="1042" max="1280" width="9" style="12"/>
    <col min="1281" max="1281" width="8.5" style="12" customWidth="1"/>
    <col min="1282" max="1282" width="40" style="12" customWidth="1"/>
    <col min="1283" max="1283" width="6.375" style="12" bestFit="1" customWidth="1"/>
    <col min="1284" max="1284" width="6.625" style="12" bestFit="1" customWidth="1"/>
    <col min="1285" max="1285" width="8.25" style="12" bestFit="1" customWidth="1"/>
    <col min="1286" max="1286" width="4.125" style="12" customWidth="1"/>
    <col min="1287" max="1287" width="8.5" style="12" customWidth="1"/>
    <col min="1288" max="1288" width="40" style="12" customWidth="1"/>
    <col min="1289" max="1289" width="6.375" style="12" customWidth="1"/>
    <col min="1290" max="1290" width="6.625" style="12" bestFit="1" customWidth="1"/>
    <col min="1291" max="1291" width="8.25" style="12" bestFit="1" customWidth="1"/>
    <col min="1292" max="1292" width="4.125" style="12" customWidth="1"/>
    <col min="1293" max="1293" width="8.5" style="12" customWidth="1"/>
    <col min="1294" max="1294" width="40" style="12" customWidth="1"/>
    <col min="1295" max="1295" width="6.375" style="12" customWidth="1"/>
    <col min="1296" max="1296" width="6.625" style="12" bestFit="1" customWidth="1"/>
    <col min="1297" max="1297" width="8.25" style="12" bestFit="1" customWidth="1"/>
    <col min="1298" max="1536" width="9" style="12"/>
    <col min="1537" max="1537" width="8.5" style="12" customWidth="1"/>
    <col min="1538" max="1538" width="40" style="12" customWidth="1"/>
    <col min="1539" max="1539" width="6.375" style="12" bestFit="1" customWidth="1"/>
    <col min="1540" max="1540" width="6.625" style="12" bestFit="1" customWidth="1"/>
    <col min="1541" max="1541" width="8.25" style="12" bestFit="1" customWidth="1"/>
    <col min="1542" max="1542" width="4.125" style="12" customWidth="1"/>
    <col min="1543" max="1543" width="8.5" style="12" customWidth="1"/>
    <col min="1544" max="1544" width="40" style="12" customWidth="1"/>
    <col min="1545" max="1545" width="6.375" style="12" customWidth="1"/>
    <col min="1546" max="1546" width="6.625" style="12" bestFit="1" customWidth="1"/>
    <col min="1547" max="1547" width="8.25" style="12" bestFit="1" customWidth="1"/>
    <col min="1548" max="1548" width="4.125" style="12" customWidth="1"/>
    <col min="1549" max="1549" width="8.5" style="12" customWidth="1"/>
    <col min="1550" max="1550" width="40" style="12" customWidth="1"/>
    <col min="1551" max="1551" width="6.375" style="12" customWidth="1"/>
    <col min="1552" max="1552" width="6.625" style="12" bestFit="1" customWidth="1"/>
    <col min="1553" max="1553" width="8.25" style="12" bestFit="1" customWidth="1"/>
    <col min="1554" max="1792" width="9" style="12"/>
    <col min="1793" max="1793" width="8.5" style="12" customWidth="1"/>
    <col min="1794" max="1794" width="40" style="12" customWidth="1"/>
    <col min="1795" max="1795" width="6.375" style="12" bestFit="1" customWidth="1"/>
    <col min="1796" max="1796" width="6.625" style="12" bestFit="1" customWidth="1"/>
    <col min="1797" max="1797" width="8.25" style="12" bestFit="1" customWidth="1"/>
    <col min="1798" max="1798" width="4.125" style="12" customWidth="1"/>
    <col min="1799" max="1799" width="8.5" style="12" customWidth="1"/>
    <col min="1800" max="1800" width="40" style="12" customWidth="1"/>
    <col min="1801" max="1801" width="6.375" style="12" customWidth="1"/>
    <col min="1802" max="1802" width="6.625" style="12" bestFit="1" customWidth="1"/>
    <col min="1803" max="1803" width="8.25" style="12" bestFit="1" customWidth="1"/>
    <col min="1804" max="1804" width="4.125" style="12" customWidth="1"/>
    <col min="1805" max="1805" width="8.5" style="12" customWidth="1"/>
    <col min="1806" max="1806" width="40" style="12" customWidth="1"/>
    <col min="1807" max="1807" width="6.375" style="12" customWidth="1"/>
    <col min="1808" max="1808" width="6.625" style="12" bestFit="1" customWidth="1"/>
    <col min="1809" max="1809" width="8.25" style="12" bestFit="1" customWidth="1"/>
    <col min="1810" max="2048" width="9" style="12"/>
    <col min="2049" max="2049" width="8.5" style="12" customWidth="1"/>
    <col min="2050" max="2050" width="40" style="12" customWidth="1"/>
    <col min="2051" max="2051" width="6.375" style="12" bestFit="1" customWidth="1"/>
    <col min="2052" max="2052" width="6.625" style="12" bestFit="1" customWidth="1"/>
    <col min="2053" max="2053" width="8.25" style="12" bestFit="1" customWidth="1"/>
    <col min="2054" max="2054" width="4.125" style="12" customWidth="1"/>
    <col min="2055" max="2055" width="8.5" style="12" customWidth="1"/>
    <col min="2056" max="2056" width="40" style="12" customWidth="1"/>
    <col min="2057" max="2057" width="6.375" style="12" customWidth="1"/>
    <col min="2058" max="2058" width="6.625" style="12" bestFit="1" customWidth="1"/>
    <col min="2059" max="2059" width="8.25" style="12" bestFit="1" customWidth="1"/>
    <col min="2060" max="2060" width="4.125" style="12" customWidth="1"/>
    <col min="2061" max="2061" width="8.5" style="12" customWidth="1"/>
    <col min="2062" max="2062" width="40" style="12" customWidth="1"/>
    <col min="2063" max="2063" width="6.375" style="12" customWidth="1"/>
    <col min="2064" max="2064" width="6.625" style="12" bestFit="1" customWidth="1"/>
    <col min="2065" max="2065" width="8.25" style="12" bestFit="1" customWidth="1"/>
    <col min="2066" max="2304" width="9" style="12"/>
    <col min="2305" max="2305" width="8.5" style="12" customWidth="1"/>
    <col min="2306" max="2306" width="40" style="12" customWidth="1"/>
    <col min="2307" max="2307" width="6.375" style="12" bestFit="1" customWidth="1"/>
    <col min="2308" max="2308" width="6.625" style="12" bestFit="1" customWidth="1"/>
    <col min="2309" max="2309" width="8.25" style="12" bestFit="1" customWidth="1"/>
    <col min="2310" max="2310" width="4.125" style="12" customWidth="1"/>
    <col min="2311" max="2311" width="8.5" style="12" customWidth="1"/>
    <col min="2312" max="2312" width="40" style="12" customWidth="1"/>
    <col min="2313" max="2313" width="6.375" style="12" customWidth="1"/>
    <col min="2314" max="2314" width="6.625" style="12" bestFit="1" customWidth="1"/>
    <col min="2315" max="2315" width="8.25" style="12" bestFit="1" customWidth="1"/>
    <col min="2316" max="2316" width="4.125" style="12" customWidth="1"/>
    <col min="2317" max="2317" width="8.5" style="12" customWidth="1"/>
    <col min="2318" max="2318" width="40" style="12" customWidth="1"/>
    <col min="2319" max="2319" width="6.375" style="12" customWidth="1"/>
    <col min="2320" max="2320" width="6.625" style="12" bestFit="1" customWidth="1"/>
    <col min="2321" max="2321" width="8.25" style="12" bestFit="1" customWidth="1"/>
    <col min="2322" max="2560" width="9" style="12"/>
    <col min="2561" max="2561" width="8.5" style="12" customWidth="1"/>
    <col min="2562" max="2562" width="40" style="12" customWidth="1"/>
    <col min="2563" max="2563" width="6.375" style="12" bestFit="1" customWidth="1"/>
    <col min="2564" max="2564" width="6.625" style="12" bestFit="1" customWidth="1"/>
    <col min="2565" max="2565" width="8.25" style="12" bestFit="1" customWidth="1"/>
    <col min="2566" max="2566" width="4.125" style="12" customWidth="1"/>
    <col min="2567" max="2567" width="8.5" style="12" customWidth="1"/>
    <col min="2568" max="2568" width="40" style="12" customWidth="1"/>
    <col min="2569" max="2569" width="6.375" style="12" customWidth="1"/>
    <col min="2570" max="2570" width="6.625" style="12" bestFit="1" customWidth="1"/>
    <col min="2571" max="2571" width="8.25" style="12" bestFit="1" customWidth="1"/>
    <col min="2572" max="2572" width="4.125" style="12" customWidth="1"/>
    <col min="2573" max="2573" width="8.5" style="12" customWidth="1"/>
    <col min="2574" max="2574" width="40" style="12" customWidth="1"/>
    <col min="2575" max="2575" width="6.375" style="12" customWidth="1"/>
    <col min="2576" max="2576" width="6.625" style="12" bestFit="1" customWidth="1"/>
    <col min="2577" max="2577" width="8.25" style="12" bestFit="1" customWidth="1"/>
    <col min="2578" max="2816" width="9" style="12"/>
    <col min="2817" max="2817" width="8.5" style="12" customWidth="1"/>
    <col min="2818" max="2818" width="40" style="12" customWidth="1"/>
    <col min="2819" max="2819" width="6.375" style="12" bestFit="1" customWidth="1"/>
    <col min="2820" max="2820" width="6.625" style="12" bestFit="1" customWidth="1"/>
    <col min="2821" max="2821" width="8.25" style="12" bestFit="1" customWidth="1"/>
    <col min="2822" max="2822" width="4.125" style="12" customWidth="1"/>
    <col min="2823" max="2823" width="8.5" style="12" customWidth="1"/>
    <col min="2824" max="2824" width="40" style="12" customWidth="1"/>
    <col min="2825" max="2825" width="6.375" style="12" customWidth="1"/>
    <col min="2826" max="2826" width="6.625" style="12" bestFit="1" customWidth="1"/>
    <col min="2827" max="2827" width="8.25" style="12" bestFit="1" customWidth="1"/>
    <col min="2828" max="2828" width="4.125" style="12" customWidth="1"/>
    <col min="2829" max="2829" width="8.5" style="12" customWidth="1"/>
    <col min="2830" max="2830" width="40" style="12" customWidth="1"/>
    <col min="2831" max="2831" width="6.375" style="12" customWidth="1"/>
    <col min="2832" max="2832" width="6.625" style="12" bestFit="1" customWidth="1"/>
    <col min="2833" max="2833" width="8.25" style="12" bestFit="1" customWidth="1"/>
    <col min="2834" max="3072" width="9" style="12"/>
    <col min="3073" max="3073" width="8.5" style="12" customWidth="1"/>
    <col min="3074" max="3074" width="40" style="12" customWidth="1"/>
    <col min="3075" max="3075" width="6.375" style="12" bestFit="1" customWidth="1"/>
    <col min="3076" max="3076" width="6.625" style="12" bestFit="1" customWidth="1"/>
    <col min="3077" max="3077" width="8.25" style="12" bestFit="1" customWidth="1"/>
    <col min="3078" max="3078" width="4.125" style="12" customWidth="1"/>
    <col min="3079" max="3079" width="8.5" style="12" customWidth="1"/>
    <col min="3080" max="3080" width="40" style="12" customWidth="1"/>
    <col min="3081" max="3081" width="6.375" style="12" customWidth="1"/>
    <col min="3082" max="3082" width="6.625" style="12" bestFit="1" customWidth="1"/>
    <col min="3083" max="3083" width="8.25" style="12" bestFit="1" customWidth="1"/>
    <col min="3084" max="3084" width="4.125" style="12" customWidth="1"/>
    <col min="3085" max="3085" width="8.5" style="12" customWidth="1"/>
    <col min="3086" max="3086" width="40" style="12" customWidth="1"/>
    <col min="3087" max="3087" width="6.375" style="12" customWidth="1"/>
    <col min="3088" max="3088" width="6.625" style="12" bestFit="1" customWidth="1"/>
    <col min="3089" max="3089" width="8.25" style="12" bestFit="1" customWidth="1"/>
    <col min="3090" max="3328" width="9" style="12"/>
    <col min="3329" max="3329" width="8.5" style="12" customWidth="1"/>
    <col min="3330" max="3330" width="40" style="12" customWidth="1"/>
    <col min="3331" max="3331" width="6.375" style="12" bestFit="1" customWidth="1"/>
    <col min="3332" max="3332" width="6.625" style="12" bestFit="1" customWidth="1"/>
    <col min="3333" max="3333" width="8.25" style="12" bestFit="1" customWidth="1"/>
    <col min="3334" max="3334" width="4.125" style="12" customWidth="1"/>
    <col min="3335" max="3335" width="8.5" style="12" customWidth="1"/>
    <col min="3336" max="3336" width="40" style="12" customWidth="1"/>
    <col min="3337" max="3337" width="6.375" style="12" customWidth="1"/>
    <col min="3338" max="3338" width="6.625" style="12" bestFit="1" customWidth="1"/>
    <col min="3339" max="3339" width="8.25" style="12" bestFit="1" customWidth="1"/>
    <col min="3340" max="3340" width="4.125" style="12" customWidth="1"/>
    <col min="3341" max="3341" width="8.5" style="12" customWidth="1"/>
    <col min="3342" max="3342" width="40" style="12" customWidth="1"/>
    <col min="3343" max="3343" width="6.375" style="12" customWidth="1"/>
    <col min="3344" max="3344" width="6.625" style="12" bestFit="1" customWidth="1"/>
    <col min="3345" max="3345" width="8.25" style="12" bestFit="1" customWidth="1"/>
    <col min="3346" max="3584" width="9" style="12"/>
    <col min="3585" max="3585" width="8.5" style="12" customWidth="1"/>
    <col min="3586" max="3586" width="40" style="12" customWidth="1"/>
    <col min="3587" max="3587" width="6.375" style="12" bestFit="1" customWidth="1"/>
    <col min="3588" max="3588" width="6.625" style="12" bestFit="1" customWidth="1"/>
    <col min="3589" max="3589" width="8.25" style="12" bestFit="1" customWidth="1"/>
    <col min="3590" max="3590" width="4.125" style="12" customWidth="1"/>
    <col min="3591" max="3591" width="8.5" style="12" customWidth="1"/>
    <col min="3592" max="3592" width="40" style="12" customWidth="1"/>
    <col min="3593" max="3593" width="6.375" style="12" customWidth="1"/>
    <col min="3594" max="3594" width="6.625" style="12" bestFit="1" customWidth="1"/>
    <col min="3595" max="3595" width="8.25" style="12" bestFit="1" customWidth="1"/>
    <col min="3596" max="3596" width="4.125" style="12" customWidth="1"/>
    <col min="3597" max="3597" width="8.5" style="12" customWidth="1"/>
    <col min="3598" max="3598" width="40" style="12" customWidth="1"/>
    <col min="3599" max="3599" width="6.375" style="12" customWidth="1"/>
    <col min="3600" max="3600" width="6.625" style="12" bestFit="1" customWidth="1"/>
    <col min="3601" max="3601" width="8.25" style="12" bestFit="1" customWidth="1"/>
    <col min="3602" max="3840" width="9" style="12"/>
    <col min="3841" max="3841" width="8.5" style="12" customWidth="1"/>
    <col min="3842" max="3842" width="40" style="12" customWidth="1"/>
    <col min="3843" max="3843" width="6.375" style="12" bestFit="1" customWidth="1"/>
    <col min="3844" max="3844" width="6.625" style="12" bestFit="1" customWidth="1"/>
    <col min="3845" max="3845" width="8.25" style="12" bestFit="1" customWidth="1"/>
    <col min="3846" max="3846" width="4.125" style="12" customWidth="1"/>
    <col min="3847" max="3847" width="8.5" style="12" customWidth="1"/>
    <col min="3848" max="3848" width="40" style="12" customWidth="1"/>
    <col min="3849" max="3849" width="6.375" style="12" customWidth="1"/>
    <col min="3850" max="3850" width="6.625" style="12" bestFit="1" customWidth="1"/>
    <col min="3851" max="3851" width="8.25" style="12" bestFit="1" customWidth="1"/>
    <col min="3852" max="3852" width="4.125" style="12" customWidth="1"/>
    <col min="3853" max="3853" width="8.5" style="12" customWidth="1"/>
    <col min="3854" max="3854" width="40" style="12" customWidth="1"/>
    <col min="3855" max="3855" width="6.375" style="12" customWidth="1"/>
    <col min="3856" max="3856" width="6.625" style="12" bestFit="1" customWidth="1"/>
    <col min="3857" max="3857" width="8.25" style="12" bestFit="1" customWidth="1"/>
    <col min="3858" max="4096" width="9" style="12"/>
    <col min="4097" max="4097" width="8.5" style="12" customWidth="1"/>
    <col min="4098" max="4098" width="40" style="12" customWidth="1"/>
    <col min="4099" max="4099" width="6.375" style="12" bestFit="1" customWidth="1"/>
    <col min="4100" max="4100" width="6.625" style="12" bestFit="1" customWidth="1"/>
    <col min="4101" max="4101" width="8.25" style="12" bestFit="1" customWidth="1"/>
    <col min="4102" max="4102" width="4.125" style="12" customWidth="1"/>
    <col min="4103" max="4103" width="8.5" style="12" customWidth="1"/>
    <col min="4104" max="4104" width="40" style="12" customWidth="1"/>
    <col min="4105" max="4105" width="6.375" style="12" customWidth="1"/>
    <col min="4106" max="4106" width="6.625" style="12" bestFit="1" customWidth="1"/>
    <col min="4107" max="4107" width="8.25" style="12" bestFit="1" customWidth="1"/>
    <col min="4108" max="4108" width="4.125" style="12" customWidth="1"/>
    <col min="4109" max="4109" width="8.5" style="12" customWidth="1"/>
    <col min="4110" max="4110" width="40" style="12" customWidth="1"/>
    <col min="4111" max="4111" width="6.375" style="12" customWidth="1"/>
    <col min="4112" max="4112" width="6.625" style="12" bestFit="1" customWidth="1"/>
    <col min="4113" max="4113" width="8.25" style="12" bestFit="1" customWidth="1"/>
    <col min="4114" max="4352" width="9" style="12"/>
    <col min="4353" max="4353" width="8.5" style="12" customWidth="1"/>
    <col min="4354" max="4354" width="40" style="12" customWidth="1"/>
    <col min="4355" max="4355" width="6.375" style="12" bestFit="1" customWidth="1"/>
    <col min="4356" max="4356" width="6.625" style="12" bestFit="1" customWidth="1"/>
    <col min="4357" max="4357" width="8.25" style="12" bestFit="1" customWidth="1"/>
    <col min="4358" max="4358" width="4.125" style="12" customWidth="1"/>
    <col min="4359" max="4359" width="8.5" style="12" customWidth="1"/>
    <col min="4360" max="4360" width="40" style="12" customWidth="1"/>
    <col min="4361" max="4361" width="6.375" style="12" customWidth="1"/>
    <col min="4362" max="4362" width="6.625" style="12" bestFit="1" customWidth="1"/>
    <col min="4363" max="4363" width="8.25" style="12" bestFit="1" customWidth="1"/>
    <col min="4364" max="4364" width="4.125" style="12" customWidth="1"/>
    <col min="4365" max="4365" width="8.5" style="12" customWidth="1"/>
    <col min="4366" max="4366" width="40" style="12" customWidth="1"/>
    <col min="4367" max="4367" width="6.375" style="12" customWidth="1"/>
    <col min="4368" max="4368" width="6.625" style="12" bestFit="1" customWidth="1"/>
    <col min="4369" max="4369" width="8.25" style="12" bestFit="1" customWidth="1"/>
    <col min="4370" max="4608" width="9" style="12"/>
    <col min="4609" max="4609" width="8.5" style="12" customWidth="1"/>
    <col min="4610" max="4610" width="40" style="12" customWidth="1"/>
    <col min="4611" max="4611" width="6.375" style="12" bestFit="1" customWidth="1"/>
    <col min="4612" max="4612" width="6.625" style="12" bestFit="1" customWidth="1"/>
    <col min="4613" max="4613" width="8.25" style="12" bestFit="1" customWidth="1"/>
    <col min="4614" max="4614" width="4.125" style="12" customWidth="1"/>
    <col min="4615" max="4615" width="8.5" style="12" customWidth="1"/>
    <col min="4616" max="4616" width="40" style="12" customWidth="1"/>
    <col min="4617" max="4617" width="6.375" style="12" customWidth="1"/>
    <col min="4618" max="4618" width="6.625" style="12" bestFit="1" customWidth="1"/>
    <col min="4619" max="4619" width="8.25" style="12" bestFit="1" customWidth="1"/>
    <col min="4620" max="4620" width="4.125" style="12" customWidth="1"/>
    <col min="4621" max="4621" width="8.5" style="12" customWidth="1"/>
    <col min="4622" max="4622" width="40" style="12" customWidth="1"/>
    <col min="4623" max="4623" width="6.375" style="12" customWidth="1"/>
    <col min="4624" max="4624" width="6.625" style="12" bestFit="1" customWidth="1"/>
    <col min="4625" max="4625" width="8.25" style="12" bestFit="1" customWidth="1"/>
    <col min="4626" max="4864" width="9" style="12"/>
    <col min="4865" max="4865" width="8.5" style="12" customWidth="1"/>
    <col min="4866" max="4866" width="40" style="12" customWidth="1"/>
    <col min="4867" max="4867" width="6.375" style="12" bestFit="1" customWidth="1"/>
    <col min="4868" max="4868" width="6.625" style="12" bestFit="1" customWidth="1"/>
    <col min="4869" max="4869" width="8.25" style="12" bestFit="1" customWidth="1"/>
    <col min="4870" max="4870" width="4.125" style="12" customWidth="1"/>
    <col min="4871" max="4871" width="8.5" style="12" customWidth="1"/>
    <col min="4872" max="4872" width="40" style="12" customWidth="1"/>
    <col min="4873" max="4873" width="6.375" style="12" customWidth="1"/>
    <col min="4874" max="4874" width="6.625" style="12" bestFit="1" customWidth="1"/>
    <col min="4875" max="4875" width="8.25" style="12" bestFit="1" customWidth="1"/>
    <col min="4876" max="4876" width="4.125" style="12" customWidth="1"/>
    <col min="4877" max="4877" width="8.5" style="12" customWidth="1"/>
    <col min="4878" max="4878" width="40" style="12" customWidth="1"/>
    <col min="4879" max="4879" width="6.375" style="12" customWidth="1"/>
    <col min="4880" max="4880" width="6.625" style="12" bestFit="1" customWidth="1"/>
    <col min="4881" max="4881" width="8.25" style="12" bestFit="1" customWidth="1"/>
    <col min="4882" max="5120" width="9" style="12"/>
    <col min="5121" max="5121" width="8.5" style="12" customWidth="1"/>
    <col min="5122" max="5122" width="40" style="12" customWidth="1"/>
    <col min="5123" max="5123" width="6.375" style="12" bestFit="1" customWidth="1"/>
    <col min="5124" max="5124" width="6.625" style="12" bestFit="1" customWidth="1"/>
    <col min="5125" max="5125" width="8.25" style="12" bestFit="1" customWidth="1"/>
    <col min="5126" max="5126" width="4.125" style="12" customWidth="1"/>
    <col min="5127" max="5127" width="8.5" style="12" customWidth="1"/>
    <col min="5128" max="5128" width="40" style="12" customWidth="1"/>
    <col min="5129" max="5129" width="6.375" style="12" customWidth="1"/>
    <col min="5130" max="5130" width="6.625" style="12" bestFit="1" customWidth="1"/>
    <col min="5131" max="5131" width="8.25" style="12" bestFit="1" customWidth="1"/>
    <col min="5132" max="5132" width="4.125" style="12" customWidth="1"/>
    <col min="5133" max="5133" width="8.5" style="12" customWidth="1"/>
    <col min="5134" max="5134" width="40" style="12" customWidth="1"/>
    <col min="5135" max="5135" width="6.375" style="12" customWidth="1"/>
    <col min="5136" max="5136" width="6.625" style="12" bestFit="1" customWidth="1"/>
    <col min="5137" max="5137" width="8.25" style="12" bestFit="1" customWidth="1"/>
    <col min="5138" max="5376" width="9" style="12"/>
    <col min="5377" max="5377" width="8.5" style="12" customWidth="1"/>
    <col min="5378" max="5378" width="40" style="12" customWidth="1"/>
    <col min="5379" max="5379" width="6.375" style="12" bestFit="1" customWidth="1"/>
    <col min="5380" max="5380" width="6.625" style="12" bestFit="1" customWidth="1"/>
    <col min="5381" max="5381" width="8.25" style="12" bestFit="1" customWidth="1"/>
    <col min="5382" max="5382" width="4.125" style="12" customWidth="1"/>
    <col min="5383" max="5383" width="8.5" style="12" customWidth="1"/>
    <col min="5384" max="5384" width="40" style="12" customWidth="1"/>
    <col min="5385" max="5385" width="6.375" style="12" customWidth="1"/>
    <col min="5386" max="5386" width="6.625" style="12" bestFit="1" customWidth="1"/>
    <col min="5387" max="5387" width="8.25" style="12" bestFit="1" customWidth="1"/>
    <col min="5388" max="5388" width="4.125" style="12" customWidth="1"/>
    <col min="5389" max="5389" width="8.5" style="12" customWidth="1"/>
    <col min="5390" max="5390" width="40" style="12" customWidth="1"/>
    <col min="5391" max="5391" width="6.375" style="12" customWidth="1"/>
    <col min="5392" max="5392" width="6.625" style="12" bestFit="1" customWidth="1"/>
    <col min="5393" max="5393" width="8.25" style="12" bestFit="1" customWidth="1"/>
    <col min="5394" max="5632" width="9" style="12"/>
    <col min="5633" max="5633" width="8.5" style="12" customWidth="1"/>
    <col min="5634" max="5634" width="40" style="12" customWidth="1"/>
    <col min="5635" max="5635" width="6.375" style="12" bestFit="1" customWidth="1"/>
    <col min="5636" max="5636" width="6.625" style="12" bestFit="1" customWidth="1"/>
    <col min="5637" max="5637" width="8.25" style="12" bestFit="1" customWidth="1"/>
    <col min="5638" max="5638" width="4.125" style="12" customWidth="1"/>
    <col min="5639" max="5639" width="8.5" style="12" customWidth="1"/>
    <col min="5640" max="5640" width="40" style="12" customWidth="1"/>
    <col min="5641" max="5641" width="6.375" style="12" customWidth="1"/>
    <col min="5642" max="5642" width="6.625" style="12" bestFit="1" customWidth="1"/>
    <col min="5643" max="5643" width="8.25" style="12" bestFit="1" customWidth="1"/>
    <col min="5644" max="5644" width="4.125" style="12" customWidth="1"/>
    <col min="5645" max="5645" width="8.5" style="12" customWidth="1"/>
    <col min="5646" max="5646" width="40" style="12" customWidth="1"/>
    <col min="5647" max="5647" width="6.375" style="12" customWidth="1"/>
    <col min="5648" max="5648" width="6.625" style="12" bestFit="1" customWidth="1"/>
    <col min="5649" max="5649" width="8.25" style="12" bestFit="1" customWidth="1"/>
    <col min="5650" max="5888" width="9" style="12"/>
    <col min="5889" max="5889" width="8.5" style="12" customWidth="1"/>
    <col min="5890" max="5890" width="40" style="12" customWidth="1"/>
    <col min="5891" max="5891" width="6.375" style="12" bestFit="1" customWidth="1"/>
    <col min="5892" max="5892" width="6.625" style="12" bestFit="1" customWidth="1"/>
    <col min="5893" max="5893" width="8.25" style="12" bestFit="1" customWidth="1"/>
    <col min="5894" max="5894" width="4.125" style="12" customWidth="1"/>
    <col min="5895" max="5895" width="8.5" style="12" customWidth="1"/>
    <col min="5896" max="5896" width="40" style="12" customWidth="1"/>
    <col min="5897" max="5897" width="6.375" style="12" customWidth="1"/>
    <col min="5898" max="5898" width="6.625" style="12" bestFit="1" customWidth="1"/>
    <col min="5899" max="5899" width="8.25" style="12" bestFit="1" customWidth="1"/>
    <col min="5900" max="5900" width="4.125" style="12" customWidth="1"/>
    <col min="5901" max="5901" width="8.5" style="12" customWidth="1"/>
    <col min="5902" max="5902" width="40" style="12" customWidth="1"/>
    <col min="5903" max="5903" width="6.375" style="12" customWidth="1"/>
    <col min="5904" max="5904" width="6.625" style="12" bestFit="1" customWidth="1"/>
    <col min="5905" max="5905" width="8.25" style="12" bestFit="1" customWidth="1"/>
    <col min="5906" max="6144" width="9" style="12"/>
    <col min="6145" max="6145" width="8.5" style="12" customWidth="1"/>
    <col min="6146" max="6146" width="40" style="12" customWidth="1"/>
    <col min="6147" max="6147" width="6.375" style="12" bestFit="1" customWidth="1"/>
    <col min="6148" max="6148" width="6.625" style="12" bestFit="1" customWidth="1"/>
    <col min="6149" max="6149" width="8.25" style="12" bestFit="1" customWidth="1"/>
    <col min="6150" max="6150" width="4.125" style="12" customWidth="1"/>
    <col min="6151" max="6151" width="8.5" style="12" customWidth="1"/>
    <col min="6152" max="6152" width="40" style="12" customWidth="1"/>
    <col min="6153" max="6153" width="6.375" style="12" customWidth="1"/>
    <col min="6154" max="6154" width="6.625" style="12" bestFit="1" customWidth="1"/>
    <col min="6155" max="6155" width="8.25" style="12" bestFit="1" customWidth="1"/>
    <col min="6156" max="6156" width="4.125" style="12" customWidth="1"/>
    <col min="6157" max="6157" width="8.5" style="12" customWidth="1"/>
    <col min="6158" max="6158" width="40" style="12" customWidth="1"/>
    <col min="6159" max="6159" width="6.375" style="12" customWidth="1"/>
    <col min="6160" max="6160" width="6.625" style="12" bestFit="1" customWidth="1"/>
    <col min="6161" max="6161" width="8.25" style="12" bestFit="1" customWidth="1"/>
    <col min="6162" max="6400" width="9" style="12"/>
    <col min="6401" max="6401" width="8.5" style="12" customWidth="1"/>
    <col min="6402" max="6402" width="40" style="12" customWidth="1"/>
    <col min="6403" max="6403" width="6.375" style="12" bestFit="1" customWidth="1"/>
    <col min="6404" max="6404" width="6.625" style="12" bestFit="1" customWidth="1"/>
    <col min="6405" max="6405" width="8.25" style="12" bestFit="1" customWidth="1"/>
    <col min="6406" max="6406" width="4.125" style="12" customWidth="1"/>
    <col min="6407" max="6407" width="8.5" style="12" customWidth="1"/>
    <col min="6408" max="6408" width="40" style="12" customWidth="1"/>
    <col min="6409" max="6409" width="6.375" style="12" customWidth="1"/>
    <col min="6410" max="6410" width="6.625" style="12" bestFit="1" customWidth="1"/>
    <col min="6411" max="6411" width="8.25" style="12" bestFit="1" customWidth="1"/>
    <col min="6412" max="6412" width="4.125" style="12" customWidth="1"/>
    <col min="6413" max="6413" width="8.5" style="12" customWidth="1"/>
    <col min="6414" max="6414" width="40" style="12" customWidth="1"/>
    <col min="6415" max="6415" width="6.375" style="12" customWidth="1"/>
    <col min="6416" max="6416" width="6.625" style="12" bestFit="1" customWidth="1"/>
    <col min="6417" max="6417" width="8.25" style="12" bestFit="1" customWidth="1"/>
    <col min="6418" max="6656" width="9" style="12"/>
    <col min="6657" max="6657" width="8.5" style="12" customWidth="1"/>
    <col min="6658" max="6658" width="40" style="12" customWidth="1"/>
    <col min="6659" max="6659" width="6.375" style="12" bestFit="1" customWidth="1"/>
    <col min="6660" max="6660" width="6.625" style="12" bestFit="1" customWidth="1"/>
    <col min="6661" max="6661" width="8.25" style="12" bestFit="1" customWidth="1"/>
    <col min="6662" max="6662" width="4.125" style="12" customWidth="1"/>
    <col min="6663" max="6663" width="8.5" style="12" customWidth="1"/>
    <col min="6664" max="6664" width="40" style="12" customWidth="1"/>
    <col min="6665" max="6665" width="6.375" style="12" customWidth="1"/>
    <col min="6666" max="6666" width="6.625" style="12" bestFit="1" customWidth="1"/>
    <col min="6667" max="6667" width="8.25" style="12" bestFit="1" customWidth="1"/>
    <col min="6668" max="6668" width="4.125" style="12" customWidth="1"/>
    <col min="6669" max="6669" width="8.5" style="12" customWidth="1"/>
    <col min="6670" max="6670" width="40" style="12" customWidth="1"/>
    <col min="6671" max="6671" width="6.375" style="12" customWidth="1"/>
    <col min="6672" max="6672" width="6.625" style="12" bestFit="1" customWidth="1"/>
    <col min="6673" max="6673" width="8.25" style="12" bestFit="1" customWidth="1"/>
    <col min="6674" max="6912" width="9" style="12"/>
    <col min="6913" max="6913" width="8.5" style="12" customWidth="1"/>
    <col min="6914" max="6914" width="40" style="12" customWidth="1"/>
    <col min="6915" max="6915" width="6.375" style="12" bestFit="1" customWidth="1"/>
    <col min="6916" max="6916" width="6.625" style="12" bestFit="1" customWidth="1"/>
    <col min="6917" max="6917" width="8.25" style="12" bestFit="1" customWidth="1"/>
    <col min="6918" max="6918" width="4.125" style="12" customWidth="1"/>
    <col min="6919" max="6919" width="8.5" style="12" customWidth="1"/>
    <col min="6920" max="6920" width="40" style="12" customWidth="1"/>
    <col min="6921" max="6921" width="6.375" style="12" customWidth="1"/>
    <col min="6922" max="6922" width="6.625" style="12" bestFit="1" customWidth="1"/>
    <col min="6923" max="6923" width="8.25" style="12" bestFit="1" customWidth="1"/>
    <col min="6924" max="6924" width="4.125" style="12" customWidth="1"/>
    <col min="6925" max="6925" width="8.5" style="12" customWidth="1"/>
    <col min="6926" max="6926" width="40" style="12" customWidth="1"/>
    <col min="6927" max="6927" width="6.375" style="12" customWidth="1"/>
    <col min="6928" max="6928" width="6.625" style="12" bestFit="1" customWidth="1"/>
    <col min="6929" max="6929" width="8.25" style="12" bestFit="1" customWidth="1"/>
    <col min="6930" max="7168" width="9" style="12"/>
    <col min="7169" max="7169" width="8.5" style="12" customWidth="1"/>
    <col min="7170" max="7170" width="40" style="12" customWidth="1"/>
    <col min="7171" max="7171" width="6.375" style="12" bestFit="1" customWidth="1"/>
    <col min="7172" max="7172" width="6.625" style="12" bestFit="1" customWidth="1"/>
    <col min="7173" max="7173" width="8.25" style="12" bestFit="1" customWidth="1"/>
    <col min="7174" max="7174" width="4.125" style="12" customWidth="1"/>
    <col min="7175" max="7175" width="8.5" style="12" customWidth="1"/>
    <col min="7176" max="7176" width="40" style="12" customWidth="1"/>
    <col min="7177" max="7177" width="6.375" style="12" customWidth="1"/>
    <col min="7178" max="7178" width="6.625" style="12" bestFit="1" customWidth="1"/>
    <col min="7179" max="7179" width="8.25" style="12" bestFit="1" customWidth="1"/>
    <col min="7180" max="7180" width="4.125" style="12" customWidth="1"/>
    <col min="7181" max="7181" width="8.5" style="12" customWidth="1"/>
    <col min="7182" max="7182" width="40" style="12" customWidth="1"/>
    <col min="7183" max="7183" width="6.375" style="12" customWidth="1"/>
    <col min="7184" max="7184" width="6.625" style="12" bestFit="1" customWidth="1"/>
    <col min="7185" max="7185" width="8.25" style="12" bestFit="1" customWidth="1"/>
    <col min="7186" max="7424" width="9" style="12"/>
    <col min="7425" max="7425" width="8.5" style="12" customWidth="1"/>
    <col min="7426" max="7426" width="40" style="12" customWidth="1"/>
    <col min="7427" max="7427" width="6.375" style="12" bestFit="1" customWidth="1"/>
    <col min="7428" max="7428" width="6.625" style="12" bestFit="1" customWidth="1"/>
    <col min="7429" max="7429" width="8.25" style="12" bestFit="1" customWidth="1"/>
    <col min="7430" max="7430" width="4.125" style="12" customWidth="1"/>
    <col min="7431" max="7431" width="8.5" style="12" customWidth="1"/>
    <col min="7432" max="7432" width="40" style="12" customWidth="1"/>
    <col min="7433" max="7433" width="6.375" style="12" customWidth="1"/>
    <col min="7434" max="7434" width="6.625" style="12" bestFit="1" customWidth="1"/>
    <col min="7435" max="7435" width="8.25" style="12" bestFit="1" customWidth="1"/>
    <col min="7436" max="7436" width="4.125" style="12" customWidth="1"/>
    <col min="7437" max="7437" width="8.5" style="12" customWidth="1"/>
    <col min="7438" max="7438" width="40" style="12" customWidth="1"/>
    <col min="7439" max="7439" width="6.375" style="12" customWidth="1"/>
    <col min="7440" max="7440" width="6.625" style="12" bestFit="1" customWidth="1"/>
    <col min="7441" max="7441" width="8.25" style="12" bestFit="1" customWidth="1"/>
    <col min="7442" max="7680" width="9" style="12"/>
    <col min="7681" max="7681" width="8.5" style="12" customWidth="1"/>
    <col min="7682" max="7682" width="40" style="12" customWidth="1"/>
    <col min="7683" max="7683" width="6.375" style="12" bestFit="1" customWidth="1"/>
    <col min="7684" max="7684" width="6.625" style="12" bestFit="1" customWidth="1"/>
    <col min="7685" max="7685" width="8.25" style="12" bestFit="1" customWidth="1"/>
    <col min="7686" max="7686" width="4.125" style="12" customWidth="1"/>
    <col min="7687" max="7687" width="8.5" style="12" customWidth="1"/>
    <col min="7688" max="7688" width="40" style="12" customWidth="1"/>
    <col min="7689" max="7689" width="6.375" style="12" customWidth="1"/>
    <col min="7690" max="7690" width="6.625" style="12" bestFit="1" customWidth="1"/>
    <col min="7691" max="7691" width="8.25" style="12" bestFit="1" customWidth="1"/>
    <col min="7692" max="7692" width="4.125" style="12" customWidth="1"/>
    <col min="7693" max="7693" width="8.5" style="12" customWidth="1"/>
    <col min="7694" max="7694" width="40" style="12" customWidth="1"/>
    <col min="7695" max="7695" width="6.375" style="12" customWidth="1"/>
    <col min="7696" max="7696" width="6.625" style="12" bestFit="1" customWidth="1"/>
    <col min="7697" max="7697" width="8.25" style="12" bestFit="1" customWidth="1"/>
    <col min="7698" max="7936" width="9" style="12"/>
    <col min="7937" max="7937" width="8.5" style="12" customWidth="1"/>
    <col min="7938" max="7938" width="40" style="12" customWidth="1"/>
    <col min="7939" max="7939" width="6.375" style="12" bestFit="1" customWidth="1"/>
    <col min="7940" max="7940" width="6.625" style="12" bestFit="1" customWidth="1"/>
    <col min="7941" max="7941" width="8.25" style="12" bestFit="1" customWidth="1"/>
    <col min="7942" max="7942" width="4.125" style="12" customWidth="1"/>
    <col min="7943" max="7943" width="8.5" style="12" customWidth="1"/>
    <col min="7944" max="7944" width="40" style="12" customWidth="1"/>
    <col min="7945" max="7945" width="6.375" style="12" customWidth="1"/>
    <col min="7946" max="7946" width="6.625" style="12" bestFit="1" customWidth="1"/>
    <col min="7947" max="7947" width="8.25" style="12" bestFit="1" customWidth="1"/>
    <col min="7948" max="7948" width="4.125" style="12" customWidth="1"/>
    <col min="7949" max="7949" width="8.5" style="12" customWidth="1"/>
    <col min="7950" max="7950" width="40" style="12" customWidth="1"/>
    <col min="7951" max="7951" width="6.375" style="12" customWidth="1"/>
    <col min="7952" max="7952" width="6.625" style="12" bestFit="1" customWidth="1"/>
    <col min="7953" max="7953" width="8.25" style="12" bestFit="1" customWidth="1"/>
    <col min="7954" max="8192" width="9" style="12"/>
    <col min="8193" max="8193" width="8.5" style="12" customWidth="1"/>
    <col min="8194" max="8194" width="40" style="12" customWidth="1"/>
    <col min="8195" max="8195" width="6.375" style="12" bestFit="1" customWidth="1"/>
    <col min="8196" max="8196" width="6.625" style="12" bestFit="1" customWidth="1"/>
    <col min="8197" max="8197" width="8.25" style="12" bestFit="1" customWidth="1"/>
    <col min="8198" max="8198" width="4.125" style="12" customWidth="1"/>
    <col min="8199" max="8199" width="8.5" style="12" customWidth="1"/>
    <col min="8200" max="8200" width="40" style="12" customWidth="1"/>
    <col min="8201" max="8201" width="6.375" style="12" customWidth="1"/>
    <col min="8202" max="8202" width="6.625" style="12" bestFit="1" customWidth="1"/>
    <col min="8203" max="8203" width="8.25" style="12" bestFit="1" customWidth="1"/>
    <col min="8204" max="8204" width="4.125" style="12" customWidth="1"/>
    <col min="8205" max="8205" width="8.5" style="12" customWidth="1"/>
    <col min="8206" max="8206" width="40" style="12" customWidth="1"/>
    <col min="8207" max="8207" width="6.375" style="12" customWidth="1"/>
    <col min="8208" max="8208" width="6.625" style="12" bestFit="1" customWidth="1"/>
    <col min="8209" max="8209" width="8.25" style="12" bestFit="1" customWidth="1"/>
    <col min="8210" max="8448" width="9" style="12"/>
    <col min="8449" max="8449" width="8.5" style="12" customWidth="1"/>
    <col min="8450" max="8450" width="40" style="12" customWidth="1"/>
    <col min="8451" max="8451" width="6.375" style="12" bestFit="1" customWidth="1"/>
    <col min="8452" max="8452" width="6.625" style="12" bestFit="1" customWidth="1"/>
    <col min="8453" max="8453" width="8.25" style="12" bestFit="1" customWidth="1"/>
    <col min="8454" max="8454" width="4.125" style="12" customWidth="1"/>
    <col min="8455" max="8455" width="8.5" style="12" customWidth="1"/>
    <col min="8456" max="8456" width="40" style="12" customWidth="1"/>
    <col min="8457" max="8457" width="6.375" style="12" customWidth="1"/>
    <col min="8458" max="8458" width="6.625" style="12" bestFit="1" customWidth="1"/>
    <col min="8459" max="8459" width="8.25" style="12" bestFit="1" customWidth="1"/>
    <col min="8460" max="8460" width="4.125" style="12" customWidth="1"/>
    <col min="8461" max="8461" width="8.5" style="12" customWidth="1"/>
    <col min="8462" max="8462" width="40" style="12" customWidth="1"/>
    <col min="8463" max="8463" width="6.375" style="12" customWidth="1"/>
    <col min="8464" max="8464" width="6.625" style="12" bestFit="1" customWidth="1"/>
    <col min="8465" max="8465" width="8.25" style="12" bestFit="1" customWidth="1"/>
    <col min="8466" max="8704" width="9" style="12"/>
    <col min="8705" max="8705" width="8.5" style="12" customWidth="1"/>
    <col min="8706" max="8706" width="40" style="12" customWidth="1"/>
    <col min="8707" max="8707" width="6.375" style="12" bestFit="1" customWidth="1"/>
    <col min="8708" max="8708" width="6.625" style="12" bestFit="1" customWidth="1"/>
    <col min="8709" max="8709" width="8.25" style="12" bestFit="1" customWidth="1"/>
    <col min="8710" max="8710" width="4.125" style="12" customWidth="1"/>
    <col min="8711" max="8711" width="8.5" style="12" customWidth="1"/>
    <col min="8712" max="8712" width="40" style="12" customWidth="1"/>
    <col min="8713" max="8713" width="6.375" style="12" customWidth="1"/>
    <col min="8714" max="8714" width="6.625" style="12" bestFit="1" customWidth="1"/>
    <col min="8715" max="8715" width="8.25" style="12" bestFit="1" customWidth="1"/>
    <col min="8716" max="8716" width="4.125" style="12" customWidth="1"/>
    <col min="8717" max="8717" width="8.5" style="12" customWidth="1"/>
    <col min="8718" max="8718" width="40" style="12" customWidth="1"/>
    <col min="8719" max="8719" width="6.375" style="12" customWidth="1"/>
    <col min="8720" max="8720" width="6.625" style="12" bestFit="1" customWidth="1"/>
    <col min="8721" max="8721" width="8.25" style="12" bestFit="1" customWidth="1"/>
    <col min="8722" max="8960" width="9" style="12"/>
    <col min="8961" max="8961" width="8.5" style="12" customWidth="1"/>
    <col min="8962" max="8962" width="40" style="12" customWidth="1"/>
    <col min="8963" max="8963" width="6.375" style="12" bestFit="1" customWidth="1"/>
    <col min="8964" max="8964" width="6.625" style="12" bestFit="1" customWidth="1"/>
    <col min="8965" max="8965" width="8.25" style="12" bestFit="1" customWidth="1"/>
    <col min="8966" max="8966" width="4.125" style="12" customWidth="1"/>
    <col min="8967" max="8967" width="8.5" style="12" customWidth="1"/>
    <col min="8968" max="8968" width="40" style="12" customWidth="1"/>
    <col min="8969" max="8969" width="6.375" style="12" customWidth="1"/>
    <col min="8970" max="8970" width="6.625" style="12" bestFit="1" customWidth="1"/>
    <col min="8971" max="8971" width="8.25" style="12" bestFit="1" customWidth="1"/>
    <col min="8972" max="8972" width="4.125" style="12" customWidth="1"/>
    <col min="8973" max="8973" width="8.5" style="12" customWidth="1"/>
    <col min="8974" max="8974" width="40" style="12" customWidth="1"/>
    <col min="8975" max="8975" width="6.375" style="12" customWidth="1"/>
    <col min="8976" max="8976" width="6.625" style="12" bestFit="1" customWidth="1"/>
    <col min="8977" max="8977" width="8.25" style="12" bestFit="1" customWidth="1"/>
    <col min="8978" max="9216" width="9" style="12"/>
    <col min="9217" max="9217" width="8.5" style="12" customWidth="1"/>
    <col min="9218" max="9218" width="40" style="12" customWidth="1"/>
    <col min="9219" max="9219" width="6.375" style="12" bestFit="1" customWidth="1"/>
    <col min="9220" max="9220" width="6.625" style="12" bestFit="1" customWidth="1"/>
    <col min="9221" max="9221" width="8.25" style="12" bestFit="1" customWidth="1"/>
    <col min="9222" max="9222" width="4.125" style="12" customWidth="1"/>
    <col min="9223" max="9223" width="8.5" style="12" customWidth="1"/>
    <col min="9224" max="9224" width="40" style="12" customWidth="1"/>
    <col min="9225" max="9225" width="6.375" style="12" customWidth="1"/>
    <col min="9226" max="9226" width="6.625" style="12" bestFit="1" customWidth="1"/>
    <col min="9227" max="9227" width="8.25" style="12" bestFit="1" customWidth="1"/>
    <col min="9228" max="9228" width="4.125" style="12" customWidth="1"/>
    <col min="9229" max="9229" width="8.5" style="12" customWidth="1"/>
    <col min="9230" max="9230" width="40" style="12" customWidth="1"/>
    <col min="9231" max="9231" width="6.375" style="12" customWidth="1"/>
    <col min="9232" max="9232" width="6.625" style="12" bestFit="1" customWidth="1"/>
    <col min="9233" max="9233" width="8.25" style="12" bestFit="1" customWidth="1"/>
    <col min="9234" max="9472" width="9" style="12"/>
    <col min="9473" max="9473" width="8.5" style="12" customWidth="1"/>
    <col min="9474" max="9474" width="40" style="12" customWidth="1"/>
    <col min="9475" max="9475" width="6.375" style="12" bestFit="1" customWidth="1"/>
    <col min="9476" max="9476" width="6.625" style="12" bestFit="1" customWidth="1"/>
    <col min="9477" max="9477" width="8.25" style="12" bestFit="1" customWidth="1"/>
    <col min="9478" max="9478" width="4.125" style="12" customWidth="1"/>
    <col min="9479" max="9479" width="8.5" style="12" customWidth="1"/>
    <col min="9480" max="9480" width="40" style="12" customWidth="1"/>
    <col min="9481" max="9481" width="6.375" style="12" customWidth="1"/>
    <col min="9482" max="9482" width="6.625" style="12" bestFit="1" customWidth="1"/>
    <col min="9483" max="9483" width="8.25" style="12" bestFit="1" customWidth="1"/>
    <col min="9484" max="9484" width="4.125" style="12" customWidth="1"/>
    <col min="9485" max="9485" width="8.5" style="12" customWidth="1"/>
    <col min="9486" max="9486" width="40" style="12" customWidth="1"/>
    <col min="9487" max="9487" width="6.375" style="12" customWidth="1"/>
    <col min="9488" max="9488" width="6.625" style="12" bestFit="1" customWidth="1"/>
    <col min="9489" max="9489" width="8.25" style="12" bestFit="1" customWidth="1"/>
    <col min="9490" max="9728" width="9" style="12"/>
    <col min="9729" max="9729" width="8.5" style="12" customWidth="1"/>
    <col min="9730" max="9730" width="40" style="12" customWidth="1"/>
    <col min="9731" max="9731" width="6.375" style="12" bestFit="1" customWidth="1"/>
    <col min="9732" max="9732" width="6.625" style="12" bestFit="1" customWidth="1"/>
    <col min="9733" max="9733" width="8.25" style="12" bestFit="1" customWidth="1"/>
    <col min="9734" max="9734" width="4.125" style="12" customWidth="1"/>
    <col min="9735" max="9735" width="8.5" style="12" customWidth="1"/>
    <col min="9736" max="9736" width="40" style="12" customWidth="1"/>
    <col min="9737" max="9737" width="6.375" style="12" customWidth="1"/>
    <col min="9738" max="9738" width="6.625" style="12" bestFit="1" customWidth="1"/>
    <col min="9739" max="9739" width="8.25" style="12" bestFit="1" customWidth="1"/>
    <col min="9740" max="9740" width="4.125" style="12" customWidth="1"/>
    <col min="9741" max="9741" width="8.5" style="12" customWidth="1"/>
    <col min="9742" max="9742" width="40" style="12" customWidth="1"/>
    <col min="9743" max="9743" width="6.375" style="12" customWidth="1"/>
    <col min="9744" max="9744" width="6.625" style="12" bestFit="1" customWidth="1"/>
    <col min="9745" max="9745" width="8.25" style="12" bestFit="1" customWidth="1"/>
    <col min="9746" max="9984" width="9" style="12"/>
    <col min="9985" max="9985" width="8.5" style="12" customWidth="1"/>
    <col min="9986" max="9986" width="40" style="12" customWidth="1"/>
    <col min="9987" max="9987" width="6.375" style="12" bestFit="1" customWidth="1"/>
    <col min="9988" max="9988" width="6.625" style="12" bestFit="1" customWidth="1"/>
    <col min="9989" max="9989" width="8.25" style="12" bestFit="1" customWidth="1"/>
    <col min="9990" max="9990" width="4.125" style="12" customWidth="1"/>
    <col min="9991" max="9991" width="8.5" style="12" customWidth="1"/>
    <col min="9992" max="9992" width="40" style="12" customWidth="1"/>
    <col min="9993" max="9993" width="6.375" style="12" customWidth="1"/>
    <col min="9994" max="9994" width="6.625" style="12" bestFit="1" customWidth="1"/>
    <col min="9995" max="9995" width="8.25" style="12" bestFit="1" customWidth="1"/>
    <col min="9996" max="9996" width="4.125" style="12" customWidth="1"/>
    <col min="9997" max="9997" width="8.5" style="12" customWidth="1"/>
    <col min="9998" max="9998" width="40" style="12" customWidth="1"/>
    <col min="9999" max="9999" width="6.375" style="12" customWidth="1"/>
    <col min="10000" max="10000" width="6.625" style="12" bestFit="1" customWidth="1"/>
    <col min="10001" max="10001" width="8.25" style="12" bestFit="1" customWidth="1"/>
    <col min="10002" max="10240" width="9" style="12"/>
    <col min="10241" max="10241" width="8.5" style="12" customWidth="1"/>
    <col min="10242" max="10242" width="40" style="12" customWidth="1"/>
    <col min="10243" max="10243" width="6.375" style="12" bestFit="1" customWidth="1"/>
    <col min="10244" max="10244" width="6.625" style="12" bestFit="1" customWidth="1"/>
    <col min="10245" max="10245" width="8.25" style="12" bestFit="1" customWidth="1"/>
    <col min="10246" max="10246" width="4.125" style="12" customWidth="1"/>
    <col min="10247" max="10247" width="8.5" style="12" customWidth="1"/>
    <col min="10248" max="10248" width="40" style="12" customWidth="1"/>
    <col min="10249" max="10249" width="6.375" style="12" customWidth="1"/>
    <col min="10250" max="10250" width="6.625" style="12" bestFit="1" customWidth="1"/>
    <col min="10251" max="10251" width="8.25" style="12" bestFit="1" customWidth="1"/>
    <col min="10252" max="10252" width="4.125" style="12" customWidth="1"/>
    <col min="10253" max="10253" width="8.5" style="12" customWidth="1"/>
    <col min="10254" max="10254" width="40" style="12" customWidth="1"/>
    <col min="10255" max="10255" width="6.375" style="12" customWidth="1"/>
    <col min="10256" max="10256" width="6.625" style="12" bestFit="1" customWidth="1"/>
    <col min="10257" max="10257" width="8.25" style="12" bestFit="1" customWidth="1"/>
    <col min="10258" max="10496" width="9" style="12"/>
    <col min="10497" max="10497" width="8.5" style="12" customWidth="1"/>
    <col min="10498" max="10498" width="40" style="12" customWidth="1"/>
    <col min="10499" max="10499" width="6.375" style="12" bestFit="1" customWidth="1"/>
    <col min="10500" max="10500" width="6.625" style="12" bestFit="1" customWidth="1"/>
    <col min="10501" max="10501" width="8.25" style="12" bestFit="1" customWidth="1"/>
    <col min="10502" max="10502" width="4.125" style="12" customWidth="1"/>
    <col min="10503" max="10503" width="8.5" style="12" customWidth="1"/>
    <col min="10504" max="10504" width="40" style="12" customWidth="1"/>
    <col min="10505" max="10505" width="6.375" style="12" customWidth="1"/>
    <col min="10506" max="10506" width="6.625" style="12" bestFit="1" customWidth="1"/>
    <col min="10507" max="10507" width="8.25" style="12" bestFit="1" customWidth="1"/>
    <col min="10508" max="10508" width="4.125" style="12" customWidth="1"/>
    <col min="10509" max="10509" width="8.5" style="12" customWidth="1"/>
    <col min="10510" max="10510" width="40" style="12" customWidth="1"/>
    <col min="10511" max="10511" width="6.375" style="12" customWidth="1"/>
    <col min="10512" max="10512" width="6.625" style="12" bestFit="1" customWidth="1"/>
    <col min="10513" max="10513" width="8.25" style="12" bestFit="1" customWidth="1"/>
    <col min="10514" max="10752" width="9" style="12"/>
    <col min="10753" max="10753" width="8.5" style="12" customWidth="1"/>
    <col min="10754" max="10754" width="40" style="12" customWidth="1"/>
    <col min="10755" max="10755" width="6.375" style="12" bestFit="1" customWidth="1"/>
    <col min="10756" max="10756" width="6.625" style="12" bestFit="1" customWidth="1"/>
    <col min="10757" max="10757" width="8.25" style="12" bestFit="1" customWidth="1"/>
    <col min="10758" max="10758" width="4.125" style="12" customWidth="1"/>
    <col min="10759" max="10759" width="8.5" style="12" customWidth="1"/>
    <col min="10760" max="10760" width="40" style="12" customWidth="1"/>
    <col min="10761" max="10761" width="6.375" style="12" customWidth="1"/>
    <col min="10762" max="10762" width="6.625" style="12" bestFit="1" customWidth="1"/>
    <col min="10763" max="10763" width="8.25" style="12" bestFit="1" customWidth="1"/>
    <col min="10764" max="10764" width="4.125" style="12" customWidth="1"/>
    <col min="10765" max="10765" width="8.5" style="12" customWidth="1"/>
    <col min="10766" max="10766" width="40" style="12" customWidth="1"/>
    <col min="10767" max="10767" width="6.375" style="12" customWidth="1"/>
    <col min="10768" max="10768" width="6.625" style="12" bestFit="1" customWidth="1"/>
    <col min="10769" max="10769" width="8.25" style="12" bestFit="1" customWidth="1"/>
    <col min="10770" max="11008" width="9" style="12"/>
    <col min="11009" max="11009" width="8.5" style="12" customWidth="1"/>
    <col min="11010" max="11010" width="40" style="12" customWidth="1"/>
    <col min="11011" max="11011" width="6.375" style="12" bestFit="1" customWidth="1"/>
    <col min="11012" max="11012" width="6.625" style="12" bestFit="1" customWidth="1"/>
    <col min="11013" max="11013" width="8.25" style="12" bestFit="1" customWidth="1"/>
    <col min="11014" max="11014" width="4.125" style="12" customWidth="1"/>
    <col min="11015" max="11015" width="8.5" style="12" customWidth="1"/>
    <col min="11016" max="11016" width="40" style="12" customWidth="1"/>
    <col min="11017" max="11017" width="6.375" style="12" customWidth="1"/>
    <col min="11018" max="11018" width="6.625" style="12" bestFit="1" customWidth="1"/>
    <col min="11019" max="11019" width="8.25" style="12" bestFit="1" customWidth="1"/>
    <col min="11020" max="11020" width="4.125" style="12" customWidth="1"/>
    <col min="11021" max="11021" width="8.5" style="12" customWidth="1"/>
    <col min="11022" max="11022" width="40" style="12" customWidth="1"/>
    <col min="11023" max="11023" width="6.375" style="12" customWidth="1"/>
    <col min="11024" max="11024" width="6.625" style="12" bestFit="1" customWidth="1"/>
    <col min="11025" max="11025" width="8.25" style="12" bestFit="1" customWidth="1"/>
    <col min="11026" max="11264" width="9" style="12"/>
    <col min="11265" max="11265" width="8.5" style="12" customWidth="1"/>
    <col min="11266" max="11266" width="40" style="12" customWidth="1"/>
    <col min="11267" max="11267" width="6.375" style="12" bestFit="1" customWidth="1"/>
    <col min="11268" max="11268" width="6.625" style="12" bestFit="1" customWidth="1"/>
    <col min="11269" max="11269" width="8.25" style="12" bestFit="1" customWidth="1"/>
    <col min="11270" max="11270" width="4.125" style="12" customWidth="1"/>
    <col min="11271" max="11271" width="8.5" style="12" customWidth="1"/>
    <col min="11272" max="11272" width="40" style="12" customWidth="1"/>
    <col min="11273" max="11273" width="6.375" style="12" customWidth="1"/>
    <col min="11274" max="11274" width="6.625" style="12" bestFit="1" customWidth="1"/>
    <col min="11275" max="11275" width="8.25" style="12" bestFit="1" customWidth="1"/>
    <col min="11276" max="11276" width="4.125" style="12" customWidth="1"/>
    <col min="11277" max="11277" width="8.5" style="12" customWidth="1"/>
    <col min="11278" max="11278" width="40" style="12" customWidth="1"/>
    <col min="11279" max="11279" width="6.375" style="12" customWidth="1"/>
    <col min="11280" max="11280" width="6.625" style="12" bestFit="1" customWidth="1"/>
    <col min="11281" max="11281" width="8.25" style="12" bestFit="1" customWidth="1"/>
    <col min="11282" max="11520" width="9" style="12"/>
    <col min="11521" max="11521" width="8.5" style="12" customWidth="1"/>
    <col min="11522" max="11522" width="40" style="12" customWidth="1"/>
    <col min="11523" max="11523" width="6.375" style="12" bestFit="1" customWidth="1"/>
    <col min="11524" max="11524" width="6.625" style="12" bestFit="1" customWidth="1"/>
    <col min="11525" max="11525" width="8.25" style="12" bestFit="1" customWidth="1"/>
    <col min="11526" max="11526" width="4.125" style="12" customWidth="1"/>
    <col min="11527" max="11527" width="8.5" style="12" customWidth="1"/>
    <col min="11528" max="11528" width="40" style="12" customWidth="1"/>
    <col min="11529" max="11529" width="6.375" style="12" customWidth="1"/>
    <col min="11530" max="11530" width="6.625" style="12" bestFit="1" customWidth="1"/>
    <col min="11531" max="11531" width="8.25" style="12" bestFit="1" customWidth="1"/>
    <col min="11532" max="11532" width="4.125" style="12" customWidth="1"/>
    <col min="11533" max="11533" width="8.5" style="12" customWidth="1"/>
    <col min="11534" max="11534" width="40" style="12" customWidth="1"/>
    <col min="11535" max="11535" width="6.375" style="12" customWidth="1"/>
    <col min="11536" max="11536" width="6.625" style="12" bestFit="1" customWidth="1"/>
    <col min="11537" max="11537" width="8.25" style="12" bestFit="1" customWidth="1"/>
    <col min="11538" max="11776" width="9" style="12"/>
    <col min="11777" max="11777" width="8.5" style="12" customWidth="1"/>
    <col min="11778" max="11778" width="40" style="12" customWidth="1"/>
    <col min="11779" max="11779" width="6.375" style="12" bestFit="1" customWidth="1"/>
    <col min="11780" max="11780" width="6.625" style="12" bestFit="1" customWidth="1"/>
    <col min="11781" max="11781" width="8.25" style="12" bestFit="1" customWidth="1"/>
    <col min="11782" max="11782" width="4.125" style="12" customWidth="1"/>
    <col min="11783" max="11783" width="8.5" style="12" customWidth="1"/>
    <col min="11784" max="11784" width="40" style="12" customWidth="1"/>
    <col min="11785" max="11785" width="6.375" style="12" customWidth="1"/>
    <col min="11786" max="11786" width="6.625" style="12" bestFit="1" customWidth="1"/>
    <col min="11787" max="11787" width="8.25" style="12" bestFit="1" customWidth="1"/>
    <col min="11788" max="11788" width="4.125" style="12" customWidth="1"/>
    <col min="11789" max="11789" width="8.5" style="12" customWidth="1"/>
    <col min="11790" max="11790" width="40" style="12" customWidth="1"/>
    <col min="11791" max="11791" width="6.375" style="12" customWidth="1"/>
    <col min="11792" max="11792" width="6.625" style="12" bestFit="1" customWidth="1"/>
    <col min="11793" max="11793" width="8.25" style="12" bestFit="1" customWidth="1"/>
    <col min="11794" max="12032" width="9" style="12"/>
    <col min="12033" max="12033" width="8.5" style="12" customWidth="1"/>
    <col min="12034" max="12034" width="40" style="12" customWidth="1"/>
    <col min="12035" max="12035" width="6.375" style="12" bestFit="1" customWidth="1"/>
    <col min="12036" max="12036" width="6.625" style="12" bestFit="1" customWidth="1"/>
    <col min="12037" max="12037" width="8.25" style="12" bestFit="1" customWidth="1"/>
    <col min="12038" max="12038" width="4.125" style="12" customWidth="1"/>
    <col min="12039" max="12039" width="8.5" style="12" customWidth="1"/>
    <col min="12040" max="12040" width="40" style="12" customWidth="1"/>
    <col min="12041" max="12041" width="6.375" style="12" customWidth="1"/>
    <col min="12042" max="12042" width="6.625" style="12" bestFit="1" customWidth="1"/>
    <col min="12043" max="12043" width="8.25" style="12" bestFit="1" customWidth="1"/>
    <col min="12044" max="12044" width="4.125" style="12" customWidth="1"/>
    <col min="12045" max="12045" width="8.5" style="12" customWidth="1"/>
    <col min="12046" max="12046" width="40" style="12" customWidth="1"/>
    <col min="12047" max="12047" width="6.375" style="12" customWidth="1"/>
    <col min="12048" max="12048" width="6.625" style="12" bestFit="1" customWidth="1"/>
    <col min="12049" max="12049" width="8.25" style="12" bestFit="1" customWidth="1"/>
    <col min="12050" max="12288" width="9" style="12"/>
    <col min="12289" max="12289" width="8.5" style="12" customWidth="1"/>
    <col min="12290" max="12290" width="40" style="12" customWidth="1"/>
    <col min="12291" max="12291" width="6.375" style="12" bestFit="1" customWidth="1"/>
    <col min="12292" max="12292" width="6.625" style="12" bestFit="1" customWidth="1"/>
    <col min="12293" max="12293" width="8.25" style="12" bestFit="1" customWidth="1"/>
    <col min="12294" max="12294" width="4.125" style="12" customWidth="1"/>
    <col min="12295" max="12295" width="8.5" style="12" customWidth="1"/>
    <col min="12296" max="12296" width="40" style="12" customWidth="1"/>
    <col min="12297" max="12297" width="6.375" style="12" customWidth="1"/>
    <col min="12298" max="12298" width="6.625" style="12" bestFit="1" customWidth="1"/>
    <col min="12299" max="12299" width="8.25" style="12" bestFit="1" customWidth="1"/>
    <col min="12300" max="12300" width="4.125" style="12" customWidth="1"/>
    <col min="12301" max="12301" width="8.5" style="12" customWidth="1"/>
    <col min="12302" max="12302" width="40" style="12" customWidth="1"/>
    <col min="12303" max="12303" width="6.375" style="12" customWidth="1"/>
    <col min="12304" max="12304" width="6.625" style="12" bestFit="1" customWidth="1"/>
    <col min="12305" max="12305" width="8.25" style="12" bestFit="1" customWidth="1"/>
    <col min="12306" max="12544" width="9" style="12"/>
    <col min="12545" max="12545" width="8.5" style="12" customWidth="1"/>
    <col min="12546" max="12546" width="40" style="12" customWidth="1"/>
    <col min="12547" max="12547" width="6.375" style="12" bestFit="1" customWidth="1"/>
    <col min="12548" max="12548" width="6.625" style="12" bestFit="1" customWidth="1"/>
    <col min="12549" max="12549" width="8.25" style="12" bestFit="1" customWidth="1"/>
    <col min="12550" max="12550" width="4.125" style="12" customWidth="1"/>
    <col min="12551" max="12551" width="8.5" style="12" customWidth="1"/>
    <col min="12552" max="12552" width="40" style="12" customWidth="1"/>
    <col min="12553" max="12553" width="6.375" style="12" customWidth="1"/>
    <col min="12554" max="12554" width="6.625" style="12" bestFit="1" customWidth="1"/>
    <col min="12555" max="12555" width="8.25" style="12" bestFit="1" customWidth="1"/>
    <col min="12556" max="12556" width="4.125" style="12" customWidth="1"/>
    <col min="12557" max="12557" width="8.5" style="12" customWidth="1"/>
    <col min="12558" max="12558" width="40" style="12" customWidth="1"/>
    <col min="12559" max="12559" width="6.375" style="12" customWidth="1"/>
    <col min="12560" max="12560" width="6.625" style="12" bestFit="1" customWidth="1"/>
    <col min="12561" max="12561" width="8.25" style="12" bestFit="1" customWidth="1"/>
    <col min="12562" max="12800" width="9" style="12"/>
    <col min="12801" max="12801" width="8.5" style="12" customWidth="1"/>
    <col min="12802" max="12802" width="40" style="12" customWidth="1"/>
    <col min="12803" max="12803" width="6.375" style="12" bestFit="1" customWidth="1"/>
    <col min="12804" max="12804" width="6.625" style="12" bestFit="1" customWidth="1"/>
    <col min="12805" max="12805" width="8.25" style="12" bestFit="1" customWidth="1"/>
    <col min="12806" max="12806" width="4.125" style="12" customWidth="1"/>
    <col min="12807" max="12807" width="8.5" style="12" customWidth="1"/>
    <col min="12808" max="12808" width="40" style="12" customWidth="1"/>
    <col min="12809" max="12809" width="6.375" style="12" customWidth="1"/>
    <col min="12810" max="12810" width="6.625" style="12" bestFit="1" customWidth="1"/>
    <col min="12811" max="12811" width="8.25" style="12" bestFit="1" customWidth="1"/>
    <col min="12812" max="12812" width="4.125" style="12" customWidth="1"/>
    <col min="12813" max="12813" width="8.5" style="12" customWidth="1"/>
    <col min="12814" max="12814" width="40" style="12" customWidth="1"/>
    <col min="12815" max="12815" width="6.375" style="12" customWidth="1"/>
    <col min="12816" max="12816" width="6.625" style="12" bestFit="1" customWidth="1"/>
    <col min="12817" max="12817" width="8.25" style="12" bestFit="1" customWidth="1"/>
    <col min="12818" max="13056" width="9" style="12"/>
    <col min="13057" max="13057" width="8.5" style="12" customWidth="1"/>
    <col min="13058" max="13058" width="40" style="12" customWidth="1"/>
    <col min="13059" max="13059" width="6.375" style="12" bestFit="1" customWidth="1"/>
    <col min="13060" max="13060" width="6.625" style="12" bestFit="1" customWidth="1"/>
    <col min="13061" max="13061" width="8.25" style="12" bestFit="1" customWidth="1"/>
    <col min="13062" max="13062" width="4.125" style="12" customWidth="1"/>
    <col min="13063" max="13063" width="8.5" style="12" customWidth="1"/>
    <col min="13064" max="13064" width="40" style="12" customWidth="1"/>
    <col min="13065" max="13065" width="6.375" style="12" customWidth="1"/>
    <col min="13066" max="13066" width="6.625" style="12" bestFit="1" customWidth="1"/>
    <col min="13067" max="13067" width="8.25" style="12" bestFit="1" customWidth="1"/>
    <col min="13068" max="13068" width="4.125" style="12" customWidth="1"/>
    <col min="13069" max="13069" width="8.5" style="12" customWidth="1"/>
    <col min="13070" max="13070" width="40" style="12" customWidth="1"/>
    <col min="13071" max="13071" width="6.375" style="12" customWidth="1"/>
    <col min="13072" max="13072" width="6.625" style="12" bestFit="1" customWidth="1"/>
    <col min="13073" max="13073" width="8.25" style="12" bestFit="1" customWidth="1"/>
    <col min="13074" max="13312" width="9" style="12"/>
    <col min="13313" max="13313" width="8.5" style="12" customWidth="1"/>
    <col min="13314" max="13314" width="40" style="12" customWidth="1"/>
    <col min="13315" max="13315" width="6.375" style="12" bestFit="1" customWidth="1"/>
    <col min="13316" max="13316" width="6.625" style="12" bestFit="1" customWidth="1"/>
    <col min="13317" max="13317" width="8.25" style="12" bestFit="1" customWidth="1"/>
    <col min="13318" max="13318" width="4.125" style="12" customWidth="1"/>
    <col min="13319" max="13319" width="8.5" style="12" customWidth="1"/>
    <col min="13320" max="13320" width="40" style="12" customWidth="1"/>
    <col min="13321" max="13321" width="6.375" style="12" customWidth="1"/>
    <col min="13322" max="13322" width="6.625" style="12" bestFit="1" customWidth="1"/>
    <col min="13323" max="13323" width="8.25" style="12" bestFit="1" customWidth="1"/>
    <col min="13324" max="13324" width="4.125" style="12" customWidth="1"/>
    <col min="13325" max="13325" width="8.5" style="12" customWidth="1"/>
    <col min="13326" max="13326" width="40" style="12" customWidth="1"/>
    <col min="13327" max="13327" width="6.375" style="12" customWidth="1"/>
    <col min="13328" max="13328" width="6.625" style="12" bestFit="1" customWidth="1"/>
    <col min="13329" max="13329" width="8.25" style="12" bestFit="1" customWidth="1"/>
    <col min="13330" max="13568" width="9" style="12"/>
    <col min="13569" max="13569" width="8.5" style="12" customWidth="1"/>
    <col min="13570" max="13570" width="40" style="12" customWidth="1"/>
    <col min="13571" max="13571" width="6.375" style="12" bestFit="1" customWidth="1"/>
    <col min="13572" max="13572" width="6.625" style="12" bestFit="1" customWidth="1"/>
    <col min="13573" max="13573" width="8.25" style="12" bestFit="1" customWidth="1"/>
    <col min="13574" max="13574" width="4.125" style="12" customWidth="1"/>
    <col min="13575" max="13575" width="8.5" style="12" customWidth="1"/>
    <col min="13576" max="13576" width="40" style="12" customWidth="1"/>
    <col min="13577" max="13577" width="6.375" style="12" customWidth="1"/>
    <col min="13578" max="13578" width="6.625" style="12" bestFit="1" customWidth="1"/>
    <col min="13579" max="13579" width="8.25" style="12" bestFit="1" customWidth="1"/>
    <col min="13580" max="13580" width="4.125" style="12" customWidth="1"/>
    <col min="13581" max="13581" width="8.5" style="12" customWidth="1"/>
    <col min="13582" max="13582" width="40" style="12" customWidth="1"/>
    <col min="13583" max="13583" width="6.375" style="12" customWidth="1"/>
    <col min="13584" max="13584" width="6.625" style="12" bestFit="1" customWidth="1"/>
    <col min="13585" max="13585" width="8.25" style="12" bestFit="1" customWidth="1"/>
    <col min="13586" max="13824" width="9" style="12"/>
    <col min="13825" max="13825" width="8.5" style="12" customWidth="1"/>
    <col min="13826" max="13826" width="40" style="12" customWidth="1"/>
    <col min="13827" max="13827" width="6.375" style="12" bestFit="1" customWidth="1"/>
    <col min="13828" max="13828" width="6.625" style="12" bestFit="1" customWidth="1"/>
    <col min="13829" max="13829" width="8.25" style="12" bestFit="1" customWidth="1"/>
    <col min="13830" max="13830" width="4.125" style="12" customWidth="1"/>
    <col min="13831" max="13831" width="8.5" style="12" customWidth="1"/>
    <col min="13832" max="13832" width="40" style="12" customWidth="1"/>
    <col min="13833" max="13833" width="6.375" style="12" customWidth="1"/>
    <col min="13834" max="13834" width="6.625" style="12" bestFit="1" customWidth="1"/>
    <col min="13835" max="13835" width="8.25" style="12" bestFit="1" customWidth="1"/>
    <col min="13836" max="13836" width="4.125" style="12" customWidth="1"/>
    <col min="13837" max="13837" width="8.5" style="12" customWidth="1"/>
    <col min="13838" max="13838" width="40" style="12" customWidth="1"/>
    <col min="13839" max="13839" width="6.375" style="12" customWidth="1"/>
    <col min="13840" max="13840" width="6.625" style="12" bestFit="1" customWidth="1"/>
    <col min="13841" max="13841" width="8.25" style="12" bestFit="1" customWidth="1"/>
    <col min="13842" max="14080" width="9" style="12"/>
    <col min="14081" max="14081" width="8.5" style="12" customWidth="1"/>
    <col min="14082" max="14082" width="40" style="12" customWidth="1"/>
    <col min="14083" max="14083" width="6.375" style="12" bestFit="1" customWidth="1"/>
    <col min="14084" max="14084" width="6.625" style="12" bestFit="1" customWidth="1"/>
    <col min="14085" max="14085" width="8.25" style="12" bestFit="1" customWidth="1"/>
    <col min="14086" max="14086" width="4.125" style="12" customWidth="1"/>
    <col min="14087" max="14087" width="8.5" style="12" customWidth="1"/>
    <col min="14088" max="14088" width="40" style="12" customWidth="1"/>
    <col min="14089" max="14089" width="6.375" style="12" customWidth="1"/>
    <col min="14090" max="14090" width="6.625" style="12" bestFit="1" customWidth="1"/>
    <col min="14091" max="14091" width="8.25" style="12" bestFit="1" customWidth="1"/>
    <col min="14092" max="14092" width="4.125" style="12" customWidth="1"/>
    <col min="14093" max="14093" width="8.5" style="12" customWidth="1"/>
    <col min="14094" max="14094" width="40" style="12" customWidth="1"/>
    <col min="14095" max="14095" width="6.375" style="12" customWidth="1"/>
    <col min="14096" max="14096" width="6.625" style="12" bestFit="1" customWidth="1"/>
    <col min="14097" max="14097" width="8.25" style="12" bestFit="1" customWidth="1"/>
    <col min="14098" max="14336" width="9" style="12"/>
    <col min="14337" max="14337" width="8.5" style="12" customWidth="1"/>
    <col min="14338" max="14338" width="40" style="12" customWidth="1"/>
    <col min="14339" max="14339" width="6.375" style="12" bestFit="1" customWidth="1"/>
    <col min="14340" max="14340" width="6.625" style="12" bestFit="1" customWidth="1"/>
    <col min="14341" max="14341" width="8.25" style="12" bestFit="1" customWidth="1"/>
    <col min="14342" max="14342" width="4.125" style="12" customWidth="1"/>
    <col min="14343" max="14343" width="8.5" style="12" customWidth="1"/>
    <col min="14344" max="14344" width="40" style="12" customWidth="1"/>
    <col min="14345" max="14345" width="6.375" style="12" customWidth="1"/>
    <col min="14346" max="14346" width="6.625" style="12" bestFit="1" customWidth="1"/>
    <col min="14347" max="14347" width="8.25" style="12" bestFit="1" customWidth="1"/>
    <col min="14348" max="14348" width="4.125" style="12" customWidth="1"/>
    <col min="14349" max="14349" width="8.5" style="12" customWidth="1"/>
    <col min="14350" max="14350" width="40" style="12" customWidth="1"/>
    <col min="14351" max="14351" width="6.375" style="12" customWidth="1"/>
    <col min="14352" max="14352" width="6.625" style="12" bestFit="1" customWidth="1"/>
    <col min="14353" max="14353" width="8.25" style="12" bestFit="1" customWidth="1"/>
    <col min="14354" max="14592" width="9" style="12"/>
    <col min="14593" max="14593" width="8.5" style="12" customWidth="1"/>
    <col min="14594" max="14594" width="40" style="12" customWidth="1"/>
    <col min="14595" max="14595" width="6.375" style="12" bestFit="1" customWidth="1"/>
    <col min="14596" max="14596" width="6.625" style="12" bestFit="1" customWidth="1"/>
    <col min="14597" max="14597" width="8.25" style="12" bestFit="1" customWidth="1"/>
    <col min="14598" max="14598" width="4.125" style="12" customWidth="1"/>
    <col min="14599" max="14599" width="8.5" style="12" customWidth="1"/>
    <col min="14600" max="14600" width="40" style="12" customWidth="1"/>
    <col min="14601" max="14601" width="6.375" style="12" customWidth="1"/>
    <col min="14602" max="14602" width="6.625" style="12" bestFit="1" customWidth="1"/>
    <col min="14603" max="14603" width="8.25" style="12" bestFit="1" customWidth="1"/>
    <col min="14604" max="14604" width="4.125" style="12" customWidth="1"/>
    <col min="14605" max="14605" width="8.5" style="12" customWidth="1"/>
    <col min="14606" max="14606" width="40" style="12" customWidth="1"/>
    <col min="14607" max="14607" width="6.375" style="12" customWidth="1"/>
    <col min="14608" max="14608" width="6.625" style="12" bestFit="1" customWidth="1"/>
    <col min="14609" max="14609" width="8.25" style="12" bestFit="1" customWidth="1"/>
    <col min="14610" max="14848" width="9" style="12"/>
    <col min="14849" max="14849" width="8.5" style="12" customWidth="1"/>
    <col min="14850" max="14850" width="40" style="12" customWidth="1"/>
    <col min="14851" max="14851" width="6.375" style="12" bestFit="1" customWidth="1"/>
    <col min="14852" max="14852" width="6.625" style="12" bestFit="1" customWidth="1"/>
    <col min="14853" max="14853" width="8.25" style="12" bestFit="1" customWidth="1"/>
    <col min="14854" max="14854" width="4.125" style="12" customWidth="1"/>
    <col min="14855" max="14855" width="8.5" style="12" customWidth="1"/>
    <col min="14856" max="14856" width="40" style="12" customWidth="1"/>
    <col min="14857" max="14857" width="6.375" style="12" customWidth="1"/>
    <col min="14858" max="14858" width="6.625" style="12" bestFit="1" customWidth="1"/>
    <col min="14859" max="14859" width="8.25" style="12" bestFit="1" customWidth="1"/>
    <col min="14860" max="14860" width="4.125" style="12" customWidth="1"/>
    <col min="14861" max="14861" width="8.5" style="12" customWidth="1"/>
    <col min="14862" max="14862" width="40" style="12" customWidth="1"/>
    <col min="14863" max="14863" width="6.375" style="12" customWidth="1"/>
    <col min="14864" max="14864" width="6.625" style="12" bestFit="1" customWidth="1"/>
    <col min="14865" max="14865" width="8.25" style="12" bestFit="1" customWidth="1"/>
    <col min="14866" max="15104" width="9" style="12"/>
    <col min="15105" max="15105" width="8.5" style="12" customWidth="1"/>
    <col min="15106" max="15106" width="40" style="12" customWidth="1"/>
    <col min="15107" max="15107" width="6.375" style="12" bestFit="1" customWidth="1"/>
    <col min="15108" max="15108" width="6.625" style="12" bestFit="1" customWidth="1"/>
    <col min="15109" max="15109" width="8.25" style="12" bestFit="1" customWidth="1"/>
    <col min="15110" max="15110" width="4.125" style="12" customWidth="1"/>
    <col min="15111" max="15111" width="8.5" style="12" customWidth="1"/>
    <col min="15112" max="15112" width="40" style="12" customWidth="1"/>
    <col min="15113" max="15113" width="6.375" style="12" customWidth="1"/>
    <col min="15114" max="15114" width="6.625" style="12" bestFit="1" customWidth="1"/>
    <col min="15115" max="15115" width="8.25" style="12" bestFit="1" customWidth="1"/>
    <col min="15116" max="15116" width="4.125" style="12" customWidth="1"/>
    <col min="15117" max="15117" width="8.5" style="12" customWidth="1"/>
    <col min="15118" max="15118" width="40" style="12" customWidth="1"/>
    <col min="15119" max="15119" width="6.375" style="12" customWidth="1"/>
    <col min="15120" max="15120" width="6.625" style="12" bestFit="1" customWidth="1"/>
    <col min="15121" max="15121" width="8.25" style="12" bestFit="1" customWidth="1"/>
    <col min="15122" max="15360" width="9" style="12"/>
    <col min="15361" max="15361" width="8.5" style="12" customWidth="1"/>
    <col min="15362" max="15362" width="40" style="12" customWidth="1"/>
    <col min="15363" max="15363" width="6.375" style="12" bestFit="1" customWidth="1"/>
    <col min="15364" max="15364" width="6.625" style="12" bestFit="1" customWidth="1"/>
    <col min="15365" max="15365" width="8.25" style="12" bestFit="1" customWidth="1"/>
    <col min="15366" max="15366" width="4.125" style="12" customWidth="1"/>
    <col min="15367" max="15367" width="8.5" style="12" customWidth="1"/>
    <col min="15368" max="15368" width="40" style="12" customWidth="1"/>
    <col min="15369" max="15369" width="6.375" style="12" customWidth="1"/>
    <col min="15370" max="15370" width="6.625" style="12" bestFit="1" customWidth="1"/>
    <col min="15371" max="15371" width="8.25" style="12" bestFit="1" customWidth="1"/>
    <col min="15372" max="15372" width="4.125" style="12" customWidth="1"/>
    <col min="15373" max="15373" width="8.5" style="12" customWidth="1"/>
    <col min="15374" max="15374" width="40" style="12" customWidth="1"/>
    <col min="15375" max="15375" width="6.375" style="12" customWidth="1"/>
    <col min="15376" max="15376" width="6.625" style="12" bestFit="1" customWidth="1"/>
    <col min="15377" max="15377" width="8.25" style="12" bestFit="1" customWidth="1"/>
    <col min="15378" max="15616" width="9" style="12"/>
    <col min="15617" max="15617" width="8.5" style="12" customWidth="1"/>
    <col min="15618" max="15618" width="40" style="12" customWidth="1"/>
    <col min="15619" max="15619" width="6.375" style="12" bestFit="1" customWidth="1"/>
    <col min="15620" max="15620" width="6.625" style="12" bestFit="1" customWidth="1"/>
    <col min="15621" max="15621" width="8.25" style="12" bestFit="1" customWidth="1"/>
    <col min="15622" max="15622" width="4.125" style="12" customWidth="1"/>
    <col min="15623" max="15623" width="8.5" style="12" customWidth="1"/>
    <col min="15624" max="15624" width="40" style="12" customWidth="1"/>
    <col min="15625" max="15625" width="6.375" style="12" customWidth="1"/>
    <col min="15626" max="15626" width="6.625" style="12" bestFit="1" customWidth="1"/>
    <col min="15627" max="15627" width="8.25" style="12" bestFit="1" customWidth="1"/>
    <col min="15628" max="15628" width="4.125" style="12" customWidth="1"/>
    <col min="15629" max="15629" width="8.5" style="12" customWidth="1"/>
    <col min="15630" max="15630" width="40" style="12" customWidth="1"/>
    <col min="15631" max="15631" width="6.375" style="12" customWidth="1"/>
    <col min="15632" max="15632" width="6.625" style="12" bestFit="1" customWidth="1"/>
    <col min="15633" max="15633" width="8.25" style="12" bestFit="1" customWidth="1"/>
    <col min="15634" max="15872" width="9" style="12"/>
    <col min="15873" max="15873" width="8.5" style="12" customWidth="1"/>
    <col min="15874" max="15874" width="40" style="12" customWidth="1"/>
    <col min="15875" max="15875" width="6.375" style="12" bestFit="1" customWidth="1"/>
    <col min="15876" max="15876" width="6.625" style="12" bestFit="1" customWidth="1"/>
    <col min="15877" max="15877" width="8.25" style="12" bestFit="1" customWidth="1"/>
    <col min="15878" max="15878" width="4.125" style="12" customWidth="1"/>
    <col min="15879" max="15879" width="8.5" style="12" customWidth="1"/>
    <col min="15880" max="15880" width="40" style="12" customWidth="1"/>
    <col min="15881" max="15881" width="6.375" style="12" customWidth="1"/>
    <col min="15882" max="15882" width="6.625" style="12" bestFit="1" customWidth="1"/>
    <col min="15883" max="15883" width="8.25" style="12" bestFit="1" customWidth="1"/>
    <col min="15884" max="15884" width="4.125" style="12" customWidth="1"/>
    <col min="15885" max="15885" width="8.5" style="12" customWidth="1"/>
    <col min="15886" max="15886" width="40" style="12" customWidth="1"/>
    <col min="15887" max="15887" width="6.375" style="12" customWidth="1"/>
    <col min="15888" max="15888" width="6.625" style="12" bestFit="1" customWidth="1"/>
    <col min="15889" max="15889" width="8.25" style="12" bestFit="1" customWidth="1"/>
    <col min="15890" max="16128" width="9" style="12"/>
    <col min="16129" max="16129" width="8.5" style="12" customWidth="1"/>
    <col min="16130" max="16130" width="40" style="12" customWidth="1"/>
    <col min="16131" max="16131" width="6.375" style="12" bestFit="1" customWidth="1"/>
    <col min="16132" max="16132" width="6.625" style="12" bestFit="1" customWidth="1"/>
    <col min="16133" max="16133" width="8.25" style="12" bestFit="1" customWidth="1"/>
    <col min="16134" max="16134" width="4.125" style="12" customWidth="1"/>
    <col min="16135" max="16135" width="8.5" style="12" customWidth="1"/>
    <col min="16136" max="16136" width="40" style="12" customWidth="1"/>
    <col min="16137" max="16137" width="6.375" style="12" customWidth="1"/>
    <col min="16138" max="16138" width="6.625" style="12" bestFit="1" customWidth="1"/>
    <col min="16139" max="16139" width="8.25" style="12" bestFit="1" customWidth="1"/>
    <col min="16140" max="16140" width="4.125" style="12" customWidth="1"/>
    <col min="16141" max="16141" width="8.5" style="12" customWidth="1"/>
    <col min="16142" max="16142" width="40" style="12" customWidth="1"/>
    <col min="16143" max="16143" width="6.375" style="12" customWidth="1"/>
    <col min="16144" max="16144" width="6.625" style="12" bestFit="1" customWidth="1"/>
    <col min="16145" max="16145" width="8.25" style="12" bestFit="1" customWidth="1"/>
    <col min="16146" max="16384" width="9" style="12"/>
  </cols>
  <sheetData>
    <row r="1" spans="1:17" ht="15" customHeight="1" x14ac:dyDescent="0.2">
      <c r="A1" s="100" t="s">
        <v>650</v>
      </c>
      <c r="B1" s="6"/>
      <c r="C1" s="7"/>
      <c r="D1" s="7"/>
      <c r="E1" s="7"/>
      <c r="F1" s="9"/>
      <c r="G1" s="5"/>
      <c r="H1" s="10"/>
      <c r="I1" s="11"/>
      <c r="J1" s="7"/>
      <c r="K1" s="7"/>
      <c r="L1" s="9"/>
      <c r="M1" s="5"/>
      <c r="N1" s="10"/>
      <c r="O1" s="11"/>
      <c r="P1" s="7"/>
      <c r="Q1" s="7"/>
    </row>
    <row r="2" spans="1:17" s="128" customFormat="1" ht="15" customHeight="1" x14ac:dyDescent="0.2">
      <c r="A2" s="500" t="s">
        <v>585</v>
      </c>
      <c r="B2" s="199"/>
      <c r="C2" s="199"/>
      <c r="D2" s="199"/>
      <c r="E2" s="199"/>
      <c r="F2" s="199"/>
      <c r="G2" s="199"/>
      <c r="H2" s="199"/>
      <c r="I2" s="199"/>
      <c r="J2" s="199"/>
    </row>
    <row r="3" spans="1:17" ht="15" customHeight="1" x14ac:dyDescent="0.2">
      <c r="A3" s="607" t="s">
        <v>0</v>
      </c>
      <c r="B3" s="607"/>
      <c r="C3" s="607"/>
      <c r="D3" s="124"/>
      <c r="E3" s="124"/>
      <c r="F3" s="14"/>
      <c r="G3" s="607" t="s">
        <v>1</v>
      </c>
      <c r="H3" s="607"/>
      <c r="I3" s="607"/>
      <c r="J3" s="124"/>
      <c r="K3" s="124"/>
      <c r="L3" s="14"/>
      <c r="M3" s="607" t="s">
        <v>2</v>
      </c>
      <c r="N3" s="607"/>
      <c r="O3" s="607"/>
      <c r="P3" s="124"/>
      <c r="Q3" s="124"/>
    </row>
    <row r="4" spans="1:17" s="20" customFormat="1" ht="45" customHeight="1" x14ac:dyDescent="0.2">
      <c r="A4" s="16" t="s">
        <v>644</v>
      </c>
      <c r="B4" s="17" t="s">
        <v>75</v>
      </c>
      <c r="C4" s="18" t="s">
        <v>38</v>
      </c>
      <c r="D4" s="125" t="s">
        <v>565</v>
      </c>
      <c r="E4" s="125" t="s">
        <v>560</v>
      </c>
      <c r="F4" s="19"/>
      <c r="G4" s="16" t="s">
        <v>644</v>
      </c>
      <c r="H4" s="17" t="s">
        <v>75</v>
      </c>
      <c r="I4" s="18" t="s">
        <v>38</v>
      </c>
      <c r="J4" s="125" t="s">
        <v>565</v>
      </c>
      <c r="K4" s="125" t="s">
        <v>560</v>
      </c>
      <c r="L4" s="19"/>
      <c r="M4" s="16" t="s">
        <v>644</v>
      </c>
      <c r="N4" s="17" t="s">
        <v>75</v>
      </c>
      <c r="O4" s="18" t="s">
        <v>38</v>
      </c>
      <c r="P4" s="125" t="s">
        <v>565</v>
      </c>
      <c r="Q4" s="125" t="s">
        <v>560</v>
      </c>
    </row>
    <row r="5" spans="1:17" s="25" customFormat="1" ht="15" customHeight="1" x14ac:dyDescent="0.2">
      <c r="A5" s="62" t="s">
        <v>635</v>
      </c>
      <c r="B5" s="63">
        <v>517</v>
      </c>
      <c r="C5" s="64">
        <v>1.4</v>
      </c>
      <c r="D5" s="64">
        <v>4.2</v>
      </c>
      <c r="E5" s="73">
        <v>3.6</v>
      </c>
      <c r="F5" s="30"/>
      <c r="G5" s="62" t="s">
        <v>635</v>
      </c>
      <c r="H5" s="34">
        <v>411</v>
      </c>
      <c r="I5" s="30">
        <v>1.8</v>
      </c>
      <c r="J5" s="64">
        <v>3.3</v>
      </c>
      <c r="K5" s="64">
        <v>2.7</v>
      </c>
      <c r="L5" s="30"/>
      <c r="M5" s="62" t="s">
        <v>635</v>
      </c>
      <c r="N5" s="34">
        <v>928</v>
      </c>
      <c r="O5" s="30">
        <v>1.6</v>
      </c>
      <c r="P5" s="64">
        <v>3.8</v>
      </c>
      <c r="Q5" s="64">
        <v>3.1</v>
      </c>
    </row>
    <row r="6" spans="1:17" s="25" customFormat="1" ht="15" customHeight="1" x14ac:dyDescent="0.2">
      <c r="A6" s="62" t="s">
        <v>114</v>
      </c>
      <c r="B6" s="63">
        <v>3168</v>
      </c>
      <c r="C6" s="64">
        <v>8.8000000000000007</v>
      </c>
      <c r="D6" s="64">
        <v>25.8</v>
      </c>
      <c r="E6" s="73">
        <v>21</v>
      </c>
      <c r="F6" s="30"/>
      <c r="G6" s="62" t="s">
        <v>114</v>
      </c>
      <c r="H6" s="34">
        <v>3266</v>
      </c>
      <c r="I6" s="30">
        <v>14.5</v>
      </c>
      <c r="J6" s="64">
        <v>26.6</v>
      </c>
      <c r="K6" s="64">
        <v>21.7</v>
      </c>
      <c r="L6" s="30"/>
      <c r="M6" s="62" t="s">
        <v>114</v>
      </c>
      <c r="N6" s="34">
        <v>6434</v>
      </c>
      <c r="O6" s="30">
        <v>11</v>
      </c>
      <c r="P6" s="64">
        <v>26.2</v>
      </c>
      <c r="Q6" s="64">
        <v>21.3</v>
      </c>
    </row>
    <row r="7" spans="1:17" s="25" customFormat="1" ht="15" customHeight="1" x14ac:dyDescent="0.2">
      <c r="A7" s="62" t="s">
        <v>117</v>
      </c>
      <c r="B7" s="63">
        <v>1169</v>
      </c>
      <c r="C7" s="64">
        <v>3.3</v>
      </c>
      <c r="D7" s="64">
        <v>9.5</v>
      </c>
      <c r="E7" s="73">
        <v>7.8</v>
      </c>
      <c r="F7" s="30"/>
      <c r="G7" s="62" t="s">
        <v>117</v>
      </c>
      <c r="H7" s="34">
        <v>669</v>
      </c>
      <c r="I7" s="30">
        <v>3</v>
      </c>
      <c r="J7" s="64">
        <v>5.4</v>
      </c>
      <c r="K7" s="64">
        <v>4.2</v>
      </c>
      <c r="L7" s="30"/>
      <c r="M7" s="62" t="s">
        <v>117</v>
      </c>
      <c r="N7" s="34">
        <v>1838</v>
      </c>
      <c r="O7" s="30">
        <v>3.1</v>
      </c>
      <c r="P7" s="64">
        <v>7.5</v>
      </c>
      <c r="Q7" s="64">
        <v>6</v>
      </c>
    </row>
    <row r="8" spans="1:17" s="25" customFormat="1" ht="15" customHeight="1" x14ac:dyDescent="0.2">
      <c r="A8" s="62" t="s">
        <v>636</v>
      </c>
      <c r="B8" s="63">
        <v>5687</v>
      </c>
      <c r="C8" s="64">
        <v>15.8</v>
      </c>
      <c r="D8" s="64">
        <v>46.3</v>
      </c>
      <c r="E8" s="73">
        <v>38.299999999999997</v>
      </c>
      <c r="F8" s="30"/>
      <c r="G8" s="62" t="s">
        <v>636</v>
      </c>
      <c r="H8" s="34">
        <v>2459</v>
      </c>
      <c r="I8" s="30">
        <v>10.9</v>
      </c>
      <c r="J8" s="64">
        <v>20</v>
      </c>
      <c r="K8" s="64">
        <v>15.5</v>
      </c>
      <c r="L8" s="30"/>
      <c r="M8" s="62" t="s">
        <v>636</v>
      </c>
      <c r="N8" s="34">
        <v>8146</v>
      </c>
      <c r="O8" s="30">
        <v>13.9</v>
      </c>
      <c r="P8" s="64">
        <v>33.1</v>
      </c>
      <c r="Q8" s="64">
        <v>26.6</v>
      </c>
    </row>
    <row r="9" spans="1:17" s="25" customFormat="1" ht="15" customHeight="1" x14ac:dyDescent="0.2">
      <c r="A9" s="62" t="s">
        <v>637</v>
      </c>
      <c r="B9" s="63">
        <v>234</v>
      </c>
      <c r="C9" s="64">
        <v>0.7</v>
      </c>
      <c r="D9" s="64">
        <v>1.9</v>
      </c>
      <c r="E9" s="73">
        <v>1.5</v>
      </c>
      <c r="F9" s="30"/>
      <c r="G9" s="62" t="s">
        <v>637</v>
      </c>
      <c r="H9" s="63">
        <v>155</v>
      </c>
      <c r="I9" s="64">
        <v>0.7</v>
      </c>
      <c r="J9" s="64">
        <v>1.3</v>
      </c>
      <c r="K9" s="64">
        <v>1</v>
      </c>
      <c r="L9" s="30"/>
      <c r="M9" s="62" t="s">
        <v>637</v>
      </c>
      <c r="N9" s="34">
        <v>389</v>
      </c>
      <c r="O9" s="30">
        <v>0.7</v>
      </c>
      <c r="P9" s="64">
        <v>1.6</v>
      </c>
      <c r="Q9" s="64">
        <v>1.2</v>
      </c>
    </row>
    <row r="10" spans="1:17" s="25" customFormat="1" ht="15" customHeight="1" x14ac:dyDescent="0.2">
      <c r="A10" s="62" t="s">
        <v>638</v>
      </c>
      <c r="B10" s="63">
        <v>1395</v>
      </c>
      <c r="C10" s="64">
        <v>3.9</v>
      </c>
      <c r="D10" s="64">
        <v>11.3</v>
      </c>
      <c r="E10" s="73">
        <v>9</v>
      </c>
      <c r="F10" s="30"/>
      <c r="G10" s="62" t="s">
        <v>638</v>
      </c>
      <c r="H10" s="34">
        <v>1219</v>
      </c>
      <c r="I10" s="30">
        <v>5.4</v>
      </c>
      <c r="J10" s="64">
        <v>9.9</v>
      </c>
      <c r="K10" s="64">
        <v>7.4</v>
      </c>
      <c r="L10" s="30"/>
      <c r="M10" s="62" t="s">
        <v>638</v>
      </c>
      <c r="N10" s="34">
        <v>2614</v>
      </c>
      <c r="O10" s="30">
        <v>4.5</v>
      </c>
      <c r="P10" s="64">
        <v>10.6</v>
      </c>
      <c r="Q10" s="64">
        <v>8.1</v>
      </c>
    </row>
    <row r="11" spans="1:17" s="25" customFormat="1" ht="15" customHeight="1" x14ac:dyDescent="0.2">
      <c r="A11" s="62" t="s">
        <v>639</v>
      </c>
      <c r="B11" s="63">
        <v>71</v>
      </c>
      <c r="C11" s="64">
        <v>0.2</v>
      </c>
      <c r="D11" s="64">
        <v>0.6</v>
      </c>
      <c r="E11" s="73">
        <v>0.5</v>
      </c>
      <c r="F11" s="30"/>
      <c r="G11" s="62" t="s">
        <v>639</v>
      </c>
      <c r="H11" s="34">
        <v>35</v>
      </c>
      <c r="I11" s="30">
        <v>0.2</v>
      </c>
      <c r="J11" s="64">
        <v>0.3</v>
      </c>
      <c r="K11" s="64">
        <v>0.2</v>
      </c>
      <c r="L11" s="30"/>
      <c r="M11" s="62" t="s">
        <v>639</v>
      </c>
      <c r="N11" s="34">
        <v>106</v>
      </c>
      <c r="O11" s="30">
        <v>0.2</v>
      </c>
      <c r="P11" s="64">
        <v>0.4</v>
      </c>
      <c r="Q11" s="64">
        <v>0.4</v>
      </c>
    </row>
    <row r="12" spans="1:17" s="25" customFormat="1" ht="15" customHeight="1" x14ac:dyDescent="0.2">
      <c r="A12" s="62" t="s">
        <v>640</v>
      </c>
      <c r="B12" s="63">
        <v>304</v>
      </c>
      <c r="C12" s="64">
        <v>0.8</v>
      </c>
      <c r="D12" s="64">
        <v>2.5</v>
      </c>
      <c r="E12" s="73">
        <v>2.7</v>
      </c>
      <c r="F12" s="30"/>
      <c r="G12" s="62" t="s">
        <v>640</v>
      </c>
      <c r="H12" s="34">
        <v>220</v>
      </c>
      <c r="I12" s="30">
        <v>1</v>
      </c>
      <c r="J12" s="64">
        <v>1.8</v>
      </c>
      <c r="K12" s="64">
        <v>2.1</v>
      </c>
      <c r="L12" s="30"/>
      <c r="M12" s="62" t="s">
        <v>640</v>
      </c>
      <c r="N12" s="34">
        <v>524</v>
      </c>
      <c r="O12" s="30">
        <v>0.9</v>
      </c>
      <c r="P12" s="64">
        <v>2.1</v>
      </c>
      <c r="Q12" s="64">
        <v>2.4</v>
      </c>
    </row>
    <row r="13" spans="1:17" s="25" customFormat="1" ht="15" customHeight="1" x14ac:dyDescent="0.2">
      <c r="A13" s="62" t="s">
        <v>642</v>
      </c>
      <c r="B13" s="63">
        <v>0</v>
      </c>
      <c r="C13" s="475" t="s">
        <v>70</v>
      </c>
      <c r="D13" s="475" t="s">
        <v>70</v>
      </c>
      <c r="E13" s="475" t="s">
        <v>70</v>
      </c>
      <c r="F13" s="30"/>
      <c r="G13" s="62" t="s">
        <v>642</v>
      </c>
      <c r="H13" s="34">
        <v>17</v>
      </c>
      <c r="I13" s="30">
        <v>0.1</v>
      </c>
      <c r="J13" s="64">
        <v>0.1</v>
      </c>
      <c r="K13" s="64">
        <v>0.1</v>
      </c>
      <c r="L13" s="30"/>
      <c r="M13" s="62" t="s">
        <v>642</v>
      </c>
      <c r="N13" s="34">
        <v>17</v>
      </c>
      <c r="O13" s="30">
        <v>0</v>
      </c>
      <c r="P13" s="64">
        <v>0.1</v>
      </c>
      <c r="Q13" s="64">
        <v>0.1</v>
      </c>
    </row>
    <row r="14" spans="1:17" s="25" customFormat="1" ht="15" customHeight="1" x14ac:dyDescent="0.2">
      <c r="A14" s="62" t="s">
        <v>641</v>
      </c>
      <c r="B14" s="63">
        <v>5260</v>
      </c>
      <c r="C14" s="64">
        <v>14.6</v>
      </c>
      <c r="D14" s="64">
        <v>42.8</v>
      </c>
      <c r="E14" s="73">
        <v>41.6</v>
      </c>
      <c r="F14" s="30"/>
      <c r="G14" s="62" t="s">
        <v>641</v>
      </c>
      <c r="H14" s="34">
        <v>1856</v>
      </c>
      <c r="I14" s="30">
        <v>8.1999999999999993</v>
      </c>
      <c r="J14" s="64">
        <v>15.1</v>
      </c>
      <c r="K14" s="64">
        <v>14.3</v>
      </c>
      <c r="L14" s="30"/>
      <c r="M14" s="62" t="s">
        <v>641</v>
      </c>
      <c r="N14" s="34">
        <v>7116</v>
      </c>
      <c r="O14" s="30">
        <v>12.2</v>
      </c>
      <c r="P14" s="64">
        <v>29</v>
      </c>
      <c r="Q14" s="64">
        <v>27.8</v>
      </c>
    </row>
    <row r="15" spans="1:17" s="54" customFormat="1" ht="15" customHeight="1" x14ac:dyDescent="0.2">
      <c r="A15" s="65" t="s">
        <v>253</v>
      </c>
      <c r="B15" s="66">
        <v>17805</v>
      </c>
      <c r="C15" s="67">
        <v>49.5</v>
      </c>
      <c r="D15" s="67">
        <v>144.80000000000001</v>
      </c>
      <c r="E15" s="67">
        <v>126.1</v>
      </c>
      <c r="F15" s="58"/>
      <c r="G15" s="65" t="s">
        <v>253</v>
      </c>
      <c r="H15" s="41">
        <v>10307</v>
      </c>
      <c r="I15" s="38">
        <v>45.8</v>
      </c>
      <c r="J15" s="67">
        <v>83.9</v>
      </c>
      <c r="K15" s="67">
        <v>69.2</v>
      </c>
      <c r="L15" s="38"/>
      <c r="M15" s="65" t="s">
        <v>253</v>
      </c>
      <c r="N15" s="41">
        <v>28112</v>
      </c>
      <c r="O15" s="38">
        <v>48.1</v>
      </c>
      <c r="P15" s="67">
        <v>114.4</v>
      </c>
      <c r="Q15" s="67">
        <v>97</v>
      </c>
    </row>
    <row r="16" spans="1:17" s="54" customFormat="1" ht="15" customHeight="1" x14ac:dyDescent="0.2">
      <c r="A16" s="65" t="s">
        <v>574</v>
      </c>
      <c r="B16" s="66">
        <v>18150</v>
      </c>
      <c r="C16" s="67">
        <v>50.5</v>
      </c>
      <c r="D16" s="67">
        <v>147.6</v>
      </c>
      <c r="E16" s="67">
        <v>123</v>
      </c>
      <c r="F16" s="58"/>
      <c r="G16" s="65" t="s">
        <v>574</v>
      </c>
      <c r="H16" s="41">
        <v>12206</v>
      </c>
      <c r="I16" s="38">
        <v>54.2</v>
      </c>
      <c r="J16" s="67">
        <v>99.4</v>
      </c>
      <c r="K16" s="67">
        <v>78.3</v>
      </c>
      <c r="L16" s="38"/>
      <c r="M16" s="65" t="s">
        <v>574</v>
      </c>
      <c r="N16" s="41">
        <v>30356</v>
      </c>
      <c r="O16" s="38">
        <v>51.9</v>
      </c>
      <c r="P16" s="67">
        <v>123.5</v>
      </c>
      <c r="Q16" s="67">
        <v>100</v>
      </c>
    </row>
    <row r="17" spans="1:17" s="54" customFormat="1" ht="15" customHeight="1" x14ac:dyDescent="0.2">
      <c r="A17" s="68" t="s">
        <v>575</v>
      </c>
      <c r="B17" s="69">
        <v>35955</v>
      </c>
      <c r="C17" s="70">
        <v>100</v>
      </c>
      <c r="D17" s="70">
        <v>292.39999999999998</v>
      </c>
      <c r="E17" s="70">
        <v>249</v>
      </c>
      <c r="F17" s="48"/>
      <c r="G17" s="68" t="s">
        <v>575</v>
      </c>
      <c r="H17" s="52">
        <v>22513</v>
      </c>
      <c r="I17" s="48">
        <v>100</v>
      </c>
      <c r="J17" s="70">
        <v>183.3</v>
      </c>
      <c r="K17" s="70">
        <v>147.5</v>
      </c>
      <c r="L17" s="48"/>
      <c r="M17" s="68" t="s">
        <v>575</v>
      </c>
      <c r="N17" s="52">
        <v>58468</v>
      </c>
      <c r="O17" s="48">
        <v>100</v>
      </c>
      <c r="P17" s="70">
        <v>237.9</v>
      </c>
      <c r="Q17" s="70">
        <v>197.1</v>
      </c>
    </row>
    <row r="18" spans="1:17" s="128" customFormat="1" ht="15" customHeight="1" x14ac:dyDescent="0.2">
      <c r="A18" s="133" t="s">
        <v>646</v>
      </c>
      <c r="B18" s="130"/>
      <c r="C18" s="132"/>
      <c r="E18" s="138"/>
      <c r="F18" s="131"/>
      <c r="G18" s="136"/>
      <c r="H18" s="131"/>
      <c r="I18" s="129"/>
      <c r="J18" s="131"/>
      <c r="K18" s="131"/>
      <c r="L18" s="136"/>
      <c r="M18" s="131"/>
      <c r="N18" s="131"/>
    </row>
    <row r="19" spans="1:17" s="128" customFormat="1" ht="15" customHeight="1" x14ac:dyDescent="0.2">
      <c r="A19" s="133" t="s">
        <v>647</v>
      </c>
      <c r="B19" s="130"/>
      <c r="C19" s="132"/>
      <c r="E19"/>
      <c r="F19"/>
      <c r="G19" s="136"/>
      <c r="H19" s="131"/>
      <c r="I19" s="129"/>
      <c r="J19" s="131"/>
      <c r="K19" s="131"/>
      <c r="L19" s="136"/>
      <c r="M19" s="131"/>
      <c r="N19" s="131"/>
    </row>
    <row r="20" spans="1:17" s="199" customFormat="1" ht="15" customHeight="1" x14ac:dyDescent="0.2">
      <c r="A20" s="582" t="s">
        <v>649</v>
      </c>
      <c r="B20" s="345"/>
      <c r="C20" s="301"/>
      <c r="D20" s="462"/>
      <c r="E20" s="214"/>
      <c r="F20" s="214"/>
      <c r="G20" s="463"/>
      <c r="H20" s="463"/>
      <c r="I20" s="214"/>
      <c r="J20" s="246"/>
      <c r="K20" s="214"/>
      <c r="L20" s="214"/>
      <c r="M20" s="463"/>
      <c r="N20" s="463"/>
      <c r="O20" s="214"/>
      <c r="P20" s="246"/>
      <c r="Q20" s="214"/>
    </row>
    <row r="21" spans="1:17" s="88" customFormat="1" ht="15" customHeight="1" x14ac:dyDescent="0.2">
      <c r="A21" s="84" t="s">
        <v>4</v>
      </c>
      <c r="B21" s="95"/>
      <c r="C21" s="87"/>
      <c r="E21" s="87"/>
      <c r="F21" s="87"/>
      <c r="G21" s="84"/>
      <c r="H21" s="95"/>
      <c r="J21" s="89"/>
      <c r="K21" s="87"/>
      <c r="L21" s="87"/>
      <c r="M21" s="84"/>
      <c r="N21" s="95"/>
      <c r="O21" s="87"/>
      <c r="P21" s="87"/>
      <c r="Q21" s="87"/>
    </row>
    <row r="22" spans="1:17" s="96" customFormat="1" ht="15" customHeight="1" x14ac:dyDescent="0.2">
      <c r="A22" s="612" t="s">
        <v>544</v>
      </c>
      <c r="B22" s="612"/>
      <c r="C22" s="612"/>
      <c r="D22" s="612"/>
      <c r="E22" s="612"/>
      <c r="F22" s="612"/>
      <c r="G22" s="612"/>
      <c r="H22" s="612"/>
      <c r="I22" s="612"/>
      <c r="J22" s="612"/>
      <c r="K22" s="612"/>
      <c r="L22" s="612"/>
      <c r="M22" s="612"/>
      <c r="N22" s="119"/>
      <c r="O22" s="122"/>
      <c r="P22" s="119"/>
      <c r="Q22" s="119"/>
    </row>
    <row r="23" spans="1:17" s="96" customFormat="1" ht="15" customHeight="1" x14ac:dyDescent="0.2">
      <c r="A23" s="613" t="s">
        <v>607</v>
      </c>
      <c r="B23" s="613"/>
      <c r="C23" s="613"/>
      <c r="D23" s="613"/>
      <c r="E23" s="613"/>
      <c r="F23" s="613"/>
      <c r="G23" s="613"/>
      <c r="H23" s="613"/>
      <c r="I23" s="613"/>
      <c r="J23" s="613"/>
      <c r="K23" s="613"/>
      <c r="L23" s="613"/>
      <c r="M23" s="613"/>
      <c r="N23" s="119"/>
      <c r="O23" s="122"/>
      <c r="P23" s="119"/>
      <c r="Q23" s="119"/>
    </row>
    <row r="24" spans="1:17" s="96" customFormat="1" ht="30" customHeight="1" x14ac:dyDescent="0.2">
      <c r="A24" s="611" t="s">
        <v>545</v>
      </c>
      <c r="B24" s="611"/>
      <c r="C24" s="611"/>
      <c r="D24" s="611"/>
      <c r="E24" s="611"/>
      <c r="F24" s="611"/>
      <c r="G24" s="611"/>
      <c r="H24" s="611"/>
      <c r="I24" s="611"/>
      <c r="J24" s="611"/>
      <c r="K24" s="611"/>
      <c r="L24" s="611"/>
      <c r="M24" s="611"/>
      <c r="N24" s="580"/>
    </row>
    <row r="25" spans="1:17" s="96" customFormat="1" ht="15" customHeight="1" x14ac:dyDescent="0.2">
      <c r="A25" s="612" t="s">
        <v>643</v>
      </c>
      <c r="B25" s="612"/>
      <c r="C25" s="612"/>
      <c r="D25" s="612"/>
      <c r="E25" s="612"/>
      <c r="F25" s="612"/>
      <c r="G25" s="612"/>
      <c r="H25" s="612"/>
      <c r="I25" s="612"/>
      <c r="J25" s="612"/>
      <c r="K25" s="612"/>
      <c r="L25" s="612"/>
      <c r="M25" s="612"/>
    </row>
    <row r="26" spans="1:17" s="96" customFormat="1" ht="15" customHeight="1" x14ac:dyDescent="0.2">
      <c r="A26" s="92" t="s">
        <v>645</v>
      </c>
      <c r="B26" s="92"/>
      <c r="C26" s="92"/>
      <c r="D26" s="92"/>
      <c r="E26" s="92"/>
      <c r="F26" s="92"/>
      <c r="G26" s="92"/>
      <c r="H26" s="92"/>
      <c r="I26" s="92"/>
      <c r="J26" s="92"/>
      <c r="K26" s="92"/>
      <c r="L26" s="92"/>
      <c r="M26" s="92"/>
    </row>
    <row r="27" spans="1:17" s="135" customFormat="1" ht="15" customHeight="1" x14ac:dyDescent="0.2">
      <c r="A27" s="134" t="s">
        <v>554</v>
      </c>
      <c r="B27" s="119"/>
      <c r="C27" s="122"/>
      <c r="E27" s="122"/>
      <c r="F27" s="122"/>
      <c r="G27" s="119"/>
      <c r="H27" s="119"/>
      <c r="I27" s="121"/>
      <c r="J27" s="122"/>
      <c r="K27" s="122"/>
      <c r="L27" s="122"/>
      <c r="M27" s="97"/>
      <c r="N27" s="119"/>
      <c r="O27" s="122"/>
      <c r="P27" s="122"/>
      <c r="Q27" s="122"/>
    </row>
    <row r="28" spans="1:17" customFormat="1" ht="15" customHeight="1" x14ac:dyDescent="0.2"/>
  </sheetData>
  <mergeCells count="7">
    <mergeCell ref="A24:M24"/>
    <mergeCell ref="A25:M25"/>
    <mergeCell ref="A3:C3"/>
    <mergeCell ref="G3:I3"/>
    <mergeCell ref="M3:O3"/>
    <mergeCell ref="A22:M22"/>
    <mergeCell ref="A23:M23"/>
  </mergeCells>
  <hyperlinks>
    <hyperlink ref="A2" location="Contents!A1" display="Back to contents" xr:uid="{618506B7-D87F-4DD9-9D34-9355422E64DE}"/>
  </hyperlinks>
  <pageMargins left="0.7" right="0.7" top="0.75" bottom="0.75" header="0.3" footer="0.3"/>
  <pageSetup paperSize="9" orientation="portrait" horizontalDpi="4294967292"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0A9D4-516B-4A78-8CAB-82A9C4536B77}">
  <dimension ref="A1:T36"/>
  <sheetViews>
    <sheetView showGridLines="0" zoomScaleNormal="100" workbookViewId="0">
      <pane ySplit="4" topLeftCell="A5" activePane="bottomLeft" state="frozen"/>
      <selection activeCell="M33" sqref="M33:N33"/>
      <selection pane="bottomLeft" activeCell="A5" sqref="A5"/>
    </sheetView>
  </sheetViews>
  <sheetFormatPr defaultRowHeight="15" customHeight="1" x14ac:dyDescent="0.2"/>
  <cols>
    <col min="1" max="1" width="6.625" style="92" customWidth="1"/>
    <col min="2" max="2" width="37.625" style="101" customWidth="1"/>
    <col min="3" max="3" width="7.5" style="90" bestFit="1" customWidth="1"/>
    <col min="4" max="4" width="6.625" style="91" bestFit="1" customWidth="1"/>
    <col min="5" max="6" width="9.625" style="91" customWidth="1"/>
    <col min="7" max="7" width="2.625" style="12" customWidth="1"/>
    <col min="8" max="8" width="6.625" style="92" customWidth="1"/>
    <col min="9" max="9" width="37.625" style="101" customWidth="1"/>
    <col min="10" max="10" width="7.625" style="90" bestFit="1" customWidth="1"/>
    <col min="11" max="11" width="6.625" style="91" bestFit="1" customWidth="1"/>
    <col min="12" max="13" width="9.625" style="91" customWidth="1"/>
    <col min="14" max="14" width="2.625" style="12" customWidth="1"/>
    <col min="15" max="15" width="6.625" style="92" customWidth="1"/>
    <col min="16" max="16" width="37.625" style="101" customWidth="1"/>
    <col min="17" max="17" width="7.75" style="90" bestFit="1" customWidth="1"/>
    <col min="18" max="18" width="6.625" style="91" bestFit="1" customWidth="1"/>
    <col min="19" max="20" width="9.625" style="91" customWidth="1"/>
    <col min="21" max="259" width="9" style="12"/>
    <col min="260" max="260" width="8.5" style="12" customWidth="1"/>
    <col min="261" max="261" width="40" style="12" customWidth="1"/>
    <col min="262" max="262" width="6.375" style="12" bestFit="1" customWidth="1"/>
    <col min="263" max="263" width="6.625" style="12" bestFit="1" customWidth="1"/>
    <col min="264" max="264" width="8.25" style="12" bestFit="1" customWidth="1"/>
    <col min="265" max="265" width="4.125" style="12" customWidth="1"/>
    <col min="266" max="266" width="8.5" style="12" customWidth="1"/>
    <col min="267" max="267" width="40" style="12" customWidth="1"/>
    <col min="268" max="268" width="6.375" style="12" customWidth="1"/>
    <col min="269" max="269" width="6.625" style="12" bestFit="1" customWidth="1"/>
    <col min="270" max="270" width="8.25" style="12" bestFit="1" customWidth="1"/>
    <col min="271" max="271" width="4.125" style="12" customWidth="1"/>
    <col min="272" max="272" width="8.5" style="12" customWidth="1"/>
    <col min="273" max="273" width="40" style="12" customWidth="1"/>
    <col min="274" max="274" width="6.375" style="12" customWidth="1"/>
    <col min="275" max="275" width="6.625" style="12" bestFit="1" customWidth="1"/>
    <col min="276" max="276" width="8.25" style="12" bestFit="1" customWidth="1"/>
    <col min="277" max="515" width="9" style="12"/>
    <col min="516" max="516" width="8.5" style="12" customWidth="1"/>
    <col min="517" max="517" width="40" style="12" customWidth="1"/>
    <col min="518" max="518" width="6.375" style="12" bestFit="1" customWidth="1"/>
    <col min="519" max="519" width="6.625" style="12" bestFit="1" customWidth="1"/>
    <col min="520" max="520" width="8.25" style="12" bestFit="1" customWidth="1"/>
    <col min="521" max="521" width="4.125" style="12" customWidth="1"/>
    <col min="522" max="522" width="8.5" style="12" customWidth="1"/>
    <col min="523" max="523" width="40" style="12" customWidth="1"/>
    <col min="524" max="524" width="6.375" style="12" customWidth="1"/>
    <col min="525" max="525" width="6.625" style="12" bestFit="1" customWidth="1"/>
    <col min="526" max="526" width="8.25" style="12" bestFit="1" customWidth="1"/>
    <col min="527" max="527" width="4.125" style="12" customWidth="1"/>
    <col min="528" max="528" width="8.5" style="12" customWidth="1"/>
    <col min="529" max="529" width="40" style="12" customWidth="1"/>
    <col min="530" max="530" width="6.375" style="12" customWidth="1"/>
    <col min="531" max="531" width="6.625" style="12" bestFit="1" customWidth="1"/>
    <col min="532" max="532" width="8.25" style="12" bestFit="1" customWidth="1"/>
    <col min="533" max="771" width="9" style="12"/>
    <col min="772" max="772" width="8.5" style="12" customWidth="1"/>
    <col min="773" max="773" width="40" style="12" customWidth="1"/>
    <col min="774" max="774" width="6.375" style="12" bestFit="1" customWidth="1"/>
    <col min="775" max="775" width="6.625" style="12" bestFit="1" customWidth="1"/>
    <col min="776" max="776" width="8.25" style="12" bestFit="1" customWidth="1"/>
    <col min="777" max="777" width="4.125" style="12" customWidth="1"/>
    <col min="778" max="778" width="8.5" style="12" customWidth="1"/>
    <col min="779" max="779" width="40" style="12" customWidth="1"/>
    <col min="780" max="780" width="6.375" style="12" customWidth="1"/>
    <col min="781" max="781" width="6.625" style="12" bestFit="1" customWidth="1"/>
    <col min="782" max="782" width="8.25" style="12" bestFit="1" customWidth="1"/>
    <col min="783" max="783" width="4.125" style="12" customWidth="1"/>
    <col min="784" max="784" width="8.5" style="12" customWidth="1"/>
    <col min="785" max="785" width="40" style="12" customWidth="1"/>
    <col min="786" max="786" width="6.375" style="12" customWidth="1"/>
    <col min="787" max="787" width="6.625" style="12" bestFit="1" customWidth="1"/>
    <col min="788" max="788" width="8.25" style="12" bestFit="1" customWidth="1"/>
    <col min="789" max="1027" width="9" style="12"/>
    <col min="1028" max="1028" width="8.5" style="12" customWidth="1"/>
    <col min="1029" max="1029" width="40" style="12" customWidth="1"/>
    <col min="1030" max="1030" width="6.375" style="12" bestFit="1" customWidth="1"/>
    <col min="1031" max="1031" width="6.625" style="12" bestFit="1" customWidth="1"/>
    <col min="1032" max="1032" width="8.25" style="12" bestFit="1" customWidth="1"/>
    <col min="1033" max="1033" width="4.125" style="12" customWidth="1"/>
    <col min="1034" max="1034" width="8.5" style="12" customWidth="1"/>
    <col min="1035" max="1035" width="40" style="12" customWidth="1"/>
    <col min="1036" max="1036" width="6.375" style="12" customWidth="1"/>
    <col min="1037" max="1037" width="6.625" style="12" bestFit="1" customWidth="1"/>
    <col min="1038" max="1038" width="8.25" style="12" bestFit="1" customWidth="1"/>
    <col min="1039" max="1039" width="4.125" style="12" customWidth="1"/>
    <col min="1040" max="1040" width="8.5" style="12" customWidth="1"/>
    <col min="1041" max="1041" width="40" style="12" customWidth="1"/>
    <col min="1042" max="1042" width="6.375" style="12" customWidth="1"/>
    <col min="1043" max="1043" width="6.625" style="12" bestFit="1" customWidth="1"/>
    <col min="1044" max="1044" width="8.25" style="12" bestFit="1" customWidth="1"/>
    <col min="1045" max="1283" width="9" style="12"/>
    <col min="1284" max="1284" width="8.5" style="12" customWidth="1"/>
    <col min="1285" max="1285" width="40" style="12" customWidth="1"/>
    <col min="1286" max="1286" width="6.375" style="12" bestFit="1" customWidth="1"/>
    <col min="1287" max="1287" width="6.625" style="12" bestFit="1" customWidth="1"/>
    <col min="1288" max="1288" width="8.25" style="12" bestFit="1" customWidth="1"/>
    <col min="1289" max="1289" width="4.125" style="12" customWidth="1"/>
    <col min="1290" max="1290" width="8.5" style="12" customWidth="1"/>
    <col min="1291" max="1291" width="40" style="12" customWidth="1"/>
    <col min="1292" max="1292" width="6.375" style="12" customWidth="1"/>
    <col min="1293" max="1293" width="6.625" style="12" bestFit="1" customWidth="1"/>
    <col min="1294" max="1294" width="8.25" style="12" bestFit="1" customWidth="1"/>
    <col min="1295" max="1295" width="4.125" style="12" customWidth="1"/>
    <col min="1296" max="1296" width="8.5" style="12" customWidth="1"/>
    <col min="1297" max="1297" width="40" style="12" customWidth="1"/>
    <col min="1298" max="1298" width="6.375" style="12" customWidth="1"/>
    <col min="1299" max="1299" width="6.625" style="12" bestFit="1" customWidth="1"/>
    <col min="1300" max="1300" width="8.25" style="12" bestFit="1" customWidth="1"/>
    <col min="1301" max="1539" width="9" style="12"/>
    <col min="1540" max="1540" width="8.5" style="12" customWidth="1"/>
    <col min="1541" max="1541" width="40" style="12" customWidth="1"/>
    <col min="1542" max="1542" width="6.375" style="12" bestFit="1" customWidth="1"/>
    <col min="1543" max="1543" width="6.625" style="12" bestFit="1" customWidth="1"/>
    <col min="1544" max="1544" width="8.25" style="12" bestFit="1" customWidth="1"/>
    <col min="1545" max="1545" width="4.125" style="12" customWidth="1"/>
    <col min="1546" max="1546" width="8.5" style="12" customWidth="1"/>
    <col min="1547" max="1547" width="40" style="12" customWidth="1"/>
    <col min="1548" max="1548" width="6.375" style="12" customWidth="1"/>
    <col min="1549" max="1549" width="6.625" style="12" bestFit="1" customWidth="1"/>
    <col min="1550" max="1550" width="8.25" style="12" bestFit="1" customWidth="1"/>
    <col min="1551" max="1551" width="4.125" style="12" customWidth="1"/>
    <col min="1552" max="1552" width="8.5" style="12" customWidth="1"/>
    <col min="1553" max="1553" width="40" style="12" customWidth="1"/>
    <col min="1554" max="1554" width="6.375" style="12" customWidth="1"/>
    <col min="1555" max="1555" width="6.625" style="12" bestFit="1" customWidth="1"/>
    <col min="1556" max="1556" width="8.25" style="12" bestFit="1" customWidth="1"/>
    <col min="1557" max="1795" width="9" style="12"/>
    <col min="1796" max="1796" width="8.5" style="12" customWidth="1"/>
    <col min="1797" max="1797" width="40" style="12" customWidth="1"/>
    <col min="1798" max="1798" width="6.375" style="12" bestFit="1" customWidth="1"/>
    <col min="1799" max="1799" width="6.625" style="12" bestFit="1" customWidth="1"/>
    <col min="1800" max="1800" width="8.25" style="12" bestFit="1" customWidth="1"/>
    <col min="1801" max="1801" width="4.125" style="12" customWidth="1"/>
    <col min="1802" max="1802" width="8.5" style="12" customWidth="1"/>
    <col min="1803" max="1803" width="40" style="12" customWidth="1"/>
    <col min="1804" max="1804" width="6.375" style="12" customWidth="1"/>
    <col min="1805" max="1805" width="6.625" style="12" bestFit="1" customWidth="1"/>
    <col min="1806" max="1806" width="8.25" style="12" bestFit="1" customWidth="1"/>
    <col min="1807" max="1807" width="4.125" style="12" customWidth="1"/>
    <col min="1808" max="1808" width="8.5" style="12" customWidth="1"/>
    <col min="1809" max="1809" width="40" style="12" customWidth="1"/>
    <col min="1810" max="1810" width="6.375" style="12" customWidth="1"/>
    <col min="1811" max="1811" width="6.625" style="12" bestFit="1" customWidth="1"/>
    <col min="1812" max="1812" width="8.25" style="12" bestFit="1" customWidth="1"/>
    <col min="1813" max="2051" width="9" style="12"/>
    <col min="2052" max="2052" width="8.5" style="12" customWidth="1"/>
    <col min="2053" max="2053" width="40" style="12" customWidth="1"/>
    <col min="2054" max="2054" width="6.375" style="12" bestFit="1" customWidth="1"/>
    <col min="2055" max="2055" width="6.625" style="12" bestFit="1" customWidth="1"/>
    <col min="2056" max="2056" width="8.25" style="12" bestFit="1" customWidth="1"/>
    <col min="2057" max="2057" width="4.125" style="12" customWidth="1"/>
    <col min="2058" max="2058" width="8.5" style="12" customWidth="1"/>
    <col min="2059" max="2059" width="40" style="12" customWidth="1"/>
    <col min="2060" max="2060" width="6.375" style="12" customWidth="1"/>
    <col min="2061" max="2061" width="6.625" style="12" bestFit="1" customWidth="1"/>
    <col min="2062" max="2062" width="8.25" style="12" bestFit="1" customWidth="1"/>
    <col min="2063" max="2063" width="4.125" style="12" customWidth="1"/>
    <col min="2064" max="2064" width="8.5" style="12" customWidth="1"/>
    <col min="2065" max="2065" width="40" style="12" customWidth="1"/>
    <col min="2066" max="2066" width="6.375" style="12" customWidth="1"/>
    <col min="2067" max="2067" width="6.625" style="12" bestFit="1" customWidth="1"/>
    <col min="2068" max="2068" width="8.25" style="12" bestFit="1" customWidth="1"/>
    <col min="2069" max="2307" width="9" style="12"/>
    <col min="2308" max="2308" width="8.5" style="12" customWidth="1"/>
    <col min="2309" max="2309" width="40" style="12" customWidth="1"/>
    <col min="2310" max="2310" width="6.375" style="12" bestFit="1" customWidth="1"/>
    <col min="2311" max="2311" width="6.625" style="12" bestFit="1" customWidth="1"/>
    <col min="2312" max="2312" width="8.25" style="12" bestFit="1" customWidth="1"/>
    <col min="2313" max="2313" width="4.125" style="12" customWidth="1"/>
    <col min="2314" max="2314" width="8.5" style="12" customWidth="1"/>
    <col min="2315" max="2315" width="40" style="12" customWidth="1"/>
    <col min="2316" max="2316" width="6.375" style="12" customWidth="1"/>
    <col min="2317" max="2317" width="6.625" style="12" bestFit="1" customWidth="1"/>
    <col min="2318" max="2318" width="8.25" style="12" bestFit="1" customWidth="1"/>
    <col min="2319" max="2319" width="4.125" style="12" customWidth="1"/>
    <col min="2320" max="2320" width="8.5" style="12" customWidth="1"/>
    <col min="2321" max="2321" width="40" style="12" customWidth="1"/>
    <col min="2322" max="2322" width="6.375" style="12" customWidth="1"/>
    <col min="2323" max="2323" width="6.625" style="12" bestFit="1" customWidth="1"/>
    <col min="2324" max="2324" width="8.25" style="12" bestFit="1" customWidth="1"/>
    <col min="2325" max="2563" width="9" style="12"/>
    <col min="2564" max="2564" width="8.5" style="12" customWidth="1"/>
    <col min="2565" max="2565" width="40" style="12" customWidth="1"/>
    <col min="2566" max="2566" width="6.375" style="12" bestFit="1" customWidth="1"/>
    <col min="2567" max="2567" width="6.625" style="12" bestFit="1" customWidth="1"/>
    <col min="2568" max="2568" width="8.25" style="12" bestFit="1" customWidth="1"/>
    <col min="2569" max="2569" width="4.125" style="12" customWidth="1"/>
    <col min="2570" max="2570" width="8.5" style="12" customWidth="1"/>
    <col min="2571" max="2571" width="40" style="12" customWidth="1"/>
    <col min="2572" max="2572" width="6.375" style="12" customWidth="1"/>
    <col min="2573" max="2573" width="6.625" style="12" bestFit="1" customWidth="1"/>
    <col min="2574" max="2574" width="8.25" style="12" bestFit="1" customWidth="1"/>
    <col min="2575" max="2575" width="4.125" style="12" customWidth="1"/>
    <col min="2576" max="2576" width="8.5" style="12" customWidth="1"/>
    <col min="2577" max="2577" width="40" style="12" customWidth="1"/>
    <col min="2578" max="2578" width="6.375" style="12" customWidth="1"/>
    <col min="2579" max="2579" width="6.625" style="12" bestFit="1" customWidth="1"/>
    <col min="2580" max="2580" width="8.25" style="12" bestFit="1" customWidth="1"/>
    <col min="2581" max="2819" width="9" style="12"/>
    <col min="2820" max="2820" width="8.5" style="12" customWidth="1"/>
    <col min="2821" max="2821" width="40" style="12" customWidth="1"/>
    <col min="2822" max="2822" width="6.375" style="12" bestFit="1" customWidth="1"/>
    <col min="2823" max="2823" width="6.625" style="12" bestFit="1" customWidth="1"/>
    <col min="2824" max="2824" width="8.25" style="12" bestFit="1" customWidth="1"/>
    <col min="2825" max="2825" width="4.125" style="12" customWidth="1"/>
    <col min="2826" max="2826" width="8.5" style="12" customWidth="1"/>
    <col min="2827" max="2827" width="40" style="12" customWidth="1"/>
    <col min="2828" max="2828" width="6.375" style="12" customWidth="1"/>
    <col min="2829" max="2829" width="6.625" style="12" bestFit="1" customWidth="1"/>
    <col min="2830" max="2830" width="8.25" style="12" bestFit="1" customWidth="1"/>
    <col min="2831" max="2831" width="4.125" style="12" customWidth="1"/>
    <col min="2832" max="2832" width="8.5" style="12" customWidth="1"/>
    <col min="2833" max="2833" width="40" style="12" customWidth="1"/>
    <col min="2834" max="2834" width="6.375" style="12" customWidth="1"/>
    <col min="2835" max="2835" width="6.625" style="12" bestFit="1" customWidth="1"/>
    <col min="2836" max="2836" width="8.25" style="12" bestFit="1" customWidth="1"/>
    <col min="2837" max="3075" width="9" style="12"/>
    <col min="3076" max="3076" width="8.5" style="12" customWidth="1"/>
    <col min="3077" max="3077" width="40" style="12" customWidth="1"/>
    <col min="3078" max="3078" width="6.375" style="12" bestFit="1" customWidth="1"/>
    <col min="3079" max="3079" width="6.625" style="12" bestFit="1" customWidth="1"/>
    <col min="3080" max="3080" width="8.25" style="12" bestFit="1" customWidth="1"/>
    <col min="3081" max="3081" width="4.125" style="12" customWidth="1"/>
    <col min="3082" max="3082" width="8.5" style="12" customWidth="1"/>
    <col min="3083" max="3083" width="40" style="12" customWidth="1"/>
    <col min="3084" max="3084" width="6.375" style="12" customWidth="1"/>
    <col min="3085" max="3085" width="6.625" style="12" bestFit="1" customWidth="1"/>
    <col min="3086" max="3086" width="8.25" style="12" bestFit="1" customWidth="1"/>
    <col min="3087" max="3087" width="4.125" style="12" customWidth="1"/>
    <col min="3088" max="3088" width="8.5" style="12" customWidth="1"/>
    <col min="3089" max="3089" width="40" style="12" customWidth="1"/>
    <col min="3090" max="3090" width="6.375" style="12" customWidth="1"/>
    <col min="3091" max="3091" width="6.625" style="12" bestFit="1" customWidth="1"/>
    <col min="3092" max="3092" width="8.25" style="12" bestFit="1" customWidth="1"/>
    <col min="3093" max="3331" width="9" style="12"/>
    <col min="3332" max="3332" width="8.5" style="12" customWidth="1"/>
    <col min="3333" max="3333" width="40" style="12" customWidth="1"/>
    <col min="3334" max="3334" width="6.375" style="12" bestFit="1" customWidth="1"/>
    <col min="3335" max="3335" width="6.625" style="12" bestFit="1" customWidth="1"/>
    <col min="3336" max="3336" width="8.25" style="12" bestFit="1" customWidth="1"/>
    <col min="3337" max="3337" width="4.125" style="12" customWidth="1"/>
    <col min="3338" max="3338" width="8.5" style="12" customWidth="1"/>
    <col min="3339" max="3339" width="40" style="12" customWidth="1"/>
    <col min="3340" max="3340" width="6.375" style="12" customWidth="1"/>
    <col min="3341" max="3341" width="6.625" style="12" bestFit="1" customWidth="1"/>
    <col min="3342" max="3342" width="8.25" style="12" bestFit="1" customWidth="1"/>
    <col min="3343" max="3343" width="4.125" style="12" customWidth="1"/>
    <col min="3344" max="3344" width="8.5" style="12" customWidth="1"/>
    <col min="3345" max="3345" width="40" style="12" customWidth="1"/>
    <col min="3346" max="3346" width="6.375" style="12" customWidth="1"/>
    <col min="3347" max="3347" width="6.625" style="12" bestFit="1" customWidth="1"/>
    <col min="3348" max="3348" width="8.25" style="12" bestFit="1" customWidth="1"/>
    <col min="3349" max="3587" width="9" style="12"/>
    <col min="3588" max="3588" width="8.5" style="12" customWidth="1"/>
    <col min="3589" max="3589" width="40" style="12" customWidth="1"/>
    <col min="3590" max="3590" width="6.375" style="12" bestFit="1" customWidth="1"/>
    <col min="3591" max="3591" width="6.625" style="12" bestFit="1" customWidth="1"/>
    <col min="3592" max="3592" width="8.25" style="12" bestFit="1" customWidth="1"/>
    <col min="3593" max="3593" width="4.125" style="12" customWidth="1"/>
    <col min="3594" max="3594" width="8.5" style="12" customWidth="1"/>
    <col min="3595" max="3595" width="40" style="12" customWidth="1"/>
    <col min="3596" max="3596" width="6.375" style="12" customWidth="1"/>
    <col min="3597" max="3597" width="6.625" style="12" bestFit="1" customWidth="1"/>
    <col min="3598" max="3598" width="8.25" style="12" bestFit="1" customWidth="1"/>
    <col min="3599" max="3599" width="4.125" style="12" customWidth="1"/>
    <col min="3600" max="3600" width="8.5" style="12" customWidth="1"/>
    <col min="3601" max="3601" width="40" style="12" customWidth="1"/>
    <col min="3602" max="3602" width="6.375" style="12" customWidth="1"/>
    <col min="3603" max="3603" width="6.625" style="12" bestFit="1" customWidth="1"/>
    <col min="3604" max="3604" width="8.25" style="12" bestFit="1" customWidth="1"/>
    <col min="3605" max="3843" width="9" style="12"/>
    <col min="3844" max="3844" width="8.5" style="12" customWidth="1"/>
    <col min="3845" max="3845" width="40" style="12" customWidth="1"/>
    <col min="3846" max="3846" width="6.375" style="12" bestFit="1" customWidth="1"/>
    <col min="3847" max="3847" width="6.625" style="12" bestFit="1" customWidth="1"/>
    <col min="3848" max="3848" width="8.25" style="12" bestFit="1" customWidth="1"/>
    <col min="3849" max="3849" width="4.125" style="12" customWidth="1"/>
    <col min="3850" max="3850" width="8.5" style="12" customWidth="1"/>
    <col min="3851" max="3851" width="40" style="12" customWidth="1"/>
    <col min="3852" max="3852" width="6.375" style="12" customWidth="1"/>
    <col min="3853" max="3853" width="6.625" style="12" bestFit="1" customWidth="1"/>
    <col min="3854" max="3854" width="8.25" style="12" bestFit="1" customWidth="1"/>
    <col min="3855" max="3855" width="4.125" style="12" customWidth="1"/>
    <col min="3856" max="3856" width="8.5" style="12" customWidth="1"/>
    <col min="3857" max="3857" width="40" style="12" customWidth="1"/>
    <col min="3858" max="3858" width="6.375" style="12" customWidth="1"/>
    <col min="3859" max="3859" width="6.625" style="12" bestFit="1" customWidth="1"/>
    <col min="3860" max="3860" width="8.25" style="12" bestFit="1" customWidth="1"/>
    <col min="3861" max="4099" width="9" style="12"/>
    <col min="4100" max="4100" width="8.5" style="12" customWidth="1"/>
    <col min="4101" max="4101" width="40" style="12" customWidth="1"/>
    <col min="4102" max="4102" width="6.375" style="12" bestFit="1" customWidth="1"/>
    <col min="4103" max="4103" width="6.625" style="12" bestFit="1" customWidth="1"/>
    <col min="4104" max="4104" width="8.25" style="12" bestFit="1" customWidth="1"/>
    <col min="4105" max="4105" width="4.125" style="12" customWidth="1"/>
    <col min="4106" max="4106" width="8.5" style="12" customWidth="1"/>
    <col min="4107" max="4107" width="40" style="12" customWidth="1"/>
    <col min="4108" max="4108" width="6.375" style="12" customWidth="1"/>
    <col min="4109" max="4109" width="6.625" style="12" bestFit="1" customWidth="1"/>
    <col min="4110" max="4110" width="8.25" style="12" bestFit="1" customWidth="1"/>
    <col min="4111" max="4111" width="4.125" style="12" customWidth="1"/>
    <col min="4112" max="4112" width="8.5" style="12" customWidth="1"/>
    <col min="4113" max="4113" width="40" style="12" customWidth="1"/>
    <col min="4114" max="4114" width="6.375" style="12" customWidth="1"/>
    <col min="4115" max="4115" width="6.625" style="12" bestFit="1" customWidth="1"/>
    <col min="4116" max="4116" width="8.25" style="12" bestFit="1" customWidth="1"/>
    <col min="4117" max="4355" width="9" style="12"/>
    <col min="4356" max="4356" width="8.5" style="12" customWidth="1"/>
    <col min="4357" max="4357" width="40" style="12" customWidth="1"/>
    <col min="4358" max="4358" width="6.375" style="12" bestFit="1" customWidth="1"/>
    <col min="4359" max="4359" width="6.625" style="12" bestFit="1" customWidth="1"/>
    <col min="4360" max="4360" width="8.25" style="12" bestFit="1" customWidth="1"/>
    <col min="4361" max="4361" width="4.125" style="12" customWidth="1"/>
    <col min="4362" max="4362" width="8.5" style="12" customWidth="1"/>
    <col min="4363" max="4363" width="40" style="12" customWidth="1"/>
    <col min="4364" max="4364" width="6.375" style="12" customWidth="1"/>
    <col min="4365" max="4365" width="6.625" style="12" bestFit="1" customWidth="1"/>
    <col min="4366" max="4366" width="8.25" style="12" bestFit="1" customWidth="1"/>
    <col min="4367" max="4367" width="4.125" style="12" customWidth="1"/>
    <col min="4368" max="4368" width="8.5" style="12" customWidth="1"/>
    <col min="4369" max="4369" width="40" style="12" customWidth="1"/>
    <col min="4370" max="4370" width="6.375" style="12" customWidth="1"/>
    <col min="4371" max="4371" width="6.625" style="12" bestFit="1" customWidth="1"/>
    <col min="4372" max="4372" width="8.25" style="12" bestFit="1" customWidth="1"/>
    <col min="4373" max="4611" width="9" style="12"/>
    <col min="4612" max="4612" width="8.5" style="12" customWidth="1"/>
    <col min="4613" max="4613" width="40" style="12" customWidth="1"/>
    <col min="4614" max="4614" width="6.375" style="12" bestFit="1" customWidth="1"/>
    <col min="4615" max="4615" width="6.625" style="12" bestFit="1" customWidth="1"/>
    <col min="4616" max="4616" width="8.25" style="12" bestFit="1" customWidth="1"/>
    <col min="4617" max="4617" width="4.125" style="12" customWidth="1"/>
    <col min="4618" max="4618" width="8.5" style="12" customWidth="1"/>
    <col min="4619" max="4619" width="40" style="12" customWidth="1"/>
    <col min="4620" max="4620" width="6.375" style="12" customWidth="1"/>
    <col min="4621" max="4621" width="6.625" style="12" bestFit="1" customWidth="1"/>
    <col min="4622" max="4622" width="8.25" style="12" bestFit="1" customWidth="1"/>
    <col min="4623" max="4623" width="4.125" style="12" customWidth="1"/>
    <col min="4624" max="4624" width="8.5" style="12" customWidth="1"/>
    <col min="4625" max="4625" width="40" style="12" customWidth="1"/>
    <col min="4626" max="4626" width="6.375" style="12" customWidth="1"/>
    <col min="4627" max="4627" width="6.625" style="12" bestFit="1" customWidth="1"/>
    <col min="4628" max="4628" width="8.25" style="12" bestFit="1" customWidth="1"/>
    <col min="4629" max="4867" width="9" style="12"/>
    <col min="4868" max="4868" width="8.5" style="12" customWidth="1"/>
    <col min="4869" max="4869" width="40" style="12" customWidth="1"/>
    <col min="4870" max="4870" width="6.375" style="12" bestFit="1" customWidth="1"/>
    <col min="4871" max="4871" width="6.625" style="12" bestFit="1" customWidth="1"/>
    <col min="4872" max="4872" width="8.25" style="12" bestFit="1" customWidth="1"/>
    <col min="4873" max="4873" width="4.125" style="12" customWidth="1"/>
    <col min="4874" max="4874" width="8.5" style="12" customWidth="1"/>
    <col min="4875" max="4875" width="40" style="12" customWidth="1"/>
    <col min="4876" max="4876" width="6.375" style="12" customWidth="1"/>
    <col min="4877" max="4877" width="6.625" style="12" bestFit="1" customWidth="1"/>
    <col min="4878" max="4878" width="8.25" style="12" bestFit="1" customWidth="1"/>
    <col min="4879" max="4879" width="4.125" style="12" customWidth="1"/>
    <col min="4880" max="4880" width="8.5" style="12" customWidth="1"/>
    <col min="4881" max="4881" width="40" style="12" customWidth="1"/>
    <col min="4882" max="4882" width="6.375" style="12" customWidth="1"/>
    <col min="4883" max="4883" width="6.625" style="12" bestFit="1" customWidth="1"/>
    <col min="4884" max="4884" width="8.25" style="12" bestFit="1" customWidth="1"/>
    <col min="4885" max="5123" width="9" style="12"/>
    <col min="5124" max="5124" width="8.5" style="12" customWidth="1"/>
    <col min="5125" max="5125" width="40" style="12" customWidth="1"/>
    <col min="5126" max="5126" width="6.375" style="12" bestFit="1" customWidth="1"/>
    <col min="5127" max="5127" width="6.625" style="12" bestFit="1" customWidth="1"/>
    <col min="5128" max="5128" width="8.25" style="12" bestFit="1" customWidth="1"/>
    <col min="5129" max="5129" width="4.125" style="12" customWidth="1"/>
    <col min="5130" max="5130" width="8.5" style="12" customWidth="1"/>
    <col min="5131" max="5131" width="40" style="12" customWidth="1"/>
    <col min="5132" max="5132" width="6.375" style="12" customWidth="1"/>
    <col min="5133" max="5133" width="6.625" style="12" bestFit="1" customWidth="1"/>
    <col min="5134" max="5134" width="8.25" style="12" bestFit="1" customWidth="1"/>
    <col min="5135" max="5135" width="4.125" style="12" customWidth="1"/>
    <col min="5136" max="5136" width="8.5" style="12" customWidth="1"/>
    <col min="5137" max="5137" width="40" style="12" customWidth="1"/>
    <col min="5138" max="5138" width="6.375" style="12" customWidth="1"/>
    <col min="5139" max="5139" width="6.625" style="12" bestFit="1" customWidth="1"/>
    <col min="5140" max="5140" width="8.25" style="12" bestFit="1" customWidth="1"/>
    <col min="5141" max="5379" width="9" style="12"/>
    <col min="5380" max="5380" width="8.5" style="12" customWidth="1"/>
    <col min="5381" max="5381" width="40" style="12" customWidth="1"/>
    <col min="5382" max="5382" width="6.375" style="12" bestFit="1" customWidth="1"/>
    <col min="5383" max="5383" width="6.625" style="12" bestFit="1" customWidth="1"/>
    <col min="5384" max="5384" width="8.25" style="12" bestFit="1" customWidth="1"/>
    <col min="5385" max="5385" width="4.125" style="12" customWidth="1"/>
    <col min="5386" max="5386" width="8.5" style="12" customWidth="1"/>
    <col min="5387" max="5387" width="40" style="12" customWidth="1"/>
    <col min="5388" max="5388" width="6.375" style="12" customWidth="1"/>
    <col min="5389" max="5389" width="6.625" style="12" bestFit="1" customWidth="1"/>
    <col min="5390" max="5390" width="8.25" style="12" bestFit="1" customWidth="1"/>
    <col min="5391" max="5391" width="4.125" style="12" customWidth="1"/>
    <col min="5392" max="5392" width="8.5" style="12" customWidth="1"/>
    <col min="5393" max="5393" width="40" style="12" customWidth="1"/>
    <col min="5394" max="5394" width="6.375" style="12" customWidth="1"/>
    <col min="5395" max="5395" width="6.625" style="12" bestFit="1" customWidth="1"/>
    <col min="5396" max="5396" width="8.25" style="12" bestFit="1" customWidth="1"/>
    <col min="5397" max="5635" width="9" style="12"/>
    <col min="5636" max="5636" width="8.5" style="12" customWidth="1"/>
    <col min="5637" max="5637" width="40" style="12" customWidth="1"/>
    <col min="5638" max="5638" width="6.375" style="12" bestFit="1" customWidth="1"/>
    <col min="5639" max="5639" width="6.625" style="12" bestFit="1" customWidth="1"/>
    <col min="5640" max="5640" width="8.25" style="12" bestFit="1" customWidth="1"/>
    <col min="5641" max="5641" width="4.125" style="12" customWidth="1"/>
    <col min="5642" max="5642" width="8.5" style="12" customWidth="1"/>
    <col min="5643" max="5643" width="40" style="12" customWidth="1"/>
    <col min="5644" max="5644" width="6.375" style="12" customWidth="1"/>
    <col min="5645" max="5645" width="6.625" style="12" bestFit="1" customWidth="1"/>
    <col min="5646" max="5646" width="8.25" style="12" bestFit="1" customWidth="1"/>
    <col min="5647" max="5647" width="4.125" style="12" customWidth="1"/>
    <col min="5648" max="5648" width="8.5" style="12" customWidth="1"/>
    <col min="5649" max="5649" width="40" style="12" customWidth="1"/>
    <col min="5650" max="5650" width="6.375" style="12" customWidth="1"/>
    <col min="5651" max="5651" width="6.625" style="12" bestFit="1" customWidth="1"/>
    <col min="5652" max="5652" width="8.25" style="12" bestFit="1" customWidth="1"/>
    <col min="5653" max="5891" width="9" style="12"/>
    <col min="5892" max="5892" width="8.5" style="12" customWidth="1"/>
    <col min="5893" max="5893" width="40" style="12" customWidth="1"/>
    <col min="5894" max="5894" width="6.375" style="12" bestFit="1" customWidth="1"/>
    <col min="5895" max="5895" width="6.625" style="12" bestFit="1" customWidth="1"/>
    <col min="5896" max="5896" width="8.25" style="12" bestFit="1" customWidth="1"/>
    <col min="5897" max="5897" width="4.125" style="12" customWidth="1"/>
    <col min="5898" max="5898" width="8.5" style="12" customWidth="1"/>
    <col min="5899" max="5899" width="40" style="12" customWidth="1"/>
    <col min="5900" max="5900" width="6.375" style="12" customWidth="1"/>
    <col min="5901" max="5901" width="6.625" style="12" bestFit="1" customWidth="1"/>
    <col min="5902" max="5902" width="8.25" style="12" bestFit="1" customWidth="1"/>
    <col min="5903" max="5903" width="4.125" style="12" customWidth="1"/>
    <col min="5904" max="5904" width="8.5" style="12" customWidth="1"/>
    <col min="5905" max="5905" width="40" style="12" customWidth="1"/>
    <col min="5906" max="5906" width="6.375" style="12" customWidth="1"/>
    <col min="5907" max="5907" width="6.625" style="12" bestFit="1" customWidth="1"/>
    <col min="5908" max="5908" width="8.25" style="12" bestFit="1" customWidth="1"/>
    <col min="5909" max="6147" width="9" style="12"/>
    <col min="6148" max="6148" width="8.5" style="12" customWidth="1"/>
    <col min="6149" max="6149" width="40" style="12" customWidth="1"/>
    <col min="6150" max="6150" width="6.375" style="12" bestFit="1" customWidth="1"/>
    <col min="6151" max="6151" width="6.625" style="12" bestFit="1" customWidth="1"/>
    <col min="6152" max="6152" width="8.25" style="12" bestFit="1" customWidth="1"/>
    <col min="6153" max="6153" width="4.125" style="12" customWidth="1"/>
    <col min="6154" max="6154" width="8.5" style="12" customWidth="1"/>
    <col min="6155" max="6155" width="40" style="12" customWidth="1"/>
    <col min="6156" max="6156" width="6.375" style="12" customWidth="1"/>
    <col min="6157" max="6157" width="6.625" style="12" bestFit="1" customWidth="1"/>
    <col min="6158" max="6158" width="8.25" style="12" bestFit="1" customWidth="1"/>
    <col min="6159" max="6159" width="4.125" style="12" customWidth="1"/>
    <col min="6160" max="6160" width="8.5" style="12" customWidth="1"/>
    <col min="6161" max="6161" width="40" style="12" customWidth="1"/>
    <col min="6162" max="6162" width="6.375" style="12" customWidth="1"/>
    <col min="6163" max="6163" width="6.625" style="12" bestFit="1" customWidth="1"/>
    <col min="6164" max="6164" width="8.25" style="12" bestFit="1" customWidth="1"/>
    <col min="6165" max="6403" width="9" style="12"/>
    <col min="6404" max="6404" width="8.5" style="12" customWidth="1"/>
    <col min="6405" max="6405" width="40" style="12" customWidth="1"/>
    <col min="6406" max="6406" width="6.375" style="12" bestFit="1" customWidth="1"/>
    <col min="6407" max="6407" width="6.625" style="12" bestFit="1" customWidth="1"/>
    <col min="6408" max="6408" width="8.25" style="12" bestFit="1" customWidth="1"/>
    <col min="6409" max="6409" width="4.125" style="12" customWidth="1"/>
    <col min="6410" max="6410" width="8.5" style="12" customWidth="1"/>
    <col min="6411" max="6411" width="40" style="12" customWidth="1"/>
    <col min="6412" max="6412" width="6.375" style="12" customWidth="1"/>
    <col min="6413" max="6413" width="6.625" style="12" bestFit="1" customWidth="1"/>
    <col min="6414" max="6414" width="8.25" style="12" bestFit="1" customWidth="1"/>
    <col min="6415" max="6415" width="4.125" style="12" customWidth="1"/>
    <col min="6416" max="6416" width="8.5" style="12" customWidth="1"/>
    <col min="6417" max="6417" width="40" style="12" customWidth="1"/>
    <col min="6418" max="6418" width="6.375" style="12" customWidth="1"/>
    <col min="6419" max="6419" width="6.625" style="12" bestFit="1" customWidth="1"/>
    <col min="6420" max="6420" width="8.25" style="12" bestFit="1" customWidth="1"/>
    <col min="6421" max="6659" width="9" style="12"/>
    <col min="6660" max="6660" width="8.5" style="12" customWidth="1"/>
    <col min="6661" max="6661" width="40" style="12" customWidth="1"/>
    <col min="6662" max="6662" width="6.375" style="12" bestFit="1" customWidth="1"/>
    <col min="6663" max="6663" width="6.625" style="12" bestFit="1" customWidth="1"/>
    <col min="6664" max="6664" width="8.25" style="12" bestFit="1" customWidth="1"/>
    <col min="6665" max="6665" width="4.125" style="12" customWidth="1"/>
    <col min="6666" max="6666" width="8.5" style="12" customWidth="1"/>
    <col min="6667" max="6667" width="40" style="12" customWidth="1"/>
    <col min="6668" max="6668" width="6.375" style="12" customWidth="1"/>
    <col min="6669" max="6669" width="6.625" style="12" bestFit="1" customWidth="1"/>
    <col min="6670" max="6670" width="8.25" style="12" bestFit="1" customWidth="1"/>
    <col min="6671" max="6671" width="4.125" style="12" customWidth="1"/>
    <col min="6672" max="6672" width="8.5" style="12" customWidth="1"/>
    <col min="6673" max="6673" width="40" style="12" customWidth="1"/>
    <col min="6674" max="6674" width="6.375" style="12" customWidth="1"/>
    <col min="6675" max="6675" width="6.625" style="12" bestFit="1" customWidth="1"/>
    <col min="6676" max="6676" width="8.25" style="12" bestFit="1" customWidth="1"/>
    <col min="6677" max="6915" width="9" style="12"/>
    <col min="6916" max="6916" width="8.5" style="12" customWidth="1"/>
    <col min="6917" max="6917" width="40" style="12" customWidth="1"/>
    <col min="6918" max="6918" width="6.375" style="12" bestFit="1" customWidth="1"/>
    <col min="6919" max="6919" width="6.625" style="12" bestFit="1" customWidth="1"/>
    <col min="6920" max="6920" width="8.25" style="12" bestFit="1" customWidth="1"/>
    <col min="6921" max="6921" width="4.125" style="12" customWidth="1"/>
    <col min="6922" max="6922" width="8.5" style="12" customWidth="1"/>
    <col min="6923" max="6923" width="40" style="12" customWidth="1"/>
    <col min="6924" max="6924" width="6.375" style="12" customWidth="1"/>
    <col min="6925" max="6925" width="6.625" style="12" bestFit="1" customWidth="1"/>
    <col min="6926" max="6926" width="8.25" style="12" bestFit="1" customWidth="1"/>
    <col min="6927" max="6927" width="4.125" style="12" customWidth="1"/>
    <col min="6928" max="6928" width="8.5" style="12" customWidth="1"/>
    <col min="6929" max="6929" width="40" style="12" customWidth="1"/>
    <col min="6930" max="6930" width="6.375" style="12" customWidth="1"/>
    <col min="6931" max="6931" width="6.625" style="12" bestFit="1" customWidth="1"/>
    <col min="6932" max="6932" width="8.25" style="12" bestFit="1" customWidth="1"/>
    <col min="6933" max="7171" width="9" style="12"/>
    <col min="7172" max="7172" width="8.5" style="12" customWidth="1"/>
    <col min="7173" max="7173" width="40" style="12" customWidth="1"/>
    <col min="7174" max="7174" width="6.375" style="12" bestFit="1" customWidth="1"/>
    <col min="7175" max="7175" width="6.625" style="12" bestFit="1" customWidth="1"/>
    <col min="7176" max="7176" width="8.25" style="12" bestFit="1" customWidth="1"/>
    <col min="7177" max="7177" width="4.125" style="12" customWidth="1"/>
    <col min="7178" max="7178" width="8.5" style="12" customWidth="1"/>
    <col min="7179" max="7179" width="40" style="12" customWidth="1"/>
    <col min="7180" max="7180" width="6.375" style="12" customWidth="1"/>
    <col min="7181" max="7181" width="6.625" style="12" bestFit="1" customWidth="1"/>
    <col min="7182" max="7182" width="8.25" style="12" bestFit="1" customWidth="1"/>
    <col min="7183" max="7183" width="4.125" style="12" customWidth="1"/>
    <col min="7184" max="7184" width="8.5" style="12" customWidth="1"/>
    <col min="7185" max="7185" width="40" style="12" customWidth="1"/>
    <col min="7186" max="7186" width="6.375" style="12" customWidth="1"/>
    <col min="7187" max="7187" width="6.625" style="12" bestFit="1" customWidth="1"/>
    <col min="7188" max="7188" width="8.25" style="12" bestFit="1" customWidth="1"/>
    <col min="7189" max="7427" width="9" style="12"/>
    <col min="7428" max="7428" width="8.5" style="12" customWidth="1"/>
    <col min="7429" max="7429" width="40" style="12" customWidth="1"/>
    <col min="7430" max="7430" width="6.375" style="12" bestFit="1" customWidth="1"/>
    <col min="7431" max="7431" width="6.625" style="12" bestFit="1" customWidth="1"/>
    <col min="7432" max="7432" width="8.25" style="12" bestFit="1" customWidth="1"/>
    <col min="7433" max="7433" width="4.125" style="12" customWidth="1"/>
    <col min="7434" max="7434" width="8.5" style="12" customWidth="1"/>
    <col min="7435" max="7435" width="40" style="12" customWidth="1"/>
    <col min="7436" max="7436" width="6.375" style="12" customWidth="1"/>
    <col min="7437" max="7437" width="6.625" style="12" bestFit="1" customWidth="1"/>
    <col min="7438" max="7438" width="8.25" style="12" bestFit="1" customWidth="1"/>
    <col min="7439" max="7439" width="4.125" style="12" customWidth="1"/>
    <col min="7440" max="7440" width="8.5" style="12" customWidth="1"/>
    <col min="7441" max="7441" width="40" style="12" customWidth="1"/>
    <col min="7442" max="7442" width="6.375" style="12" customWidth="1"/>
    <col min="7443" max="7443" width="6.625" style="12" bestFit="1" customWidth="1"/>
    <col min="7444" max="7444" width="8.25" style="12" bestFit="1" customWidth="1"/>
    <col min="7445" max="7683" width="9" style="12"/>
    <col min="7684" max="7684" width="8.5" style="12" customWidth="1"/>
    <col min="7685" max="7685" width="40" style="12" customWidth="1"/>
    <col min="7686" max="7686" width="6.375" style="12" bestFit="1" customWidth="1"/>
    <col min="7687" max="7687" width="6.625" style="12" bestFit="1" customWidth="1"/>
    <col min="7688" max="7688" width="8.25" style="12" bestFit="1" customWidth="1"/>
    <col min="7689" max="7689" width="4.125" style="12" customWidth="1"/>
    <col min="7690" max="7690" width="8.5" style="12" customWidth="1"/>
    <col min="7691" max="7691" width="40" style="12" customWidth="1"/>
    <col min="7692" max="7692" width="6.375" style="12" customWidth="1"/>
    <col min="7693" max="7693" width="6.625" style="12" bestFit="1" customWidth="1"/>
    <col min="7694" max="7694" width="8.25" style="12" bestFit="1" customWidth="1"/>
    <col min="7695" max="7695" width="4.125" style="12" customWidth="1"/>
    <col min="7696" max="7696" width="8.5" style="12" customWidth="1"/>
    <col min="7697" max="7697" width="40" style="12" customWidth="1"/>
    <col min="7698" max="7698" width="6.375" style="12" customWidth="1"/>
    <col min="7699" max="7699" width="6.625" style="12" bestFit="1" customWidth="1"/>
    <col min="7700" max="7700" width="8.25" style="12" bestFit="1" customWidth="1"/>
    <col min="7701" max="7939" width="9" style="12"/>
    <col min="7940" max="7940" width="8.5" style="12" customWidth="1"/>
    <col min="7941" max="7941" width="40" style="12" customWidth="1"/>
    <col min="7942" max="7942" width="6.375" style="12" bestFit="1" customWidth="1"/>
    <col min="7943" max="7943" width="6.625" style="12" bestFit="1" customWidth="1"/>
    <col min="7944" max="7944" width="8.25" style="12" bestFit="1" customWidth="1"/>
    <col min="7945" max="7945" width="4.125" style="12" customWidth="1"/>
    <col min="7946" max="7946" width="8.5" style="12" customWidth="1"/>
    <col min="7947" max="7947" width="40" style="12" customWidth="1"/>
    <col min="7948" max="7948" width="6.375" style="12" customWidth="1"/>
    <col min="7949" max="7949" width="6.625" style="12" bestFit="1" customWidth="1"/>
    <col min="7950" max="7950" width="8.25" style="12" bestFit="1" customWidth="1"/>
    <col min="7951" max="7951" width="4.125" style="12" customWidth="1"/>
    <col min="7952" max="7952" width="8.5" style="12" customWidth="1"/>
    <col min="7953" max="7953" width="40" style="12" customWidth="1"/>
    <col min="7954" max="7954" width="6.375" style="12" customWidth="1"/>
    <col min="7955" max="7955" width="6.625" style="12" bestFit="1" customWidth="1"/>
    <col min="7956" max="7956" width="8.25" style="12" bestFit="1" customWidth="1"/>
    <col min="7957" max="8195" width="9" style="12"/>
    <col min="8196" max="8196" width="8.5" style="12" customWidth="1"/>
    <col min="8197" max="8197" width="40" style="12" customWidth="1"/>
    <col min="8198" max="8198" width="6.375" style="12" bestFit="1" customWidth="1"/>
    <col min="8199" max="8199" width="6.625" style="12" bestFit="1" customWidth="1"/>
    <col min="8200" max="8200" width="8.25" style="12" bestFit="1" customWidth="1"/>
    <col min="8201" max="8201" width="4.125" style="12" customWidth="1"/>
    <col min="8202" max="8202" width="8.5" style="12" customWidth="1"/>
    <col min="8203" max="8203" width="40" style="12" customWidth="1"/>
    <col min="8204" max="8204" width="6.375" style="12" customWidth="1"/>
    <col min="8205" max="8205" width="6.625" style="12" bestFit="1" customWidth="1"/>
    <col min="8206" max="8206" width="8.25" style="12" bestFit="1" customWidth="1"/>
    <col min="8207" max="8207" width="4.125" style="12" customWidth="1"/>
    <col min="8208" max="8208" width="8.5" style="12" customWidth="1"/>
    <col min="8209" max="8209" width="40" style="12" customWidth="1"/>
    <col min="8210" max="8210" width="6.375" style="12" customWidth="1"/>
    <col min="8211" max="8211" width="6.625" style="12" bestFit="1" customWidth="1"/>
    <col min="8212" max="8212" width="8.25" style="12" bestFit="1" customWidth="1"/>
    <col min="8213" max="8451" width="9" style="12"/>
    <col min="8452" max="8452" width="8.5" style="12" customWidth="1"/>
    <col min="8453" max="8453" width="40" style="12" customWidth="1"/>
    <col min="8454" max="8454" width="6.375" style="12" bestFit="1" customWidth="1"/>
    <col min="8455" max="8455" width="6.625" style="12" bestFit="1" customWidth="1"/>
    <col min="8456" max="8456" width="8.25" style="12" bestFit="1" customWidth="1"/>
    <col min="8457" max="8457" width="4.125" style="12" customWidth="1"/>
    <col min="8458" max="8458" width="8.5" style="12" customWidth="1"/>
    <col min="8459" max="8459" width="40" style="12" customWidth="1"/>
    <col min="8460" max="8460" width="6.375" style="12" customWidth="1"/>
    <col min="8461" max="8461" width="6.625" style="12" bestFit="1" customWidth="1"/>
    <col min="8462" max="8462" width="8.25" style="12" bestFit="1" customWidth="1"/>
    <col min="8463" max="8463" width="4.125" style="12" customWidth="1"/>
    <col min="8464" max="8464" width="8.5" style="12" customWidth="1"/>
    <col min="8465" max="8465" width="40" style="12" customWidth="1"/>
    <col min="8466" max="8466" width="6.375" style="12" customWidth="1"/>
    <col min="8467" max="8467" width="6.625" style="12" bestFit="1" customWidth="1"/>
    <col min="8468" max="8468" width="8.25" style="12" bestFit="1" customWidth="1"/>
    <col min="8469" max="8707" width="9" style="12"/>
    <col min="8708" max="8708" width="8.5" style="12" customWidth="1"/>
    <col min="8709" max="8709" width="40" style="12" customWidth="1"/>
    <col min="8710" max="8710" width="6.375" style="12" bestFit="1" customWidth="1"/>
    <col min="8711" max="8711" width="6.625" style="12" bestFit="1" customWidth="1"/>
    <col min="8712" max="8712" width="8.25" style="12" bestFit="1" customWidth="1"/>
    <col min="8713" max="8713" width="4.125" style="12" customWidth="1"/>
    <col min="8714" max="8714" width="8.5" style="12" customWidth="1"/>
    <col min="8715" max="8715" width="40" style="12" customWidth="1"/>
    <col min="8716" max="8716" width="6.375" style="12" customWidth="1"/>
    <col min="8717" max="8717" width="6.625" style="12" bestFit="1" customWidth="1"/>
    <col min="8718" max="8718" width="8.25" style="12" bestFit="1" customWidth="1"/>
    <col min="8719" max="8719" width="4.125" style="12" customWidth="1"/>
    <col min="8720" max="8720" width="8.5" style="12" customWidth="1"/>
    <col min="8721" max="8721" width="40" style="12" customWidth="1"/>
    <col min="8722" max="8722" width="6.375" style="12" customWidth="1"/>
    <col min="8723" max="8723" width="6.625" style="12" bestFit="1" customWidth="1"/>
    <col min="8724" max="8724" width="8.25" style="12" bestFit="1" customWidth="1"/>
    <col min="8725" max="8963" width="9" style="12"/>
    <col min="8964" max="8964" width="8.5" style="12" customWidth="1"/>
    <col min="8965" max="8965" width="40" style="12" customWidth="1"/>
    <col min="8966" max="8966" width="6.375" style="12" bestFit="1" customWidth="1"/>
    <col min="8967" max="8967" width="6.625" style="12" bestFit="1" customWidth="1"/>
    <col min="8968" max="8968" width="8.25" style="12" bestFit="1" customWidth="1"/>
    <col min="8969" max="8969" width="4.125" style="12" customWidth="1"/>
    <col min="8970" max="8970" width="8.5" style="12" customWidth="1"/>
    <col min="8971" max="8971" width="40" style="12" customWidth="1"/>
    <col min="8972" max="8972" width="6.375" style="12" customWidth="1"/>
    <col min="8973" max="8973" width="6.625" style="12" bestFit="1" customWidth="1"/>
    <col min="8974" max="8974" width="8.25" style="12" bestFit="1" customWidth="1"/>
    <col min="8975" max="8975" width="4.125" style="12" customWidth="1"/>
    <col min="8976" max="8976" width="8.5" style="12" customWidth="1"/>
    <col min="8977" max="8977" width="40" style="12" customWidth="1"/>
    <col min="8978" max="8978" width="6.375" style="12" customWidth="1"/>
    <col min="8979" max="8979" width="6.625" style="12" bestFit="1" customWidth="1"/>
    <col min="8980" max="8980" width="8.25" style="12" bestFit="1" customWidth="1"/>
    <col min="8981" max="9219" width="9" style="12"/>
    <col min="9220" max="9220" width="8.5" style="12" customWidth="1"/>
    <col min="9221" max="9221" width="40" style="12" customWidth="1"/>
    <col min="9222" max="9222" width="6.375" style="12" bestFit="1" customWidth="1"/>
    <col min="9223" max="9223" width="6.625" style="12" bestFit="1" customWidth="1"/>
    <col min="9224" max="9224" width="8.25" style="12" bestFit="1" customWidth="1"/>
    <col min="9225" max="9225" width="4.125" style="12" customWidth="1"/>
    <col min="9226" max="9226" width="8.5" style="12" customWidth="1"/>
    <col min="9227" max="9227" width="40" style="12" customWidth="1"/>
    <col min="9228" max="9228" width="6.375" style="12" customWidth="1"/>
    <col min="9229" max="9229" width="6.625" style="12" bestFit="1" customWidth="1"/>
    <col min="9230" max="9230" width="8.25" style="12" bestFit="1" customWidth="1"/>
    <col min="9231" max="9231" width="4.125" style="12" customWidth="1"/>
    <col min="9232" max="9232" width="8.5" style="12" customWidth="1"/>
    <col min="9233" max="9233" width="40" style="12" customWidth="1"/>
    <col min="9234" max="9234" width="6.375" style="12" customWidth="1"/>
    <col min="9235" max="9235" width="6.625" style="12" bestFit="1" customWidth="1"/>
    <col min="9236" max="9236" width="8.25" style="12" bestFit="1" customWidth="1"/>
    <col min="9237" max="9475" width="9" style="12"/>
    <col min="9476" max="9476" width="8.5" style="12" customWidth="1"/>
    <col min="9477" max="9477" width="40" style="12" customWidth="1"/>
    <col min="9478" max="9478" width="6.375" style="12" bestFit="1" customWidth="1"/>
    <col min="9479" max="9479" width="6.625" style="12" bestFit="1" customWidth="1"/>
    <col min="9480" max="9480" width="8.25" style="12" bestFit="1" customWidth="1"/>
    <col min="9481" max="9481" width="4.125" style="12" customWidth="1"/>
    <col min="9482" max="9482" width="8.5" style="12" customWidth="1"/>
    <col min="9483" max="9483" width="40" style="12" customWidth="1"/>
    <col min="9484" max="9484" width="6.375" style="12" customWidth="1"/>
    <col min="9485" max="9485" width="6.625" style="12" bestFit="1" customWidth="1"/>
    <col min="9486" max="9486" width="8.25" style="12" bestFit="1" customWidth="1"/>
    <col min="9487" max="9487" width="4.125" style="12" customWidth="1"/>
    <col min="9488" max="9488" width="8.5" style="12" customWidth="1"/>
    <col min="9489" max="9489" width="40" style="12" customWidth="1"/>
    <col min="9490" max="9490" width="6.375" style="12" customWidth="1"/>
    <col min="9491" max="9491" width="6.625" style="12" bestFit="1" customWidth="1"/>
    <col min="9492" max="9492" width="8.25" style="12" bestFit="1" customWidth="1"/>
    <col min="9493" max="9731" width="9" style="12"/>
    <col min="9732" max="9732" width="8.5" style="12" customWidth="1"/>
    <col min="9733" max="9733" width="40" style="12" customWidth="1"/>
    <col min="9734" max="9734" width="6.375" style="12" bestFit="1" customWidth="1"/>
    <col min="9735" max="9735" width="6.625" style="12" bestFit="1" customWidth="1"/>
    <col min="9736" max="9736" width="8.25" style="12" bestFit="1" customWidth="1"/>
    <col min="9737" max="9737" width="4.125" style="12" customWidth="1"/>
    <col min="9738" max="9738" width="8.5" style="12" customWidth="1"/>
    <col min="9739" max="9739" width="40" style="12" customWidth="1"/>
    <col min="9740" max="9740" width="6.375" style="12" customWidth="1"/>
    <col min="9741" max="9741" width="6.625" style="12" bestFit="1" customWidth="1"/>
    <col min="9742" max="9742" width="8.25" style="12" bestFit="1" customWidth="1"/>
    <col min="9743" max="9743" width="4.125" style="12" customWidth="1"/>
    <col min="9744" max="9744" width="8.5" style="12" customWidth="1"/>
    <col min="9745" max="9745" width="40" style="12" customWidth="1"/>
    <col min="9746" max="9746" width="6.375" style="12" customWidth="1"/>
    <col min="9747" max="9747" width="6.625" style="12" bestFit="1" customWidth="1"/>
    <col min="9748" max="9748" width="8.25" style="12" bestFit="1" customWidth="1"/>
    <col min="9749" max="9987" width="9" style="12"/>
    <col min="9988" max="9988" width="8.5" style="12" customWidth="1"/>
    <col min="9989" max="9989" width="40" style="12" customWidth="1"/>
    <col min="9990" max="9990" width="6.375" style="12" bestFit="1" customWidth="1"/>
    <col min="9991" max="9991" width="6.625" style="12" bestFit="1" customWidth="1"/>
    <col min="9992" max="9992" width="8.25" style="12" bestFit="1" customWidth="1"/>
    <col min="9993" max="9993" width="4.125" style="12" customWidth="1"/>
    <col min="9994" max="9994" width="8.5" style="12" customWidth="1"/>
    <col min="9995" max="9995" width="40" style="12" customWidth="1"/>
    <col min="9996" max="9996" width="6.375" style="12" customWidth="1"/>
    <col min="9997" max="9997" width="6.625" style="12" bestFit="1" customWidth="1"/>
    <col min="9998" max="9998" width="8.25" style="12" bestFit="1" customWidth="1"/>
    <col min="9999" max="9999" width="4.125" style="12" customWidth="1"/>
    <col min="10000" max="10000" width="8.5" style="12" customWidth="1"/>
    <col min="10001" max="10001" width="40" style="12" customWidth="1"/>
    <col min="10002" max="10002" width="6.375" style="12" customWidth="1"/>
    <col min="10003" max="10003" width="6.625" style="12" bestFit="1" customWidth="1"/>
    <col min="10004" max="10004" width="8.25" style="12" bestFit="1" customWidth="1"/>
    <col min="10005" max="10243" width="9" style="12"/>
    <col min="10244" max="10244" width="8.5" style="12" customWidth="1"/>
    <col min="10245" max="10245" width="40" style="12" customWidth="1"/>
    <col min="10246" max="10246" width="6.375" style="12" bestFit="1" customWidth="1"/>
    <col min="10247" max="10247" width="6.625" style="12" bestFit="1" customWidth="1"/>
    <col min="10248" max="10248" width="8.25" style="12" bestFit="1" customWidth="1"/>
    <col min="10249" max="10249" width="4.125" style="12" customWidth="1"/>
    <col min="10250" max="10250" width="8.5" style="12" customWidth="1"/>
    <col min="10251" max="10251" width="40" style="12" customWidth="1"/>
    <col min="10252" max="10252" width="6.375" style="12" customWidth="1"/>
    <col min="10253" max="10253" width="6.625" style="12" bestFit="1" customWidth="1"/>
    <col min="10254" max="10254" width="8.25" style="12" bestFit="1" customWidth="1"/>
    <col min="10255" max="10255" width="4.125" style="12" customWidth="1"/>
    <col min="10256" max="10256" width="8.5" style="12" customWidth="1"/>
    <col min="10257" max="10257" width="40" style="12" customWidth="1"/>
    <col min="10258" max="10258" width="6.375" style="12" customWidth="1"/>
    <col min="10259" max="10259" width="6.625" style="12" bestFit="1" customWidth="1"/>
    <col min="10260" max="10260" width="8.25" style="12" bestFit="1" customWidth="1"/>
    <col min="10261" max="10499" width="9" style="12"/>
    <col min="10500" max="10500" width="8.5" style="12" customWidth="1"/>
    <col min="10501" max="10501" width="40" style="12" customWidth="1"/>
    <col min="10502" max="10502" width="6.375" style="12" bestFit="1" customWidth="1"/>
    <col min="10503" max="10503" width="6.625" style="12" bestFit="1" customWidth="1"/>
    <col min="10504" max="10504" width="8.25" style="12" bestFit="1" customWidth="1"/>
    <col min="10505" max="10505" width="4.125" style="12" customWidth="1"/>
    <col min="10506" max="10506" width="8.5" style="12" customWidth="1"/>
    <col min="10507" max="10507" width="40" style="12" customWidth="1"/>
    <col min="10508" max="10508" width="6.375" style="12" customWidth="1"/>
    <col min="10509" max="10509" width="6.625" style="12" bestFit="1" customWidth="1"/>
    <col min="10510" max="10510" width="8.25" style="12" bestFit="1" customWidth="1"/>
    <col min="10511" max="10511" width="4.125" style="12" customWidth="1"/>
    <col min="10512" max="10512" width="8.5" style="12" customWidth="1"/>
    <col min="10513" max="10513" width="40" style="12" customWidth="1"/>
    <col min="10514" max="10514" width="6.375" style="12" customWidth="1"/>
    <col min="10515" max="10515" width="6.625" style="12" bestFit="1" customWidth="1"/>
    <col min="10516" max="10516" width="8.25" style="12" bestFit="1" customWidth="1"/>
    <col min="10517" max="10755" width="9" style="12"/>
    <col min="10756" max="10756" width="8.5" style="12" customWidth="1"/>
    <col min="10757" max="10757" width="40" style="12" customWidth="1"/>
    <col min="10758" max="10758" width="6.375" style="12" bestFit="1" customWidth="1"/>
    <col min="10759" max="10759" width="6.625" style="12" bestFit="1" customWidth="1"/>
    <col min="10760" max="10760" width="8.25" style="12" bestFit="1" customWidth="1"/>
    <col min="10761" max="10761" width="4.125" style="12" customWidth="1"/>
    <col min="10762" max="10762" width="8.5" style="12" customWidth="1"/>
    <col min="10763" max="10763" width="40" style="12" customWidth="1"/>
    <col min="10764" max="10764" width="6.375" style="12" customWidth="1"/>
    <col min="10765" max="10765" width="6.625" style="12" bestFit="1" customWidth="1"/>
    <col min="10766" max="10766" width="8.25" style="12" bestFit="1" customWidth="1"/>
    <col min="10767" max="10767" width="4.125" style="12" customWidth="1"/>
    <col min="10768" max="10768" width="8.5" style="12" customWidth="1"/>
    <col min="10769" max="10769" width="40" style="12" customWidth="1"/>
    <col min="10770" max="10770" width="6.375" style="12" customWidth="1"/>
    <col min="10771" max="10771" width="6.625" style="12" bestFit="1" customWidth="1"/>
    <col min="10772" max="10772" width="8.25" style="12" bestFit="1" customWidth="1"/>
    <col min="10773" max="11011" width="9" style="12"/>
    <col min="11012" max="11012" width="8.5" style="12" customWidth="1"/>
    <col min="11013" max="11013" width="40" style="12" customWidth="1"/>
    <col min="11014" max="11014" width="6.375" style="12" bestFit="1" customWidth="1"/>
    <col min="11015" max="11015" width="6.625" style="12" bestFit="1" customWidth="1"/>
    <col min="11016" max="11016" width="8.25" style="12" bestFit="1" customWidth="1"/>
    <col min="11017" max="11017" width="4.125" style="12" customWidth="1"/>
    <col min="11018" max="11018" width="8.5" style="12" customWidth="1"/>
    <col min="11019" max="11019" width="40" style="12" customWidth="1"/>
    <col min="11020" max="11020" width="6.375" style="12" customWidth="1"/>
    <col min="11021" max="11021" width="6.625" style="12" bestFit="1" customWidth="1"/>
    <col min="11022" max="11022" width="8.25" style="12" bestFit="1" customWidth="1"/>
    <col min="11023" max="11023" width="4.125" style="12" customWidth="1"/>
    <col min="11024" max="11024" width="8.5" style="12" customWidth="1"/>
    <col min="11025" max="11025" width="40" style="12" customWidth="1"/>
    <col min="11026" max="11026" width="6.375" style="12" customWidth="1"/>
    <col min="11027" max="11027" width="6.625" style="12" bestFit="1" customWidth="1"/>
    <col min="11028" max="11028" width="8.25" style="12" bestFit="1" customWidth="1"/>
    <col min="11029" max="11267" width="9" style="12"/>
    <col min="11268" max="11268" width="8.5" style="12" customWidth="1"/>
    <col min="11269" max="11269" width="40" style="12" customWidth="1"/>
    <col min="11270" max="11270" width="6.375" style="12" bestFit="1" customWidth="1"/>
    <col min="11271" max="11271" width="6.625" style="12" bestFit="1" customWidth="1"/>
    <col min="11272" max="11272" width="8.25" style="12" bestFit="1" customWidth="1"/>
    <col min="11273" max="11273" width="4.125" style="12" customWidth="1"/>
    <col min="11274" max="11274" width="8.5" style="12" customWidth="1"/>
    <col min="11275" max="11275" width="40" style="12" customWidth="1"/>
    <col min="11276" max="11276" width="6.375" style="12" customWidth="1"/>
    <col min="11277" max="11277" width="6.625" style="12" bestFit="1" customWidth="1"/>
    <col min="11278" max="11278" width="8.25" style="12" bestFit="1" customWidth="1"/>
    <col min="11279" max="11279" width="4.125" style="12" customWidth="1"/>
    <col min="11280" max="11280" width="8.5" style="12" customWidth="1"/>
    <col min="11281" max="11281" width="40" style="12" customWidth="1"/>
    <col min="11282" max="11282" width="6.375" style="12" customWidth="1"/>
    <col min="11283" max="11283" width="6.625" style="12" bestFit="1" customWidth="1"/>
    <col min="11284" max="11284" width="8.25" style="12" bestFit="1" customWidth="1"/>
    <col min="11285" max="11523" width="9" style="12"/>
    <col min="11524" max="11524" width="8.5" style="12" customWidth="1"/>
    <col min="11525" max="11525" width="40" style="12" customWidth="1"/>
    <col min="11526" max="11526" width="6.375" style="12" bestFit="1" customWidth="1"/>
    <col min="11527" max="11527" width="6.625" style="12" bestFit="1" customWidth="1"/>
    <col min="11528" max="11528" width="8.25" style="12" bestFit="1" customWidth="1"/>
    <col min="11529" max="11529" width="4.125" style="12" customWidth="1"/>
    <col min="11530" max="11530" width="8.5" style="12" customWidth="1"/>
    <col min="11531" max="11531" width="40" style="12" customWidth="1"/>
    <col min="11532" max="11532" width="6.375" style="12" customWidth="1"/>
    <col min="11533" max="11533" width="6.625" style="12" bestFit="1" customWidth="1"/>
    <col min="11534" max="11534" width="8.25" style="12" bestFit="1" customWidth="1"/>
    <col min="11535" max="11535" width="4.125" style="12" customWidth="1"/>
    <col min="11536" max="11536" width="8.5" style="12" customWidth="1"/>
    <col min="11537" max="11537" width="40" style="12" customWidth="1"/>
    <col min="11538" max="11538" width="6.375" style="12" customWidth="1"/>
    <col min="11539" max="11539" width="6.625" style="12" bestFit="1" customWidth="1"/>
    <col min="11540" max="11540" width="8.25" style="12" bestFit="1" customWidth="1"/>
    <col min="11541" max="11779" width="9" style="12"/>
    <col min="11780" max="11780" width="8.5" style="12" customWidth="1"/>
    <col min="11781" max="11781" width="40" style="12" customWidth="1"/>
    <col min="11782" max="11782" width="6.375" style="12" bestFit="1" customWidth="1"/>
    <col min="11783" max="11783" width="6.625" style="12" bestFit="1" customWidth="1"/>
    <col min="11784" max="11784" width="8.25" style="12" bestFit="1" customWidth="1"/>
    <col min="11785" max="11785" width="4.125" style="12" customWidth="1"/>
    <col min="11786" max="11786" width="8.5" style="12" customWidth="1"/>
    <col min="11787" max="11787" width="40" style="12" customWidth="1"/>
    <col min="11788" max="11788" width="6.375" style="12" customWidth="1"/>
    <col min="11789" max="11789" width="6.625" style="12" bestFit="1" customWidth="1"/>
    <col min="11790" max="11790" width="8.25" style="12" bestFit="1" customWidth="1"/>
    <col min="11791" max="11791" width="4.125" style="12" customWidth="1"/>
    <col min="11792" max="11792" width="8.5" style="12" customWidth="1"/>
    <col min="11793" max="11793" width="40" style="12" customWidth="1"/>
    <col min="11794" max="11794" width="6.375" style="12" customWidth="1"/>
    <col min="11795" max="11795" width="6.625" style="12" bestFit="1" customWidth="1"/>
    <col min="11796" max="11796" width="8.25" style="12" bestFit="1" customWidth="1"/>
    <col min="11797" max="12035" width="9" style="12"/>
    <col min="12036" max="12036" width="8.5" style="12" customWidth="1"/>
    <col min="12037" max="12037" width="40" style="12" customWidth="1"/>
    <col min="12038" max="12038" width="6.375" style="12" bestFit="1" customWidth="1"/>
    <col min="12039" max="12039" width="6.625" style="12" bestFit="1" customWidth="1"/>
    <col min="12040" max="12040" width="8.25" style="12" bestFit="1" customWidth="1"/>
    <col min="12041" max="12041" width="4.125" style="12" customWidth="1"/>
    <col min="12042" max="12042" width="8.5" style="12" customWidth="1"/>
    <col min="12043" max="12043" width="40" style="12" customWidth="1"/>
    <col min="12044" max="12044" width="6.375" style="12" customWidth="1"/>
    <col min="12045" max="12045" width="6.625" style="12" bestFit="1" customWidth="1"/>
    <col min="12046" max="12046" width="8.25" style="12" bestFit="1" customWidth="1"/>
    <col min="12047" max="12047" width="4.125" style="12" customWidth="1"/>
    <col min="12048" max="12048" width="8.5" style="12" customWidth="1"/>
    <col min="12049" max="12049" width="40" style="12" customWidth="1"/>
    <col min="12050" max="12050" width="6.375" style="12" customWidth="1"/>
    <col min="12051" max="12051" width="6.625" style="12" bestFit="1" customWidth="1"/>
    <col min="12052" max="12052" width="8.25" style="12" bestFit="1" customWidth="1"/>
    <col min="12053" max="12291" width="9" style="12"/>
    <col min="12292" max="12292" width="8.5" style="12" customWidth="1"/>
    <col min="12293" max="12293" width="40" style="12" customWidth="1"/>
    <col min="12294" max="12294" width="6.375" style="12" bestFit="1" customWidth="1"/>
    <col min="12295" max="12295" width="6.625" style="12" bestFit="1" customWidth="1"/>
    <col min="12296" max="12296" width="8.25" style="12" bestFit="1" customWidth="1"/>
    <col min="12297" max="12297" width="4.125" style="12" customWidth="1"/>
    <col min="12298" max="12298" width="8.5" style="12" customWidth="1"/>
    <col min="12299" max="12299" width="40" style="12" customWidth="1"/>
    <col min="12300" max="12300" width="6.375" style="12" customWidth="1"/>
    <col min="12301" max="12301" width="6.625" style="12" bestFit="1" customWidth="1"/>
    <col min="12302" max="12302" width="8.25" style="12" bestFit="1" customWidth="1"/>
    <col min="12303" max="12303" width="4.125" style="12" customWidth="1"/>
    <col min="12304" max="12304" width="8.5" style="12" customWidth="1"/>
    <col min="12305" max="12305" width="40" style="12" customWidth="1"/>
    <col min="12306" max="12306" width="6.375" style="12" customWidth="1"/>
    <col min="12307" max="12307" width="6.625" style="12" bestFit="1" customWidth="1"/>
    <col min="12308" max="12308" width="8.25" style="12" bestFit="1" customWidth="1"/>
    <col min="12309" max="12547" width="9" style="12"/>
    <col min="12548" max="12548" width="8.5" style="12" customWidth="1"/>
    <col min="12549" max="12549" width="40" style="12" customWidth="1"/>
    <col min="12550" max="12550" width="6.375" style="12" bestFit="1" customWidth="1"/>
    <col min="12551" max="12551" width="6.625" style="12" bestFit="1" customWidth="1"/>
    <col min="12552" max="12552" width="8.25" style="12" bestFit="1" customWidth="1"/>
    <col min="12553" max="12553" width="4.125" style="12" customWidth="1"/>
    <col min="12554" max="12554" width="8.5" style="12" customWidth="1"/>
    <col min="12555" max="12555" width="40" style="12" customWidth="1"/>
    <col min="12556" max="12556" width="6.375" style="12" customWidth="1"/>
    <col min="12557" max="12557" width="6.625" style="12" bestFit="1" customWidth="1"/>
    <col min="12558" max="12558" width="8.25" style="12" bestFit="1" customWidth="1"/>
    <col min="12559" max="12559" width="4.125" style="12" customWidth="1"/>
    <col min="12560" max="12560" width="8.5" style="12" customWidth="1"/>
    <col min="12561" max="12561" width="40" style="12" customWidth="1"/>
    <col min="12562" max="12562" width="6.375" style="12" customWidth="1"/>
    <col min="12563" max="12563" width="6.625" style="12" bestFit="1" customWidth="1"/>
    <col min="12564" max="12564" width="8.25" style="12" bestFit="1" customWidth="1"/>
    <col min="12565" max="12803" width="9" style="12"/>
    <col min="12804" max="12804" width="8.5" style="12" customWidth="1"/>
    <col min="12805" max="12805" width="40" style="12" customWidth="1"/>
    <col min="12806" max="12806" width="6.375" style="12" bestFit="1" customWidth="1"/>
    <col min="12807" max="12807" width="6.625" style="12" bestFit="1" customWidth="1"/>
    <col min="12808" max="12808" width="8.25" style="12" bestFit="1" customWidth="1"/>
    <col min="12809" max="12809" width="4.125" style="12" customWidth="1"/>
    <col min="12810" max="12810" width="8.5" style="12" customWidth="1"/>
    <col min="12811" max="12811" width="40" style="12" customWidth="1"/>
    <col min="12812" max="12812" width="6.375" style="12" customWidth="1"/>
    <col min="12813" max="12813" width="6.625" style="12" bestFit="1" customWidth="1"/>
    <col min="12814" max="12814" width="8.25" style="12" bestFit="1" customWidth="1"/>
    <col min="12815" max="12815" width="4.125" style="12" customWidth="1"/>
    <col min="12816" max="12816" width="8.5" style="12" customWidth="1"/>
    <col min="12817" max="12817" width="40" style="12" customWidth="1"/>
    <col min="12818" max="12818" width="6.375" style="12" customWidth="1"/>
    <col min="12819" max="12819" width="6.625" style="12" bestFit="1" customWidth="1"/>
    <col min="12820" max="12820" width="8.25" style="12" bestFit="1" customWidth="1"/>
    <col min="12821" max="13059" width="9" style="12"/>
    <col min="13060" max="13060" width="8.5" style="12" customWidth="1"/>
    <col min="13061" max="13061" width="40" style="12" customWidth="1"/>
    <col min="13062" max="13062" width="6.375" style="12" bestFit="1" customWidth="1"/>
    <col min="13063" max="13063" width="6.625" style="12" bestFit="1" customWidth="1"/>
    <col min="13064" max="13064" width="8.25" style="12" bestFit="1" customWidth="1"/>
    <col min="13065" max="13065" width="4.125" style="12" customWidth="1"/>
    <col min="13066" max="13066" width="8.5" style="12" customWidth="1"/>
    <col min="13067" max="13067" width="40" style="12" customWidth="1"/>
    <col min="13068" max="13068" width="6.375" style="12" customWidth="1"/>
    <col min="13069" max="13069" width="6.625" style="12" bestFit="1" customWidth="1"/>
    <col min="13070" max="13070" width="8.25" style="12" bestFit="1" customWidth="1"/>
    <col min="13071" max="13071" width="4.125" style="12" customWidth="1"/>
    <col min="13072" max="13072" width="8.5" style="12" customWidth="1"/>
    <col min="13073" max="13073" width="40" style="12" customWidth="1"/>
    <col min="13074" max="13074" width="6.375" style="12" customWidth="1"/>
    <col min="13075" max="13075" width="6.625" style="12" bestFit="1" customWidth="1"/>
    <col min="13076" max="13076" width="8.25" style="12" bestFit="1" customWidth="1"/>
    <col min="13077" max="13315" width="9" style="12"/>
    <col min="13316" max="13316" width="8.5" style="12" customWidth="1"/>
    <col min="13317" max="13317" width="40" style="12" customWidth="1"/>
    <col min="13318" max="13318" width="6.375" style="12" bestFit="1" customWidth="1"/>
    <col min="13319" max="13319" width="6.625" style="12" bestFit="1" customWidth="1"/>
    <col min="13320" max="13320" width="8.25" style="12" bestFit="1" customWidth="1"/>
    <col min="13321" max="13321" width="4.125" style="12" customWidth="1"/>
    <col min="13322" max="13322" width="8.5" style="12" customWidth="1"/>
    <col min="13323" max="13323" width="40" style="12" customWidth="1"/>
    <col min="13324" max="13324" width="6.375" style="12" customWidth="1"/>
    <col min="13325" max="13325" width="6.625" style="12" bestFit="1" customWidth="1"/>
    <col min="13326" max="13326" width="8.25" style="12" bestFit="1" customWidth="1"/>
    <col min="13327" max="13327" width="4.125" style="12" customWidth="1"/>
    <col min="13328" max="13328" width="8.5" style="12" customWidth="1"/>
    <col min="13329" max="13329" width="40" style="12" customWidth="1"/>
    <col min="13330" max="13330" width="6.375" style="12" customWidth="1"/>
    <col min="13331" max="13331" width="6.625" style="12" bestFit="1" customWidth="1"/>
    <col min="13332" max="13332" width="8.25" style="12" bestFit="1" customWidth="1"/>
    <col min="13333" max="13571" width="9" style="12"/>
    <col min="13572" max="13572" width="8.5" style="12" customWidth="1"/>
    <col min="13573" max="13573" width="40" style="12" customWidth="1"/>
    <col min="13574" max="13574" width="6.375" style="12" bestFit="1" customWidth="1"/>
    <col min="13575" max="13575" width="6.625" style="12" bestFit="1" customWidth="1"/>
    <col min="13576" max="13576" width="8.25" style="12" bestFit="1" customWidth="1"/>
    <col min="13577" max="13577" width="4.125" style="12" customWidth="1"/>
    <col min="13578" max="13578" width="8.5" style="12" customWidth="1"/>
    <col min="13579" max="13579" width="40" style="12" customWidth="1"/>
    <col min="13580" max="13580" width="6.375" style="12" customWidth="1"/>
    <col min="13581" max="13581" width="6.625" style="12" bestFit="1" customWidth="1"/>
    <col min="13582" max="13582" width="8.25" style="12" bestFit="1" customWidth="1"/>
    <col min="13583" max="13583" width="4.125" style="12" customWidth="1"/>
    <col min="13584" max="13584" width="8.5" style="12" customWidth="1"/>
    <col min="13585" max="13585" width="40" style="12" customWidth="1"/>
    <col min="13586" max="13586" width="6.375" style="12" customWidth="1"/>
    <col min="13587" max="13587" width="6.625" style="12" bestFit="1" customWidth="1"/>
    <col min="13588" max="13588" width="8.25" style="12" bestFit="1" customWidth="1"/>
    <col min="13589" max="13827" width="9" style="12"/>
    <col min="13828" max="13828" width="8.5" style="12" customWidth="1"/>
    <col min="13829" max="13829" width="40" style="12" customWidth="1"/>
    <col min="13830" max="13830" width="6.375" style="12" bestFit="1" customWidth="1"/>
    <col min="13831" max="13831" width="6.625" style="12" bestFit="1" customWidth="1"/>
    <col min="13832" max="13832" width="8.25" style="12" bestFit="1" customWidth="1"/>
    <col min="13833" max="13833" width="4.125" style="12" customWidth="1"/>
    <col min="13834" max="13834" width="8.5" style="12" customWidth="1"/>
    <col min="13835" max="13835" width="40" style="12" customWidth="1"/>
    <col min="13836" max="13836" width="6.375" style="12" customWidth="1"/>
    <col min="13837" max="13837" width="6.625" style="12" bestFit="1" customWidth="1"/>
    <col min="13838" max="13838" width="8.25" style="12" bestFit="1" customWidth="1"/>
    <col min="13839" max="13839" width="4.125" style="12" customWidth="1"/>
    <col min="13840" max="13840" width="8.5" style="12" customWidth="1"/>
    <col min="13841" max="13841" width="40" style="12" customWidth="1"/>
    <col min="13842" max="13842" width="6.375" style="12" customWidth="1"/>
    <col min="13843" max="13843" width="6.625" style="12" bestFit="1" customWidth="1"/>
    <col min="13844" max="13844" width="8.25" style="12" bestFit="1" customWidth="1"/>
    <col min="13845" max="14083" width="9" style="12"/>
    <col min="14084" max="14084" width="8.5" style="12" customWidth="1"/>
    <col min="14085" max="14085" width="40" style="12" customWidth="1"/>
    <col min="14086" max="14086" width="6.375" style="12" bestFit="1" customWidth="1"/>
    <col min="14087" max="14087" width="6.625" style="12" bestFit="1" customWidth="1"/>
    <col min="14088" max="14088" width="8.25" style="12" bestFit="1" customWidth="1"/>
    <col min="14089" max="14089" width="4.125" style="12" customWidth="1"/>
    <col min="14090" max="14090" width="8.5" style="12" customWidth="1"/>
    <col min="14091" max="14091" width="40" style="12" customWidth="1"/>
    <col min="14092" max="14092" width="6.375" style="12" customWidth="1"/>
    <col min="14093" max="14093" width="6.625" style="12" bestFit="1" customWidth="1"/>
    <col min="14094" max="14094" width="8.25" style="12" bestFit="1" customWidth="1"/>
    <col min="14095" max="14095" width="4.125" style="12" customWidth="1"/>
    <col min="14096" max="14096" width="8.5" style="12" customWidth="1"/>
    <col min="14097" max="14097" width="40" style="12" customWidth="1"/>
    <col min="14098" max="14098" width="6.375" style="12" customWidth="1"/>
    <col min="14099" max="14099" width="6.625" style="12" bestFit="1" customWidth="1"/>
    <col min="14100" max="14100" width="8.25" style="12" bestFit="1" customWidth="1"/>
    <col min="14101" max="14339" width="9" style="12"/>
    <col min="14340" max="14340" width="8.5" style="12" customWidth="1"/>
    <col min="14341" max="14341" width="40" style="12" customWidth="1"/>
    <col min="14342" max="14342" width="6.375" style="12" bestFit="1" customWidth="1"/>
    <col min="14343" max="14343" width="6.625" style="12" bestFit="1" customWidth="1"/>
    <col min="14344" max="14344" width="8.25" style="12" bestFit="1" customWidth="1"/>
    <col min="14345" max="14345" width="4.125" style="12" customWidth="1"/>
    <col min="14346" max="14346" width="8.5" style="12" customWidth="1"/>
    <col min="14347" max="14347" width="40" style="12" customWidth="1"/>
    <col min="14348" max="14348" width="6.375" style="12" customWidth="1"/>
    <col min="14349" max="14349" width="6.625" style="12" bestFit="1" customWidth="1"/>
    <col min="14350" max="14350" width="8.25" style="12" bestFit="1" customWidth="1"/>
    <col min="14351" max="14351" width="4.125" style="12" customWidth="1"/>
    <col min="14352" max="14352" width="8.5" style="12" customWidth="1"/>
    <col min="14353" max="14353" width="40" style="12" customWidth="1"/>
    <col min="14354" max="14354" width="6.375" style="12" customWidth="1"/>
    <col min="14355" max="14355" width="6.625" style="12" bestFit="1" customWidth="1"/>
    <col min="14356" max="14356" width="8.25" style="12" bestFit="1" customWidth="1"/>
    <col min="14357" max="14595" width="9" style="12"/>
    <col min="14596" max="14596" width="8.5" style="12" customWidth="1"/>
    <col min="14597" max="14597" width="40" style="12" customWidth="1"/>
    <col min="14598" max="14598" width="6.375" style="12" bestFit="1" customWidth="1"/>
    <col min="14599" max="14599" width="6.625" style="12" bestFit="1" customWidth="1"/>
    <col min="14600" max="14600" width="8.25" style="12" bestFit="1" customWidth="1"/>
    <col min="14601" max="14601" width="4.125" style="12" customWidth="1"/>
    <col min="14602" max="14602" width="8.5" style="12" customWidth="1"/>
    <col min="14603" max="14603" width="40" style="12" customWidth="1"/>
    <col min="14604" max="14604" width="6.375" style="12" customWidth="1"/>
    <col min="14605" max="14605" width="6.625" style="12" bestFit="1" customWidth="1"/>
    <col min="14606" max="14606" width="8.25" style="12" bestFit="1" customWidth="1"/>
    <col min="14607" max="14607" width="4.125" style="12" customWidth="1"/>
    <col min="14608" max="14608" width="8.5" style="12" customWidth="1"/>
    <col min="14609" max="14609" width="40" style="12" customWidth="1"/>
    <col min="14610" max="14610" width="6.375" style="12" customWidth="1"/>
    <col min="14611" max="14611" width="6.625" style="12" bestFit="1" customWidth="1"/>
    <col min="14612" max="14612" width="8.25" style="12" bestFit="1" customWidth="1"/>
    <col min="14613" max="14851" width="9" style="12"/>
    <col min="14852" max="14852" width="8.5" style="12" customWidth="1"/>
    <col min="14853" max="14853" width="40" style="12" customWidth="1"/>
    <col min="14854" max="14854" width="6.375" style="12" bestFit="1" customWidth="1"/>
    <col min="14855" max="14855" width="6.625" style="12" bestFit="1" customWidth="1"/>
    <col min="14856" max="14856" width="8.25" style="12" bestFit="1" customWidth="1"/>
    <col min="14857" max="14857" width="4.125" style="12" customWidth="1"/>
    <col min="14858" max="14858" width="8.5" style="12" customWidth="1"/>
    <col min="14859" max="14859" width="40" style="12" customWidth="1"/>
    <col min="14860" max="14860" width="6.375" style="12" customWidth="1"/>
    <col min="14861" max="14861" width="6.625" style="12" bestFit="1" customWidth="1"/>
    <col min="14862" max="14862" width="8.25" style="12" bestFit="1" customWidth="1"/>
    <col min="14863" max="14863" width="4.125" style="12" customWidth="1"/>
    <col min="14864" max="14864" width="8.5" style="12" customWidth="1"/>
    <col min="14865" max="14865" width="40" style="12" customWidth="1"/>
    <col min="14866" max="14866" width="6.375" style="12" customWidth="1"/>
    <col min="14867" max="14867" width="6.625" style="12" bestFit="1" customWidth="1"/>
    <col min="14868" max="14868" width="8.25" style="12" bestFit="1" customWidth="1"/>
    <col min="14869" max="15107" width="9" style="12"/>
    <col min="15108" max="15108" width="8.5" style="12" customWidth="1"/>
    <col min="15109" max="15109" width="40" style="12" customWidth="1"/>
    <col min="15110" max="15110" width="6.375" style="12" bestFit="1" customWidth="1"/>
    <col min="15111" max="15111" width="6.625" style="12" bestFit="1" customWidth="1"/>
    <col min="15112" max="15112" width="8.25" style="12" bestFit="1" customWidth="1"/>
    <col min="15113" max="15113" width="4.125" style="12" customWidth="1"/>
    <col min="15114" max="15114" width="8.5" style="12" customWidth="1"/>
    <col min="15115" max="15115" width="40" style="12" customWidth="1"/>
    <col min="15116" max="15116" width="6.375" style="12" customWidth="1"/>
    <col min="15117" max="15117" width="6.625" style="12" bestFit="1" customWidth="1"/>
    <col min="15118" max="15118" width="8.25" style="12" bestFit="1" customWidth="1"/>
    <col min="15119" max="15119" width="4.125" style="12" customWidth="1"/>
    <col min="15120" max="15120" width="8.5" style="12" customWidth="1"/>
    <col min="15121" max="15121" width="40" style="12" customWidth="1"/>
    <col min="15122" max="15122" width="6.375" style="12" customWidth="1"/>
    <col min="15123" max="15123" width="6.625" style="12" bestFit="1" customWidth="1"/>
    <col min="15124" max="15124" width="8.25" style="12" bestFit="1" customWidth="1"/>
    <col min="15125" max="15363" width="9" style="12"/>
    <col min="15364" max="15364" width="8.5" style="12" customWidth="1"/>
    <col min="15365" max="15365" width="40" style="12" customWidth="1"/>
    <col min="15366" max="15366" width="6.375" style="12" bestFit="1" customWidth="1"/>
    <col min="15367" max="15367" width="6.625" style="12" bestFit="1" customWidth="1"/>
    <col min="15368" max="15368" width="8.25" style="12" bestFit="1" customWidth="1"/>
    <col min="15369" max="15369" width="4.125" style="12" customWidth="1"/>
    <col min="15370" max="15370" width="8.5" style="12" customWidth="1"/>
    <col min="15371" max="15371" width="40" style="12" customWidth="1"/>
    <col min="15372" max="15372" width="6.375" style="12" customWidth="1"/>
    <col min="15373" max="15373" width="6.625" style="12" bestFit="1" customWidth="1"/>
    <col min="15374" max="15374" width="8.25" style="12" bestFit="1" customWidth="1"/>
    <col min="15375" max="15375" width="4.125" style="12" customWidth="1"/>
    <col min="15376" max="15376" width="8.5" style="12" customWidth="1"/>
    <col min="15377" max="15377" width="40" style="12" customWidth="1"/>
    <col min="15378" max="15378" width="6.375" style="12" customWidth="1"/>
    <col min="15379" max="15379" width="6.625" style="12" bestFit="1" customWidth="1"/>
    <col min="15380" max="15380" width="8.25" style="12" bestFit="1" customWidth="1"/>
    <col min="15381" max="15619" width="9" style="12"/>
    <col min="15620" max="15620" width="8.5" style="12" customWidth="1"/>
    <col min="15621" max="15621" width="40" style="12" customWidth="1"/>
    <col min="15622" max="15622" width="6.375" style="12" bestFit="1" customWidth="1"/>
    <col min="15623" max="15623" width="6.625" style="12" bestFit="1" customWidth="1"/>
    <col min="15624" max="15624" width="8.25" style="12" bestFit="1" customWidth="1"/>
    <col min="15625" max="15625" width="4.125" style="12" customWidth="1"/>
    <col min="15626" max="15626" width="8.5" style="12" customWidth="1"/>
    <col min="15627" max="15627" width="40" style="12" customWidth="1"/>
    <col min="15628" max="15628" width="6.375" style="12" customWidth="1"/>
    <col min="15629" max="15629" width="6.625" style="12" bestFit="1" customWidth="1"/>
    <col min="15630" max="15630" width="8.25" style="12" bestFit="1" customWidth="1"/>
    <col min="15631" max="15631" width="4.125" style="12" customWidth="1"/>
    <col min="15632" max="15632" width="8.5" style="12" customWidth="1"/>
    <col min="15633" max="15633" width="40" style="12" customWidth="1"/>
    <col min="15634" max="15634" width="6.375" style="12" customWidth="1"/>
    <col min="15635" max="15635" width="6.625" style="12" bestFit="1" customWidth="1"/>
    <col min="15636" max="15636" width="8.25" style="12" bestFit="1" customWidth="1"/>
    <col min="15637" max="15875" width="9" style="12"/>
    <col min="15876" max="15876" width="8.5" style="12" customWidth="1"/>
    <col min="15877" max="15877" width="40" style="12" customWidth="1"/>
    <col min="15878" max="15878" width="6.375" style="12" bestFit="1" customWidth="1"/>
    <col min="15879" max="15879" width="6.625" style="12" bestFit="1" customWidth="1"/>
    <col min="15880" max="15880" width="8.25" style="12" bestFit="1" customWidth="1"/>
    <col min="15881" max="15881" width="4.125" style="12" customWidth="1"/>
    <col min="15882" max="15882" width="8.5" style="12" customWidth="1"/>
    <col min="15883" max="15883" width="40" style="12" customWidth="1"/>
    <col min="15884" max="15884" width="6.375" style="12" customWidth="1"/>
    <col min="15885" max="15885" width="6.625" style="12" bestFit="1" customWidth="1"/>
    <col min="15886" max="15886" width="8.25" style="12" bestFit="1" customWidth="1"/>
    <col min="15887" max="15887" width="4.125" style="12" customWidth="1"/>
    <col min="15888" max="15888" width="8.5" style="12" customWidth="1"/>
    <col min="15889" max="15889" width="40" style="12" customWidth="1"/>
    <col min="15890" max="15890" width="6.375" style="12" customWidth="1"/>
    <col min="15891" max="15891" width="6.625" style="12" bestFit="1" customWidth="1"/>
    <col min="15892" max="15892" width="8.25" style="12" bestFit="1" customWidth="1"/>
    <col min="15893" max="16131" width="9" style="12"/>
    <col min="16132" max="16132" width="8.5" style="12" customWidth="1"/>
    <col min="16133" max="16133" width="40" style="12" customWidth="1"/>
    <col min="16134" max="16134" width="6.375" style="12" bestFit="1" customWidth="1"/>
    <col min="16135" max="16135" width="6.625" style="12" bestFit="1" customWidth="1"/>
    <col min="16136" max="16136" width="8.25" style="12" bestFit="1" customWidth="1"/>
    <col min="16137" max="16137" width="4.125" style="12" customWidth="1"/>
    <col min="16138" max="16138" width="8.5" style="12" customWidth="1"/>
    <col min="16139" max="16139" width="40" style="12" customWidth="1"/>
    <col min="16140" max="16140" width="6.375" style="12" customWidth="1"/>
    <col min="16141" max="16141" width="6.625" style="12" bestFit="1" customWidth="1"/>
    <col min="16142" max="16142" width="8.25" style="12" bestFit="1" customWidth="1"/>
    <col min="16143" max="16143" width="4.125" style="12" customWidth="1"/>
    <col min="16144" max="16144" width="8.5" style="12" customWidth="1"/>
    <col min="16145" max="16145" width="40" style="12" customWidth="1"/>
    <col min="16146" max="16146" width="6.375" style="12" customWidth="1"/>
    <col min="16147" max="16147" width="6.625" style="12" bestFit="1" customWidth="1"/>
    <col min="16148" max="16148" width="8.25" style="12" bestFit="1" customWidth="1"/>
    <col min="16149" max="16384" width="9" style="12"/>
  </cols>
  <sheetData>
    <row r="1" spans="1:20" ht="15" customHeight="1" x14ac:dyDescent="0.2">
      <c r="A1" s="100" t="s">
        <v>648</v>
      </c>
      <c r="C1" s="6"/>
      <c r="D1" s="7"/>
      <c r="E1" s="7"/>
      <c r="F1" s="7"/>
      <c r="G1" s="9"/>
      <c r="H1" s="4"/>
      <c r="I1" s="5"/>
      <c r="J1" s="10"/>
      <c r="K1" s="11"/>
      <c r="L1" s="7"/>
      <c r="M1" s="7"/>
      <c r="N1" s="9"/>
      <c r="O1" s="4"/>
      <c r="P1" s="5"/>
      <c r="Q1" s="10"/>
      <c r="R1" s="11"/>
      <c r="S1" s="7"/>
      <c r="T1" s="7"/>
    </row>
    <row r="2" spans="1:20" s="128" customFormat="1" ht="15" customHeight="1" x14ac:dyDescent="0.2">
      <c r="A2" s="500" t="s">
        <v>585</v>
      </c>
      <c r="B2" s="199"/>
      <c r="C2" s="199"/>
      <c r="D2" s="199"/>
      <c r="E2" s="199"/>
      <c r="F2" s="199"/>
      <c r="G2" s="199"/>
      <c r="H2" s="199"/>
      <c r="I2" s="199"/>
      <c r="J2" s="199"/>
      <c r="K2" s="199"/>
      <c r="L2" s="199"/>
    </row>
    <row r="3" spans="1:20" ht="15" customHeight="1" x14ac:dyDescent="0.2">
      <c r="A3" s="13"/>
      <c r="B3" s="607" t="s">
        <v>0</v>
      </c>
      <c r="C3" s="607"/>
      <c r="D3" s="607"/>
      <c r="E3" s="124"/>
      <c r="F3" s="124"/>
      <c r="G3" s="14"/>
      <c r="H3" s="13"/>
      <c r="I3" s="607" t="s">
        <v>1</v>
      </c>
      <c r="J3" s="607"/>
      <c r="K3" s="607"/>
      <c r="L3" s="124"/>
      <c r="M3" s="124"/>
      <c r="N3" s="14"/>
      <c r="O3" s="13"/>
      <c r="P3" s="607" t="s">
        <v>2</v>
      </c>
      <c r="Q3" s="607"/>
      <c r="R3" s="607"/>
      <c r="S3" s="124"/>
      <c r="T3" s="124"/>
    </row>
    <row r="4" spans="1:20" s="20" customFormat="1" ht="45" customHeight="1" x14ac:dyDescent="0.2">
      <c r="A4" s="1" t="s">
        <v>39</v>
      </c>
      <c r="B4" s="16" t="s">
        <v>40</v>
      </c>
      <c r="C4" s="17" t="s">
        <v>75</v>
      </c>
      <c r="D4" s="18" t="s">
        <v>38</v>
      </c>
      <c r="E4" s="125" t="s">
        <v>565</v>
      </c>
      <c r="F4" s="125" t="s">
        <v>560</v>
      </c>
      <c r="G4" s="19"/>
      <c r="H4" s="1" t="s">
        <v>39</v>
      </c>
      <c r="I4" s="16" t="s">
        <v>40</v>
      </c>
      <c r="J4" s="17" t="s">
        <v>75</v>
      </c>
      <c r="K4" s="18" t="s">
        <v>38</v>
      </c>
      <c r="L4" s="125" t="s">
        <v>565</v>
      </c>
      <c r="M4" s="125" t="s">
        <v>560</v>
      </c>
      <c r="N4" s="19"/>
      <c r="O4" s="1" t="s">
        <v>39</v>
      </c>
      <c r="P4" s="16" t="s">
        <v>40</v>
      </c>
      <c r="Q4" s="17" t="s">
        <v>75</v>
      </c>
      <c r="R4" s="18" t="s">
        <v>38</v>
      </c>
      <c r="S4" s="125" t="s">
        <v>565</v>
      </c>
      <c r="T4" s="125" t="s">
        <v>560</v>
      </c>
    </row>
    <row r="5" spans="1:20" s="25" customFormat="1" ht="15" customHeight="1" x14ac:dyDescent="0.2">
      <c r="A5" s="2">
        <v>1</v>
      </c>
      <c r="B5" s="62" t="s">
        <v>581</v>
      </c>
      <c r="C5" s="63">
        <v>3888</v>
      </c>
      <c r="D5" s="64">
        <v>10.8</v>
      </c>
      <c r="E5" s="64">
        <v>31.6</v>
      </c>
      <c r="F5" s="73">
        <v>26.3</v>
      </c>
      <c r="G5" s="30"/>
      <c r="H5" s="2">
        <v>1</v>
      </c>
      <c r="I5" s="62" t="s">
        <v>313</v>
      </c>
      <c r="J5" s="34">
        <v>1667</v>
      </c>
      <c r="K5" s="30">
        <v>7.4</v>
      </c>
      <c r="L5" s="64">
        <v>13.6</v>
      </c>
      <c r="M5" s="64">
        <v>11</v>
      </c>
      <c r="N5" s="30"/>
      <c r="O5" s="2">
        <v>1</v>
      </c>
      <c r="P5" s="62" t="s">
        <v>581</v>
      </c>
      <c r="Q5" s="34">
        <v>5039</v>
      </c>
      <c r="R5" s="30">
        <v>8.6</v>
      </c>
      <c r="S5" s="64">
        <v>20.5</v>
      </c>
      <c r="T5" s="64">
        <v>16.5</v>
      </c>
    </row>
    <row r="6" spans="1:20" s="25" customFormat="1" ht="15" customHeight="1" x14ac:dyDescent="0.2">
      <c r="A6" s="2">
        <v>2</v>
      </c>
      <c r="B6" s="62" t="s">
        <v>126</v>
      </c>
      <c r="C6" s="63">
        <v>2212</v>
      </c>
      <c r="D6" s="64">
        <v>6.2</v>
      </c>
      <c r="E6" s="64">
        <v>18</v>
      </c>
      <c r="F6" s="73">
        <v>17.7</v>
      </c>
      <c r="G6" s="30"/>
      <c r="H6" s="2">
        <v>2</v>
      </c>
      <c r="I6" s="62" t="s">
        <v>581</v>
      </c>
      <c r="J6" s="34">
        <v>1151</v>
      </c>
      <c r="K6" s="30">
        <v>5.0999999999999996</v>
      </c>
      <c r="L6" s="64">
        <v>9.4</v>
      </c>
      <c r="M6" s="64">
        <v>7.2</v>
      </c>
      <c r="N6" s="30"/>
      <c r="O6" s="2">
        <v>2</v>
      </c>
      <c r="P6" s="62" t="s">
        <v>126</v>
      </c>
      <c r="Q6" s="34">
        <v>2945</v>
      </c>
      <c r="R6" s="30">
        <v>5</v>
      </c>
      <c r="S6" s="64">
        <v>12</v>
      </c>
      <c r="T6" s="64">
        <v>11.7</v>
      </c>
    </row>
    <row r="7" spans="1:20" s="25" customFormat="1" ht="15" customHeight="1" x14ac:dyDescent="0.2">
      <c r="A7" s="2">
        <v>3</v>
      </c>
      <c r="B7" s="62" t="s">
        <v>115</v>
      </c>
      <c r="C7" s="63">
        <v>1362</v>
      </c>
      <c r="D7" s="64">
        <v>3.8</v>
      </c>
      <c r="E7" s="64">
        <v>11.1</v>
      </c>
      <c r="F7" s="73">
        <v>9.3000000000000007</v>
      </c>
      <c r="G7" s="30"/>
      <c r="H7" s="2">
        <v>3</v>
      </c>
      <c r="I7" s="62" t="s">
        <v>322</v>
      </c>
      <c r="J7" s="34">
        <v>1100</v>
      </c>
      <c r="K7" s="30">
        <v>4.9000000000000004</v>
      </c>
      <c r="L7" s="64">
        <v>9</v>
      </c>
      <c r="M7" s="64">
        <v>6.5</v>
      </c>
      <c r="N7" s="30"/>
      <c r="O7" s="2">
        <v>3</v>
      </c>
      <c r="P7" s="62" t="s">
        <v>322</v>
      </c>
      <c r="Q7" s="34">
        <v>2414</v>
      </c>
      <c r="R7" s="30">
        <v>4.0999999999999996</v>
      </c>
      <c r="S7" s="64">
        <v>9.8000000000000007</v>
      </c>
      <c r="T7" s="64">
        <v>7.4</v>
      </c>
    </row>
    <row r="8" spans="1:20" s="25" customFormat="1" ht="15" customHeight="1" x14ac:dyDescent="0.2">
      <c r="A8" s="2">
        <v>4</v>
      </c>
      <c r="B8" s="62" t="s">
        <v>322</v>
      </c>
      <c r="C8" s="63">
        <v>1314</v>
      </c>
      <c r="D8" s="64">
        <v>3.7</v>
      </c>
      <c r="E8" s="64">
        <v>10.7</v>
      </c>
      <c r="F8" s="73">
        <v>8.4</v>
      </c>
      <c r="G8" s="30"/>
      <c r="H8" s="2">
        <v>4</v>
      </c>
      <c r="I8" s="62" t="s">
        <v>115</v>
      </c>
      <c r="J8" s="34">
        <v>973</v>
      </c>
      <c r="K8" s="30">
        <v>4.3</v>
      </c>
      <c r="L8" s="64">
        <v>7.9</v>
      </c>
      <c r="M8" s="64">
        <v>6.5</v>
      </c>
      <c r="N8" s="30"/>
      <c r="O8" s="2">
        <v>4</v>
      </c>
      <c r="P8" s="62" t="s">
        <v>115</v>
      </c>
      <c r="Q8" s="34">
        <v>2335</v>
      </c>
      <c r="R8" s="30">
        <v>4</v>
      </c>
      <c r="S8" s="64">
        <v>9.5</v>
      </c>
      <c r="T8" s="64">
        <v>7.8</v>
      </c>
    </row>
    <row r="9" spans="1:20" s="25" customFormat="1" ht="15" customHeight="1" x14ac:dyDescent="0.2">
      <c r="A9" s="2">
        <v>5</v>
      </c>
      <c r="B9" s="62" t="s">
        <v>117</v>
      </c>
      <c r="C9" s="63">
        <v>1169</v>
      </c>
      <c r="D9" s="64">
        <v>3.3</v>
      </c>
      <c r="E9" s="64">
        <v>9.5</v>
      </c>
      <c r="F9" s="73">
        <v>7.8</v>
      </c>
      <c r="G9" s="30"/>
      <c r="H9" s="2">
        <v>5</v>
      </c>
      <c r="I9" s="62" t="s">
        <v>120</v>
      </c>
      <c r="J9" s="63">
        <v>815</v>
      </c>
      <c r="K9" s="64">
        <v>3.6</v>
      </c>
      <c r="L9" s="64">
        <v>6.6</v>
      </c>
      <c r="M9" s="64">
        <v>5.2</v>
      </c>
      <c r="N9" s="30"/>
      <c r="O9" s="2">
        <v>5</v>
      </c>
      <c r="P9" s="62" t="s">
        <v>117</v>
      </c>
      <c r="Q9" s="34">
        <v>1838</v>
      </c>
      <c r="R9" s="30">
        <v>3.1</v>
      </c>
      <c r="S9" s="64">
        <v>7.5</v>
      </c>
      <c r="T9" s="64">
        <v>6</v>
      </c>
    </row>
    <row r="10" spans="1:20" s="25" customFormat="1" ht="15" customHeight="1" x14ac:dyDescent="0.2">
      <c r="A10" s="2">
        <v>6</v>
      </c>
      <c r="B10" s="62" t="s">
        <v>120</v>
      </c>
      <c r="C10" s="63">
        <v>1019</v>
      </c>
      <c r="D10" s="64">
        <v>2.8</v>
      </c>
      <c r="E10" s="64">
        <v>8.3000000000000007</v>
      </c>
      <c r="F10" s="73">
        <v>6.8</v>
      </c>
      <c r="G10" s="30"/>
      <c r="H10" s="2">
        <v>6</v>
      </c>
      <c r="I10" s="62" t="s">
        <v>126</v>
      </c>
      <c r="J10" s="34">
        <v>733</v>
      </c>
      <c r="K10" s="30">
        <v>3.3</v>
      </c>
      <c r="L10" s="64">
        <v>6</v>
      </c>
      <c r="M10" s="64">
        <v>5.9</v>
      </c>
      <c r="N10" s="30"/>
      <c r="O10" s="2">
        <v>6</v>
      </c>
      <c r="P10" s="62" t="s">
        <v>120</v>
      </c>
      <c r="Q10" s="34">
        <v>1834</v>
      </c>
      <c r="R10" s="30">
        <v>3.1</v>
      </c>
      <c r="S10" s="64">
        <v>7.5</v>
      </c>
      <c r="T10" s="64">
        <v>6</v>
      </c>
    </row>
    <row r="11" spans="1:20" s="25" customFormat="1" ht="15" customHeight="1" x14ac:dyDescent="0.2">
      <c r="A11" s="2">
        <v>7</v>
      </c>
      <c r="B11" s="62" t="s">
        <v>128</v>
      </c>
      <c r="C11" s="63">
        <v>949</v>
      </c>
      <c r="D11" s="64">
        <v>2.6</v>
      </c>
      <c r="E11" s="64">
        <v>7.7</v>
      </c>
      <c r="F11" s="73">
        <v>7.5</v>
      </c>
      <c r="G11" s="30"/>
      <c r="H11" s="2">
        <v>7</v>
      </c>
      <c r="I11" s="62" t="s">
        <v>117</v>
      </c>
      <c r="J11" s="34">
        <v>669</v>
      </c>
      <c r="K11" s="30">
        <v>3</v>
      </c>
      <c r="L11" s="64">
        <v>5.4</v>
      </c>
      <c r="M11" s="64">
        <v>4.2</v>
      </c>
      <c r="N11" s="30"/>
      <c r="O11" s="2">
        <v>7</v>
      </c>
      <c r="P11" s="62" t="s">
        <v>313</v>
      </c>
      <c r="Q11" s="34">
        <v>1667</v>
      </c>
      <c r="R11" s="30">
        <v>2.9</v>
      </c>
      <c r="S11" s="64">
        <v>6.8</v>
      </c>
      <c r="T11" s="64">
        <v>5.6</v>
      </c>
    </row>
    <row r="12" spans="1:20" s="25" customFormat="1" ht="15" customHeight="1" x14ac:dyDescent="0.2">
      <c r="A12" s="2">
        <v>8</v>
      </c>
      <c r="B12" s="62" t="s">
        <v>130</v>
      </c>
      <c r="C12" s="63">
        <v>853</v>
      </c>
      <c r="D12" s="64">
        <v>2.4</v>
      </c>
      <c r="E12" s="64">
        <v>6.9</v>
      </c>
      <c r="F12" s="73">
        <v>7.1</v>
      </c>
      <c r="G12" s="30"/>
      <c r="H12" s="2">
        <v>8</v>
      </c>
      <c r="I12" s="62" t="s">
        <v>130</v>
      </c>
      <c r="J12" s="34">
        <v>321</v>
      </c>
      <c r="K12" s="30">
        <v>1.4</v>
      </c>
      <c r="L12" s="64">
        <v>2.6</v>
      </c>
      <c r="M12" s="64">
        <v>2.5</v>
      </c>
      <c r="N12" s="30"/>
      <c r="O12" s="2">
        <v>8</v>
      </c>
      <c r="P12" s="62" t="s">
        <v>128</v>
      </c>
      <c r="Q12" s="34">
        <v>1227</v>
      </c>
      <c r="R12" s="30">
        <v>2.1</v>
      </c>
      <c r="S12" s="64">
        <v>5</v>
      </c>
      <c r="T12" s="64">
        <v>4.9000000000000004</v>
      </c>
    </row>
    <row r="13" spans="1:20" s="25" customFormat="1" ht="15" customHeight="1" x14ac:dyDescent="0.2">
      <c r="A13" s="2">
        <v>9</v>
      </c>
      <c r="B13" s="62" t="s">
        <v>318</v>
      </c>
      <c r="C13" s="63">
        <v>800</v>
      </c>
      <c r="D13" s="64">
        <v>2.2000000000000002</v>
      </c>
      <c r="E13" s="64">
        <v>6.5</v>
      </c>
      <c r="F13" s="73">
        <v>5</v>
      </c>
      <c r="G13" s="30"/>
      <c r="H13" s="2">
        <v>9</v>
      </c>
      <c r="I13" s="62" t="s">
        <v>112</v>
      </c>
      <c r="J13" s="34">
        <v>313</v>
      </c>
      <c r="K13" s="30">
        <v>1.4</v>
      </c>
      <c r="L13" s="64">
        <v>2.5</v>
      </c>
      <c r="M13" s="64">
        <v>2</v>
      </c>
      <c r="N13" s="30"/>
      <c r="O13" s="2">
        <v>9</v>
      </c>
      <c r="P13" s="62" t="s">
        <v>130</v>
      </c>
      <c r="Q13" s="34">
        <v>1174</v>
      </c>
      <c r="R13" s="30">
        <v>2</v>
      </c>
      <c r="S13" s="64">
        <v>4.8</v>
      </c>
      <c r="T13" s="64">
        <v>4.8</v>
      </c>
    </row>
    <row r="14" spans="1:20" s="25" customFormat="1" ht="15" customHeight="1" x14ac:dyDescent="0.2">
      <c r="A14" s="2">
        <v>10</v>
      </c>
      <c r="B14" s="62" t="s">
        <v>542</v>
      </c>
      <c r="C14" s="63">
        <v>596</v>
      </c>
      <c r="D14" s="64">
        <v>1.7</v>
      </c>
      <c r="E14" s="64">
        <v>4.8</v>
      </c>
      <c r="F14" s="73">
        <v>4</v>
      </c>
      <c r="G14" s="30"/>
      <c r="H14" s="2">
        <v>10</v>
      </c>
      <c r="I14" s="62" t="s">
        <v>128</v>
      </c>
      <c r="J14" s="34">
        <v>278</v>
      </c>
      <c r="K14" s="30">
        <v>1.2</v>
      </c>
      <c r="L14" s="64">
        <v>2.2999999999999998</v>
      </c>
      <c r="M14" s="64">
        <v>2.2000000000000002</v>
      </c>
      <c r="N14" s="30"/>
      <c r="O14" s="2">
        <v>10</v>
      </c>
      <c r="P14" s="62" t="s">
        <v>542</v>
      </c>
      <c r="Q14" s="34">
        <v>836</v>
      </c>
      <c r="R14" s="30">
        <v>1.4</v>
      </c>
      <c r="S14" s="64">
        <v>3.4</v>
      </c>
      <c r="T14" s="64">
        <v>2.8</v>
      </c>
    </row>
    <row r="15" spans="1:20" s="25" customFormat="1" ht="15" customHeight="1" x14ac:dyDescent="0.2">
      <c r="A15" s="2">
        <v>11</v>
      </c>
      <c r="B15" s="62" t="s">
        <v>125</v>
      </c>
      <c r="C15" s="63">
        <v>364</v>
      </c>
      <c r="D15" s="64">
        <v>1</v>
      </c>
      <c r="E15" s="64">
        <v>3</v>
      </c>
      <c r="F15" s="73">
        <v>2.4</v>
      </c>
      <c r="G15" s="30"/>
      <c r="H15" s="2">
        <v>11</v>
      </c>
      <c r="I15" s="62" t="s">
        <v>542</v>
      </c>
      <c r="J15" s="34">
        <v>240</v>
      </c>
      <c r="K15" s="30">
        <v>1.1000000000000001</v>
      </c>
      <c r="L15" s="64">
        <v>2</v>
      </c>
      <c r="M15" s="64">
        <v>1.6</v>
      </c>
      <c r="N15" s="30"/>
      <c r="O15" s="2">
        <v>11</v>
      </c>
      <c r="P15" s="62" t="s">
        <v>318</v>
      </c>
      <c r="Q15" s="34">
        <v>800</v>
      </c>
      <c r="R15" s="30">
        <v>1.4</v>
      </c>
      <c r="S15" s="64">
        <v>3.3</v>
      </c>
      <c r="T15" s="64">
        <v>2.4</v>
      </c>
    </row>
    <row r="16" spans="1:20" s="25" customFormat="1" ht="15" customHeight="1" x14ac:dyDescent="0.2">
      <c r="A16" s="2">
        <v>12</v>
      </c>
      <c r="B16" s="62" t="s">
        <v>112</v>
      </c>
      <c r="C16" s="63">
        <v>364</v>
      </c>
      <c r="D16" s="64">
        <v>1</v>
      </c>
      <c r="E16" s="64">
        <v>3</v>
      </c>
      <c r="F16" s="73">
        <v>2.5</v>
      </c>
      <c r="G16" s="30"/>
      <c r="H16" s="2">
        <v>12</v>
      </c>
      <c r="I16" s="62" t="s">
        <v>132</v>
      </c>
      <c r="J16" s="34">
        <v>220</v>
      </c>
      <c r="K16" s="30">
        <v>1</v>
      </c>
      <c r="L16" s="64">
        <v>1.8</v>
      </c>
      <c r="M16" s="64">
        <v>2.1</v>
      </c>
      <c r="N16" s="30"/>
      <c r="O16" s="2">
        <v>12</v>
      </c>
      <c r="P16" s="62" t="s">
        <v>112</v>
      </c>
      <c r="Q16" s="34">
        <v>677</v>
      </c>
      <c r="R16" s="30">
        <v>1.2</v>
      </c>
      <c r="S16" s="64">
        <v>2.8</v>
      </c>
      <c r="T16" s="64">
        <v>2.2999999999999998</v>
      </c>
    </row>
    <row r="17" spans="1:20" s="25" customFormat="1" ht="15" customHeight="1" x14ac:dyDescent="0.2">
      <c r="A17" s="2">
        <v>13</v>
      </c>
      <c r="B17" s="62" t="s">
        <v>426</v>
      </c>
      <c r="C17" s="63">
        <v>326</v>
      </c>
      <c r="D17" s="64">
        <v>0.9</v>
      </c>
      <c r="E17" s="64">
        <v>2.7</v>
      </c>
      <c r="F17" s="73">
        <v>2.1</v>
      </c>
      <c r="G17" s="30"/>
      <c r="H17" s="2">
        <v>13</v>
      </c>
      <c r="I17" s="62" t="s">
        <v>423</v>
      </c>
      <c r="J17" s="34">
        <v>210</v>
      </c>
      <c r="K17" s="30">
        <v>0.9</v>
      </c>
      <c r="L17" s="64">
        <v>1.7</v>
      </c>
      <c r="M17" s="64">
        <v>1.6</v>
      </c>
      <c r="N17" s="30"/>
      <c r="O17" s="2">
        <v>13</v>
      </c>
      <c r="P17" s="62" t="s">
        <v>125</v>
      </c>
      <c r="Q17" s="34">
        <v>551</v>
      </c>
      <c r="R17" s="30">
        <v>0.9</v>
      </c>
      <c r="S17" s="64">
        <v>2.2000000000000002</v>
      </c>
      <c r="T17" s="64">
        <v>1.8</v>
      </c>
    </row>
    <row r="18" spans="1:20" s="25" customFormat="1" ht="15" customHeight="1" x14ac:dyDescent="0.2">
      <c r="A18" s="2">
        <v>14</v>
      </c>
      <c r="B18" s="62" t="s">
        <v>132</v>
      </c>
      <c r="C18" s="63">
        <v>304</v>
      </c>
      <c r="D18" s="64">
        <v>0.8</v>
      </c>
      <c r="E18" s="64">
        <v>2.5</v>
      </c>
      <c r="F18" s="73">
        <v>2.7</v>
      </c>
      <c r="G18" s="30"/>
      <c r="H18" s="2">
        <v>14</v>
      </c>
      <c r="I18" s="62" t="s">
        <v>125</v>
      </c>
      <c r="J18" s="34">
        <v>187</v>
      </c>
      <c r="K18" s="30">
        <v>0.8</v>
      </c>
      <c r="L18" s="64">
        <v>1.5</v>
      </c>
      <c r="M18" s="64">
        <v>1.1000000000000001</v>
      </c>
      <c r="N18" s="30"/>
      <c r="O18" s="2">
        <v>14</v>
      </c>
      <c r="P18" s="62" t="s">
        <v>132</v>
      </c>
      <c r="Q18" s="34">
        <v>524</v>
      </c>
      <c r="R18" s="30">
        <v>0.9</v>
      </c>
      <c r="S18" s="64">
        <v>2.1</v>
      </c>
      <c r="T18" s="64">
        <v>2.4</v>
      </c>
    </row>
    <row r="19" spans="1:20" s="25" customFormat="1" ht="15" customHeight="1" x14ac:dyDescent="0.2">
      <c r="A19" s="2">
        <v>15</v>
      </c>
      <c r="B19" s="62" t="s">
        <v>119</v>
      </c>
      <c r="C19" s="63">
        <v>299</v>
      </c>
      <c r="D19" s="64">
        <v>0.8</v>
      </c>
      <c r="E19" s="64">
        <v>2.4</v>
      </c>
      <c r="F19" s="73">
        <v>2</v>
      </c>
      <c r="G19" s="30"/>
      <c r="H19" s="2">
        <v>15</v>
      </c>
      <c r="I19" s="62" t="s">
        <v>123</v>
      </c>
      <c r="J19" s="34">
        <v>155</v>
      </c>
      <c r="K19" s="30">
        <v>0.7</v>
      </c>
      <c r="L19" s="64">
        <v>1.3</v>
      </c>
      <c r="M19" s="64">
        <v>1</v>
      </c>
      <c r="N19" s="30"/>
      <c r="O19" s="2">
        <v>15</v>
      </c>
      <c r="P19" s="62" t="s">
        <v>119</v>
      </c>
      <c r="Q19" s="34">
        <v>442</v>
      </c>
      <c r="R19" s="30">
        <v>0.8</v>
      </c>
      <c r="S19" s="64">
        <v>1.8</v>
      </c>
      <c r="T19" s="64">
        <v>1.4</v>
      </c>
    </row>
    <row r="20" spans="1:20" s="25" customFormat="1" ht="15" customHeight="1" x14ac:dyDescent="0.2">
      <c r="A20" s="2">
        <v>16</v>
      </c>
      <c r="B20" s="62" t="s">
        <v>123</v>
      </c>
      <c r="C20" s="63">
        <v>234</v>
      </c>
      <c r="D20" s="64">
        <v>0.7</v>
      </c>
      <c r="E20" s="64">
        <v>1.9</v>
      </c>
      <c r="F20" s="73">
        <v>1.5</v>
      </c>
      <c r="G20" s="30"/>
      <c r="H20" s="2">
        <v>16</v>
      </c>
      <c r="I20" s="62" t="s">
        <v>118</v>
      </c>
      <c r="J20" s="34">
        <v>154</v>
      </c>
      <c r="K20" s="30">
        <v>0.7</v>
      </c>
      <c r="L20" s="64">
        <v>1.3</v>
      </c>
      <c r="M20" s="64">
        <v>1</v>
      </c>
      <c r="N20" s="30"/>
      <c r="O20" s="2">
        <v>16</v>
      </c>
      <c r="P20" s="62" t="s">
        <v>426</v>
      </c>
      <c r="Q20" s="34">
        <v>436</v>
      </c>
      <c r="R20" s="30">
        <v>0.7</v>
      </c>
      <c r="S20" s="64">
        <v>1.8</v>
      </c>
      <c r="T20" s="64">
        <v>1.4</v>
      </c>
    </row>
    <row r="21" spans="1:20" s="25" customFormat="1" ht="15" customHeight="1" x14ac:dyDescent="0.2">
      <c r="A21" s="2">
        <v>17</v>
      </c>
      <c r="B21" s="62" t="s">
        <v>121</v>
      </c>
      <c r="C21" s="63">
        <v>211</v>
      </c>
      <c r="D21" s="64">
        <v>0.6</v>
      </c>
      <c r="E21" s="64">
        <v>1.7</v>
      </c>
      <c r="F21" s="73">
        <v>1.4</v>
      </c>
      <c r="G21" s="30"/>
      <c r="H21" s="2">
        <v>17</v>
      </c>
      <c r="I21" s="62" t="s">
        <v>119</v>
      </c>
      <c r="J21" s="34">
        <v>143</v>
      </c>
      <c r="K21" s="30">
        <v>0.6</v>
      </c>
      <c r="L21" s="64">
        <v>1.2</v>
      </c>
      <c r="M21" s="64">
        <v>0.9</v>
      </c>
      <c r="N21" s="30"/>
      <c r="O21" s="2">
        <v>17</v>
      </c>
      <c r="P21" s="62" t="s">
        <v>123</v>
      </c>
      <c r="Q21" s="34">
        <v>389</v>
      </c>
      <c r="R21" s="30">
        <v>0.7</v>
      </c>
      <c r="S21" s="64">
        <v>1.6</v>
      </c>
      <c r="T21" s="64">
        <v>1.2</v>
      </c>
    </row>
    <row r="22" spans="1:20" s="25" customFormat="1" ht="15" customHeight="1" x14ac:dyDescent="0.2">
      <c r="A22" s="2">
        <v>18</v>
      </c>
      <c r="B22" s="62" t="s">
        <v>118</v>
      </c>
      <c r="C22" s="63">
        <v>200</v>
      </c>
      <c r="D22" s="64">
        <v>0.6</v>
      </c>
      <c r="E22" s="64">
        <v>1.6</v>
      </c>
      <c r="F22" s="73">
        <v>1.4</v>
      </c>
      <c r="G22" s="30"/>
      <c r="H22" s="2">
        <v>18</v>
      </c>
      <c r="I22" s="62" t="s">
        <v>121</v>
      </c>
      <c r="J22" s="63">
        <v>127</v>
      </c>
      <c r="K22" s="64">
        <v>0.6</v>
      </c>
      <c r="L22" s="64">
        <v>1</v>
      </c>
      <c r="M22" s="64">
        <v>0.8</v>
      </c>
      <c r="N22" s="30"/>
      <c r="O22" s="2">
        <v>18</v>
      </c>
      <c r="P22" s="62" t="s">
        <v>118</v>
      </c>
      <c r="Q22" s="63">
        <v>354</v>
      </c>
      <c r="R22" s="64">
        <v>0.6</v>
      </c>
      <c r="S22" s="64">
        <v>1.4</v>
      </c>
      <c r="T22" s="64">
        <v>1.2</v>
      </c>
    </row>
    <row r="23" spans="1:20" s="25" customFormat="1" ht="15" customHeight="1" x14ac:dyDescent="0.2">
      <c r="A23" s="2">
        <v>19</v>
      </c>
      <c r="B23" s="62" t="s">
        <v>131</v>
      </c>
      <c r="C23" s="63">
        <v>146</v>
      </c>
      <c r="D23" s="64">
        <v>0.4</v>
      </c>
      <c r="E23" s="64">
        <v>1.2</v>
      </c>
      <c r="F23" s="73">
        <v>1.2</v>
      </c>
      <c r="G23" s="30"/>
      <c r="H23" s="2">
        <v>19</v>
      </c>
      <c r="I23" s="62" t="s">
        <v>124</v>
      </c>
      <c r="J23" s="34">
        <v>119</v>
      </c>
      <c r="K23" s="30">
        <v>0.5</v>
      </c>
      <c r="L23" s="64">
        <v>1</v>
      </c>
      <c r="M23" s="64">
        <v>0.8</v>
      </c>
      <c r="N23" s="30"/>
      <c r="O23" s="2">
        <v>19</v>
      </c>
      <c r="P23" s="62" t="s">
        <v>121</v>
      </c>
      <c r="Q23" s="34">
        <v>338</v>
      </c>
      <c r="R23" s="30">
        <v>0.6</v>
      </c>
      <c r="S23" s="64">
        <v>1.4</v>
      </c>
      <c r="T23" s="64">
        <v>1.1000000000000001</v>
      </c>
    </row>
    <row r="24" spans="1:20" s="25" customFormat="1" ht="15" customHeight="1" x14ac:dyDescent="0.2">
      <c r="A24" s="2">
        <v>20</v>
      </c>
      <c r="B24" s="62" t="s">
        <v>129</v>
      </c>
      <c r="C24" s="63">
        <v>135</v>
      </c>
      <c r="D24" s="64">
        <v>0.4</v>
      </c>
      <c r="E24" s="64">
        <v>1.1000000000000001</v>
      </c>
      <c r="F24" s="73">
        <v>1.1000000000000001</v>
      </c>
      <c r="G24" s="30"/>
      <c r="H24" s="2">
        <v>20</v>
      </c>
      <c r="I24" s="62" t="s">
        <v>426</v>
      </c>
      <c r="J24" s="34">
        <v>110</v>
      </c>
      <c r="K24" s="30">
        <v>0.5</v>
      </c>
      <c r="L24" s="64">
        <v>0.9</v>
      </c>
      <c r="M24" s="64">
        <v>0.7</v>
      </c>
      <c r="N24" s="30"/>
      <c r="O24" s="2">
        <v>20</v>
      </c>
      <c r="P24" s="62" t="s">
        <v>423</v>
      </c>
      <c r="Q24" s="34">
        <v>210</v>
      </c>
      <c r="R24" s="30">
        <v>0.4</v>
      </c>
      <c r="S24" s="64">
        <v>0.9</v>
      </c>
      <c r="T24" s="64">
        <v>0.8</v>
      </c>
    </row>
    <row r="25" spans="1:20" s="54" customFormat="1" ht="15" customHeight="1" x14ac:dyDescent="0.2">
      <c r="A25" s="3"/>
      <c r="B25" s="65" t="s">
        <v>253</v>
      </c>
      <c r="C25" s="66">
        <v>17805</v>
      </c>
      <c r="D25" s="67">
        <v>49.5</v>
      </c>
      <c r="E25" s="67">
        <v>144.80000000000001</v>
      </c>
      <c r="F25" s="67">
        <v>126.1</v>
      </c>
      <c r="G25" s="58"/>
      <c r="H25" s="3"/>
      <c r="I25" s="65" t="s">
        <v>253</v>
      </c>
      <c r="J25" s="41">
        <v>10307</v>
      </c>
      <c r="K25" s="38">
        <v>45.8</v>
      </c>
      <c r="L25" s="67">
        <v>83.9</v>
      </c>
      <c r="M25" s="67">
        <v>69.2</v>
      </c>
      <c r="N25" s="38"/>
      <c r="O25" s="3"/>
      <c r="P25" s="65" t="s">
        <v>253</v>
      </c>
      <c r="Q25" s="41">
        <v>28112</v>
      </c>
      <c r="R25" s="38">
        <v>48.1</v>
      </c>
      <c r="S25" s="67">
        <v>114.4</v>
      </c>
      <c r="T25" s="67">
        <v>97</v>
      </c>
    </row>
    <row r="26" spans="1:20" s="54" customFormat="1" ht="15" customHeight="1" x14ac:dyDescent="0.2">
      <c r="A26" s="145"/>
      <c r="B26" s="65" t="s">
        <v>574</v>
      </c>
      <c r="C26" s="66">
        <v>18150</v>
      </c>
      <c r="D26" s="67">
        <v>50.5</v>
      </c>
      <c r="E26" s="67">
        <v>147.6</v>
      </c>
      <c r="F26" s="67">
        <v>123</v>
      </c>
      <c r="G26" s="58"/>
      <c r="H26" s="145"/>
      <c r="I26" s="65" t="s">
        <v>574</v>
      </c>
      <c r="J26" s="41">
        <v>12206</v>
      </c>
      <c r="K26" s="38">
        <v>54.2</v>
      </c>
      <c r="L26" s="67">
        <v>99.4</v>
      </c>
      <c r="M26" s="67">
        <v>78.3</v>
      </c>
      <c r="N26" s="38"/>
      <c r="O26" s="145"/>
      <c r="P26" s="65" t="s">
        <v>574</v>
      </c>
      <c r="Q26" s="41">
        <v>30356</v>
      </c>
      <c r="R26" s="38">
        <v>51.9</v>
      </c>
      <c r="S26" s="67">
        <v>123.5</v>
      </c>
      <c r="T26" s="67">
        <v>100</v>
      </c>
    </row>
    <row r="27" spans="1:20" s="54" customFormat="1" ht="15" customHeight="1" x14ac:dyDescent="0.2">
      <c r="A27" s="68"/>
      <c r="B27" s="68" t="s">
        <v>575</v>
      </c>
      <c r="C27" s="69">
        <v>35955</v>
      </c>
      <c r="D27" s="70">
        <v>100</v>
      </c>
      <c r="E27" s="70">
        <v>292.39999999999998</v>
      </c>
      <c r="F27" s="70">
        <v>249</v>
      </c>
      <c r="G27" s="48"/>
      <c r="H27" s="68"/>
      <c r="I27" s="68" t="s">
        <v>575</v>
      </c>
      <c r="J27" s="52">
        <v>22513</v>
      </c>
      <c r="K27" s="48">
        <v>100</v>
      </c>
      <c r="L27" s="70">
        <v>183.3</v>
      </c>
      <c r="M27" s="70">
        <v>147.5</v>
      </c>
      <c r="N27" s="48"/>
      <c r="O27" s="68"/>
      <c r="P27" s="68" t="s">
        <v>575</v>
      </c>
      <c r="Q27" s="52">
        <v>58468</v>
      </c>
      <c r="R27" s="48">
        <v>100</v>
      </c>
      <c r="S27" s="70">
        <v>237.9</v>
      </c>
      <c r="T27" s="70">
        <v>197.1</v>
      </c>
    </row>
    <row r="28" spans="1:20" s="128" customFormat="1" ht="15" customHeight="1" x14ac:dyDescent="0.2">
      <c r="A28" s="133" t="s">
        <v>68</v>
      </c>
      <c r="B28" s="130" t="s">
        <v>69</v>
      </c>
      <c r="C28" s="132"/>
      <c r="E28" s="138"/>
      <c r="F28" s="131"/>
      <c r="G28" s="136"/>
      <c r="H28" s="136"/>
      <c r="I28" s="131"/>
      <c r="J28" s="129"/>
      <c r="K28" s="131"/>
      <c r="L28" s="131"/>
      <c r="M28" s="136"/>
      <c r="N28" s="136"/>
      <c r="O28" s="131"/>
      <c r="P28" s="131"/>
    </row>
    <row r="29" spans="1:20" s="128" customFormat="1" ht="15" customHeight="1" x14ac:dyDescent="0.2">
      <c r="A29" s="133" t="s">
        <v>322</v>
      </c>
      <c r="B29" s="130" t="s">
        <v>568</v>
      </c>
      <c r="C29" s="132"/>
      <c r="E29"/>
      <c r="F29"/>
      <c r="G29" s="136"/>
      <c r="H29" s="136"/>
      <c r="I29" s="131"/>
      <c r="J29" s="129"/>
      <c r="K29" s="131"/>
      <c r="L29" s="131"/>
      <c r="M29" s="136"/>
      <c r="N29" s="136"/>
      <c r="O29" s="131"/>
      <c r="P29" s="131"/>
    </row>
    <row r="30" spans="1:20" s="88" customFormat="1" ht="15" customHeight="1" x14ac:dyDescent="0.2">
      <c r="A30" s="84" t="s">
        <v>4</v>
      </c>
      <c r="B30" s="95"/>
      <c r="C30" s="87"/>
      <c r="E30" s="87"/>
      <c r="F30" s="87"/>
      <c r="G30" s="87"/>
      <c r="H30" s="84"/>
      <c r="I30" s="95"/>
      <c r="K30" s="89"/>
      <c r="L30" s="87"/>
      <c r="M30" s="87"/>
      <c r="N30" s="86"/>
      <c r="O30" s="84"/>
      <c r="P30" s="95"/>
      <c r="Q30" s="86"/>
      <c r="R30" s="87"/>
      <c r="S30" s="87"/>
      <c r="T30" s="87"/>
    </row>
    <row r="31" spans="1:20" s="96" customFormat="1" ht="15" customHeight="1" x14ac:dyDescent="0.2">
      <c r="A31" s="95" t="s">
        <v>544</v>
      </c>
      <c r="B31" s="119"/>
      <c r="C31" s="119"/>
      <c r="E31" s="119"/>
      <c r="F31" s="119"/>
      <c r="G31" s="119"/>
      <c r="H31" s="119"/>
      <c r="I31" s="119"/>
      <c r="J31" s="119"/>
      <c r="K31" s="119"/>
      <c r="L31" s="119"/>
      <c r="M31" s="119"/>
      <c r="N31" s="119"/>
      <c r="O31" s="119"/>
      <c r="P31" s="119"/>
      <c r="Q31" s="121"/>
      <c r="R31" s="122"/>
      <c r="S31" s="119"/>
      <c r="T31" s="119"/>
    </row>
    <row r="32" spans="1:20" s="96" customFormat="1" ht="15" customHeight="1" x14ac:dyDescent="0.2">
      <c r="A32" s="95" t="s">
        <v>607</v>
      </c>
      <c r="B32" s="119"/>
      <c r="C32" s="119"/>
      <c r="E32" s="119"/>
      <c r="F32" s="119"/>
      <c r="G32" s="119"/>
      <c r="H32" s="119"/>
      <c r="I32" s="119"/>
      <c r="J32" s="119"/>
      <c r="K32" s="119"/>
      <c r="L32" s="119"/>
      <c r="M32" s="119"/>
      <c r="N32" s="119"/>
      <c r="O32" s="119"/>
      <c r="P32" s="119"/>
      <c r="Q32" s="121"/>
      <c r="R32" s="122"/>
      <c r="S32" s="119"/>
      <c r="T32" s="119"/>
    </row>
    <row r="33" spans="1:20" s="96" customFormat="1" ht="30" customHeight="1" x14ac:dyDescent="0.2">
      <c r="A33" s="611" t="s">
        <v>545</v>
      </c>
      <c r="B33" s="614"/>
      <c r="C33" s="614"/>
      <c r="D33" s="614"/>
      <c r="E33" s="614"/>
      <c r="F33" s="614"/>
      <c r="G33" s="614"/>
      <c r="H33" s="614"/>
      <c r="I33" s="614"/>
      <c r="J33" s="614"/>
      <c r="K33" s="614"/>
      <c r="L33" s="614"/>
      <c r="M33" s="614"/>
      <c r="N33" s="614"/>
      <c r="O33" s="614"/>
      <c r="P33" s="614"/>
    </row>
    <row r="34" spans="1:20" s="96" customFormat="1" ht="15" customHeight="1" x14ac:dyDescent="0.2">
      <c r="A34" s="95" t="s">
        <v>546</v>
      </c>
      <c r="B34" s="95"/>
      <c r="C34" s="95"/>
      <c r="E34" s="95"/>
      <c r="F34" s="95"/>
      <c r="G34" s="95"/>
      <c r="H34" s="95"/>
      <c r="I34" s="95"/>
      <c r="J34" s="95"/>
      <c r="K34" s="95"/>
      <c r="L34" s="95"/>
      <c r="M34" s="95"/>
      <c r="N34" s="95"/>
      <c r="O34" s="95"/>
    </row>
    <row r="35" spans="1:20" s="135" customFormat="1" ht="15" customHeight="1" x14ac:dyDescent="0.2">
      <c r="A35" s="134" t="s">
        <v>554</v>
      </c>
      <c r="B35" s="119"/>
      <c r="C35" s="122"/>
      <c r="E35" s="122"/>
      <c r="F35" s="122"/>
      <c r="G35" s="96"/>
      <c r="H35" s="119"/>
      <c r="I35" s="119"/>
      <c r="J35" s="121"/>
      <c r="K35" s="122"/>
      <c r="L35" s="122"/>
      <c r="M35" s="122"/>
      <c r="N35" s="96"/>
      <c r="O35" s="97"/>
      <c r="P35" s="119"/>
      <c r="Q35" s="121"/>
      <c r="R35" s="122"/>
      <c r="S35" s="122"/>
      <c r="T35" s="122"/>
    </row>
    <row r="36" spans="1:20" customFormat="1" ht="15" customHeight="1" x14ac:dyDescent="0.2"/>
  </sheetData>
  <mergeCells count="4">
    <mergeCell ref="B3:D3"/>
    <mergeCell ref="I3:K3"/>
    <mergeCell ref="P3:R3"/>
    <mergeCell ref="A33:P33"/>
  </mergeCells>
  <hyperlinks>
    <hyperlink ref="A2" location="Contents!A1" display="Back to contents" xr:uid="{8CC37D4B-AD7C-4ACE-B22D-83924094C9F9}"/>
  </hyperlinks>
  <pageMargins left="0.7" right="0.7" top="0.75" bottom="0.75" header="0.3" footer="0.3"/>
  <pageSetup paperSize="9" orientation="portrait" horizontalDpi="4294967292"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B0B62-3CC2-475F-830A-D6FC68090E29}">
  <dimension ref="A1:Q127"/>
  <sheetViews>
    <sheetView workbookViewId="0">
      <pane ySplit="4" topLeftCell="A5" activePane="bottomLeft" state="frozen"/>
      <selection pane="bottomLeft" activeCell="A5" sqref="A5"/>
    </sheetView>
  </sheetViews>
  <sheetFormatPr defaultRowHeight="15" customHeight="1" x14ac:dyDescent="0.2"/>
  <cols>
    <col min="1" max="2" width="9" style="191"/>
    <col min="3" max="4" width="9.625" style="191" customWidth="1"/>
    <col min="5" max="5" width="2.625" style="191" customWidth="1"/>
    <col min="6" max="6" width="9" style="191"/>
    <col min="7" max="8" width="9.625" style="191" customWidth="1"/>
    <col min="9" max="9" width="2.625" style="191" customWidth="1"/>
    <col min="10" max="10" width="9" style="191"/>
    <col min="11" max="12" width="9.625" style="191" customWidth="1"/>
    <col min="13" max="16384" width="9" style="191"/>
  </cols>
  <sheetData>
    <row r="1" spans="1:12" ht="15" customHeight="1" x14ac:dyDescent="0.25">
      <c r="A1" s="151" t="s">
        <v>595</v>
      </c>
      <c r="B1" s="152"/>
      <c r="C1" s="154"/>
      <c r="D1" s="154"/>
      <c r="E1" s="154"/>
      <c r="F1" s="155"/>
      <c r="G1" s="154"/>
      <c r="H1" s="154"/>
      <c r="I1" s="154"/>
      <c r="J1" s="155"/>
      <c r="K1" s="154"/>
    </row>
    <row r="2" spans="1:12" s="199" customFormat="1" ht="15" customHeight="1" x14ac:dyDescent="0.2">
      <c r="A2" s="500" t="s">
        <v>585</v>
      </c>
    </row>
    <row r="3" spans="1:12" s="165" customFormat="1" ht="15" customHeight="1" x14ac:dyDescent="0.2">
      <c r="A3" s="192"/>
      <c r="B3" s="616" t="s">
        <v>0</v>
      </c>
      <c r="C3" s="616"/>
      <c r="D3" s="616"/>
      <c r="E3" s="193"/>
      <c r="F3" s="616" t="s">
        <v>1</v>
      </c>
      <c r="G3" s="616"/>
      <c r="H3" s="616"/>
      <c r="I3" s="193"/>
      <c r="J3" s="616" t="s">
        <v>2</v>
      </c>
      <c r="K3" s="616"/>
      <c r="L3" s="616"/>
    </row>
    <row r="4" spans="1:12" s="165" customFormat="1" ht="45" customHeight="1" x14ac:dyDescent="0.2">
      <c r="A4" s="194" t="s">
        <v>26</v>
      </c>
      <c r="B4" s="195" t="s">
        <v>41</v>
      </c>
      <c r="C4" s="195" t="s">
        <v>565</v>
      </c>
      <c r="D4" s="195" t="s">
        <v>560</v>
      </c>
      <c r="E4" s="195"/>
      <c r="F4" s="195" t="s">
        <v>41</v>
      </c>
      <c r="G4" s="195" t="s">
        <v>565</v>
      </c>
      <c r="H4" s="195" t="s">
        <v>560</v>
      </c>
      <c r="I4" s="195"/>
      <c r="J4" s="195" t="s">
        <v>41</v>
      </c>
      <c r="K4" s="195" t="s">
        <v>565</v>
      </c>
      <c r="L4" s="195" t="s">
        <v>560</v>
      </c>
    </row>
    <row r="5" spans="1:12" s="165" customFormat="1" ht="15" customHeight="1" x14ac:dyDescent="0.2">
      <c r="A5" s="182">
        <v>1907</v>
      </c>
      <c r="B5" s="184">
        <v>25939</v>
      </c>
      <c r="C5" s="177">
        <v>1190.4000000000001</v>
      </c>
      <c r="D5" s="177">
        <v>2234.1999999999998</v>
      </c>
      <c r="E5" s="177"/>
      <c r="F5" s="178">
        <v>19366</v>
      </c>
      <c r="G5" s="177">
        <v>966.6</v>
      </c>
      <c r="H5" s="177">
        <v>1844.4</v>
      </c>
      <c r="I5" s="177"/>
      <c r="J5" s="178">
        <v>45305</v>
      </c>
      <c r="K5" s="177">
        <v>1083.2</v>
      </c>
      <c r="L5" s="501">
        <v>2054.1999999999998</v>
      </c>
    </row>
    <row r="6" spans="1:12" s="165" customFormat="1" ht="15" customHeight="1" x14ac:dyDescent="0.2">
      <c r="A6" s="182">
        <v>1908</v>
      </c>
      <c r="B6" s="184">
        <v>26632</v>
      </c>
      <c r="C6" s="177">
        <v>1203.7</v>
      </c>
      <c r="D6" s="177">
        <v>2279.6</v>
      </c>
      <c r="E6" s="177"/>
      <c r="F6" s="178">
        <v>19794</v>
      </c>
      <c r="G6" s="177">
        <v>971.2</v>
      </c>
      <c r="H6" s="177">
        <v>1851.2</v>
      </c>
      <c r="I6" s="177"/>
      <c r="J6" s="178">
        <v>46426</v>
      </c>
      <c r="K6" s="177">
        <v>1092.2</v>
      </c>
      <c r="L6" s="501">
        <v>2079.3000000000002</v>
      </c>
    </row>
    <row r="7" spans="1:12" s="165" customFormat="1" ht="15" customHeight="1" x14ac:dyDescent="0.2">
      <c r="A7" s="182">
        <v>1909</v>
      </c>
      <c r="B7" s="184">
        <v>25514</v>
      </c>
      <c r="C7" s="177">
        <v>1136</v>
      </c>
      <c r="D7" s="177">
        <v>2130.5</v>
      </c>
      <c r="E7" s="177"/>
      <c r="F7" s="178">
        <v>18658</v>
      </c>
      <c r="G7" s="177">
        <v>900.2</v>
      </c>
      <c r="H7" s="177">
        <v>1691.4</v>
      </c>
      <c r="I7" s="177"/>
      <c r="J7" s="178">
        <v>44172</v>
      </c>
      <c r="K7" s="177">
        <v>1022.8</v>
      </c>
      <c r="L7" s="501">
        <v>1925.2</v>
      </c>
    </row>
    <row r="8" spans="1:12" s="165" customFormat="1" ht="15" customHeight="1" x14ac:dyDescent="0.2">
      <c r="A8" s="182">
        <v>1910</v>
      </c>
      <c r="B8" s="184">
        <v>26154</v>
      </c>
      <c r="C8" s="177">
        <v>1147.3</v>
      </c>
      <c r="D8" s="177">
        <v>2106.4</v>
      </c>
      <c r="E8" s="177"/>
      <c r="F8" s="178">
        <v>19436</v>
      </c>
      <c r="G8" s="177">
        <v>922.3</v>
      </c>
      <c r="H8" s="177">
        <v>1735.9</v>
      </c>
      <c r="I8" s="177"/>
      <c r="J8" s="178">
        <v>45590</v>
      </c>
      <c r="K8" s="177">
        <v>1039.2</v>
      </c>
      <c r="L8" s="501">
        <v>1933</v>
      </c>
    </row>
    <row r="9" spans="1:12" s="165" customFormat="1" ht="15" customHeight="1" x14ac:dyDescent="0.2">
      <c r="A9" s="182">
        <v>1911</v>
      </c>
      <c r="B9" s="184">
        <v>27591</v>
      </c>
      <c r="C9" s="177">
        <v>1192.8</v>
      </c>
      <c r="D9" s="177">
        <v>2241.6999999999998</v>
      </c>
      <c r="E9" s="177"/>
      <c r="F9" s="178">
        <v>20278</v>
      </c>
      <c r="G9" s="177">
        <v>946.7</v>
      </c>
      <c r="H9" s="177">
        <v>1820.5</v>
      </c>
      <c r="I9" s="177"/>
      <c r="J9" s="178">
        <v>47869</v>
      </c>
      <c r="K9" s="177">
        <v>1074.5</v>
      </c>
      <c r="L9" s="501">
        <v>2043.4</v>
      </c>
    </row>
    <row r="10" spans="1:12" s="165" customFormat="1" ht="15" customHeight="1" x14ac:dyDescent="0.2">
      <c r="A10" s="182">
        <v>1912</v>
      </c>
      <c r="B10" s="184">
        <v>30285</v>
      </c>
      <c r="C10" s="177">
        <v>1283.8</v>
      </c>
      <c r="D10" s="177">
        <v>2322</v>
      </c>
      <c r="E10" s="177"/>
      <c r="F10" s="178">
        <v>21892</v>
      </c>
      <c r="G10" s="177">
        <v>996.9</v>
      </c>
      <c r="H10" s="177">
        <v>1851.6</v>
      </c>
      <c r="I10" s="177"/>
      <c r="J10" s="178">
        <v>52177</v>
      </c>
      <c r="K10" s="177">
        <v>1145.5</v>
      </c>
      <c r="L10" s="501">
        <v>2099.8000000000002</v>
      </c>
    </row>
    <row r="11" spans="1:12" s="165" customFormat="1" ht="15" customHeight="1" x14ac:dyDescent="0.2">
      <c r="A11" s="182">
        <v>1913</v>
      </c>
      <c r="B11" s="184">
        <v>29859</v>
      </c>
      <c r="C11" s="177">
        <v>1241.5999999999999</v>
      </c>
      <c r="D11" s="177">
        <v>2229.4</v>
      </c>
      <c r="E11" s="177"/>
      <c r="F11" s="178">
        <v>21930</v>
      </c>
      <c r="G11" s="177">
        <v>974.6</v>
      </c>
      <c r="H11" s="177">
        <v>1798.2</v>
      </c>
      <c r="I11" s="177"/>
      <c r="J11" s="178">
        <v>51789</v>
      </c>
      <c r="K11" s="177">
        <v>1112.5</v>
      </c>
      <c r="L11" s="501">
        <v>2025</v>
      </c>
    </row>
    <row r="12" spans="1:12" s="165" customFormat="1" ht="15" customHeight="1" x14ac:dyDescent="0.2">
      <c r="A12" s="182">
        <v>1914</v>
      </c>
      <c r="B12" s="184">
        <v>29835</v>
      </c>
      <c r="C12" s="177">
        <v>1217.4000000000001</v>
      </c>
      <c r="D12" s="177">
        <v>2188.1999999999998</v>
      </c>
      <c r="E12" s="177"/>
      <c r="F12" s="178">
        <v>21885</v>
      </c>
      <c r="G12" s="177">
        <v>949.7</v>
      </c>
      <c r="H12" s="177">
        <v>1778</v>
      </c>
      <c r="I12" s="177"/>
      <c r="J12" s="178">
        <v>51720</v>
      </c>
      <c r="K12" s="177">
        <v>1087.7</v>
      </c>
      <c r="L12" s="501">
        <v>1992.5</v>
      </c>
    </row>
    <row r="13" spans="1:12" s="165" customFormat="1" ht="15" customHeight="1" x14ac:dyDescent="0.2">
      <c r="A13" s="182">
        <v>1915</v>
      </c>
      <c r="B13" s="184">
        <v>30654</v>
      </c>
      <c r="C13" s="177">
        <v>1227.8</v>
      </c>
      <c r="D13" s="177">
        <v>2255.1</v>
      </c>
      <c r="E13" s="177"/>
      <c r="F13" s="178">
        <v>22128</v>
      </c>
      <c r="G13" s="177">
        <v>938.2</v>
      </c>
      <c r="H13" s="177">
        <v>1768.9</v>
      </c>
      <c r="I13" s="177"/>
      <c r="J13" s="178">
        <v>52782</v>
      </c>
      <c r="K13" s="177">
        <v>1087.2</v>
      </c>
      <c r="L13" s="501">
        <v>2020.8</v>
      </c>
    </row>
    <row r="14" spans="1:12" s="165" customFormat="1" ht="15" customHeight="1" x14ac:dyDescent="0.2">
      <c r="A14" s="182">
        <v>1916</v>
      </c>
      <c r="B14" s="184">
        <v>31018</v>
      </c>
      <c r="C14" s="177">
        <v>1220</v>
      </c>
      <c r="D14" s="177">
        <v>2261.8000000000002</v>
      </c>
      <c r="E14" s="177"/>
      <c r="F14" s="178">
        <v>23179</v>
      </c>
      <c r="G14" s="177">
        <v>960.8</v>
      </c>
      <c r="H14" s="177">
        <v>1779.4</v>
      </c>
      <c r="I14" s="177"/>
      <c r="J14" s="178">
        <v>54197</v>
      </c>
      <c r="K14" s="177">
        <v>1093.8</v>
      </c>
      <c r="L14" s="501">
        <v>2027.7</v>
      </c>
    </row>
    <row r="15" spans="1:12" s="165" customFormat="1" ht="15" customHeight="1" x14ac:dyDescent="0.2">
      <c r="A15" s="182">
        <v>1917</v>
      </c>
      <c r="B15" s="184">
        <v>27609</v>
      </c>
      <c r="C15" s="177">
        <v>1066.7</v>
      </c>
      <c r="D15" s="177">
        <v>2040.2</v>
      </c>
      <c r="E15" s="177"/>
      <c r="F15" s="178">
        <v>20420</v>
      </c>
      <c r="G15" s="177">
        <v>827.8</v>
      </c>
      <c r="H15" s="177">
        <v>1595</v>
      </c>
      <c r="I15" s="177"/>
      <c r="J15" s="178">
        <v>48029</v>
      </c>
      <c r="K15" s="177">
        <v>950.1</v>
      </c>
      <c r="L15" s="501">
        <v>1822.8</v>
      </c>
    </row>
    <row r="16" spans="1:12" s="165" customFormat="1" ht="15" customHeight="1" x14ac:dyDescent="0.2">
      <c r="A16" s="182">
        <v>1918</v>
      </c>
      <c r="B16" s="184">
        <v>28585</v>
      </c>
      <c r="C16" s="177">
        <v>1085.0999999999999</v>
      </c>
      <c r="D16" s="177">
        <v>2087.4</v>
      </c>
      <c r="E16" s="177"/>
      <c r="F16" s="178">
        <v>21664</v>
      </c>
      <c r="G16" s="177">
        <v>859.4</v>
      </c>
      <c r="H16" s="177">
        <v>1681.3</v>
      </c>
      <c r="I16" s="177"/>
      <c r="J16" s="178">
        <v>50249</v>
      </c>
      <c r="K16" s="177">
        <v>974.7</v>
      </c>
      <c r="L16" s="501">
        <v>1889.4</v>
      </c>
    </row>
    <row r="17" spans="1:12" s="165" customFormat="1" ht="15" customHeight="1" x14ac:dyDescent="0.2">
      <c r="A17" s="182">
        <v>1919</v>
      </c>
      <c r="B17" s="184">
        <v>37632</v>
      </c>
      <c r="C17" s="177">
        <v>1404.1</v>
      </c>
      <c r="D17" s="177">
        <v>2417.6</v>
      </c>
      <c r="E17" s="177"/>
      <c r="F17" s="178">
        <v>28298</v>
      </c>
      <c r="G17" s="177">
        <v>1099</v>
      </c>
      <c r="H17" s="177">
        <v>1958.6</v>
      </c>
      <c r="I17" s="177"/>
      <c r="J17" s="178">
        <v>65930</v>
      </c>
      <c r="K17" s="177">
        <v>1254.5999999999999</v>
      </c>
      <c r="L17" s="501">
        <v>2192.9</v>
      </c>
    </row>
    <row r="18" spans="1:12" s="165" customFormat="1" ht="15" customHeight="1" x14ac:dyDescent="0.2">
      <c r="A18" s="182">
        <v>1920</v>
      </c>
      <c r="B18" s="184">
        <v>32053</v>
      </c>
      <c r="C18" s="177">
        <v>1175.8</v>
      </c>
      <c r="D18" s="177">
        <v>2182.4</v>
      </c>
      <c r="E18" s="177"/>
      <c r="F18" s="178">
        <v>24236</v>
      </c>
      <c r="G18" s="177">
        <v>921.8</v>
      </c>
      <c r="H18" s="177">
        <v>1745.3</v>
      </c>
      <c r="I18" s="177"/>
      <c r="J18" s="178">
        <v>56289</v>
      </c>
      <c r="K18" s="177">
        <v>1051.0999999999999</v>
      </c>
      <c r="L18" s="501">
        <v>1967.6</v>
      </c>
    </row>
    <row r="19" spans="1:12" s="165" customFormat="1" ht="15" customHeight="1" x14ac:dyDescent="0.2">
      <c r="A19" s="182">
        <v>1921</v>
      </c>
      <c r="B19" s="184">
        <v>30652</v>
      </c>
      <c r="C19" s="177">
        <v>1105.8</v>
      </c>
      <c r="D19" s="177">
        <v>1987.2</v>
      </c>
      <c r="E19" s="177"/>
      <c r="F19" s="178">
        <v>23424</v>
      </c>
      <c r="G19" s="177">
        <v>873</v>
      </c>
      <c r="H19" s="177">
        <v>1601.7</v>
      </c>
      <c r="I19" s="177"/>
      <c r="J19" s="178">
        <v>54076</v>
      </c>
      <c r="K19" s="177">
        <v>991.3</v>
      </c>
      <c r="L19" s="501">
        <v>1797.1</v>
      </c>
    </row>
    <row r="20" spans="1:12" s="165" customFormat="1" ht="15" customHeight="1" x14ac:dyDescent="0.2">
      <c r="A20" s="182">
        <v>1922</v>
      </c>
      <c r="B20" s="184">
        <v>29245</v>
      </c>
      <c r="C20" s="177">
        <v>1032.8</v>
      </c>
      <c r="D20" s="177">
        <v>1952.8</v>
      </c>
      <c r="E20" s="177"/>
      <c r="F20" s="178">
        <v>22066</v>
      </c>
      <c r="G20" s="177">
        <v>805.8</v>
      </c>
      <c r="H20" s="177">
        <v>1581.6</v>
      </c>
      <c r="I20" s="177"/>
      <c r="J20" s="178">
        <v>51311</v>
      </c>
      <c r="K20" s="177">
        <v>921.2</v>
      </c>
      <c r="L20" s="501">
        <v>1769.7</v>
      </c>
    </row>
    <row r="21" spans="1:12" s="165" customFormat="1" ht="15" customHeight="1" x14ac:dyDescent="0.2">
      <c r="A21" s="182">
        <v>1923</v>
      </c>
      <c r="B21" s="184">
        <v>31622</v>
      </c>
      <c r="C21" s="177">
        <v>1090.9000000000001</v>
      </c>
      <c r="D21" s="177">
        <v>2086.5</v>
      </c>
      <c r="E21" s="177"/>
      <c r="F21" s="178">
        <v>24614</v>
      </c>
      <c r="G21" s="177">
        <v>880.8</v>
      </c>
      <c r="H21" s="177">
        <v>1731.8</v>
      </c>
      <c r="I21" s="177"/>
      <c r="J21" s="178">
        <v>56236</v>
      </c>
      <c r="K21" s="177">
        <v>987.7</v>
      </c>
      <c r="L21" s="501">
        <v>1911.9</v>
      </c>
    </row>
    <row r="22" spans="1:12" s="165" customFormat="1" ht="15" customHeight="1" x14ac:dyDescent="0.2">
      <c r="A22" s="182">
        <v>1924</v>
      </c>
      <c r="B22" s="184">
        <v>31103</v>
      </c>
      <c r="C22" s="177">
        <v>1050.2</v>
      </c>
      <c r="D22" s="177">
        <v>2026.9</v>
      </c>
      <c r="E22" s="177"/>
      <c r="F22" s="178">
        <v>23877</v>
      </c>
      <c r="G22" s="177">
        <v>837.9</v>
      </c>
      <c r="H22" s="177">
        <v>1632.8</v>
      </c>
      <c r="I22" s="177"/>
      <c r="J22" s="178">
        <v>54980</v>
      </c>
      <c r="K22" s="177">
        <v>946.1</v>
      </c>
      <c r="L22" s="501">
        <v>1830.6</v>
      </c>
    </row>
    <row r="23" spans="1:12" s="165" customFormat="1" ht="15" customHeight="1" x14ac:dyDescent="0.2">
      <c r="A23" s="182">
        <v>1925</v>
      </c>
      <c r="B23" s="184">
        <v>31134</v>
      </c>
      <c r="C23" s="177">
        <v>1027.2</v>
      </c>
      <c r="D23" s="177">
        <v>1985.6</v>
      </c>
      <c r="E23" s="177"/>
      <c r="F23" s="178">
        <v>23434</v>
      </c>
      <c r="G23" s="177">
        <v>805.8</v>
      </c>
      <c r="H23" s="177">
        <v>1576.2</v>
      </c>
      <c r="I23" s="177"/>
      <c r="J23" s="178">
        <v>54568</v>
      </c>
      <c r="K23" s="177">
        <v>918.8</v>
      </c>
      <c r="L23" s="501">
        <v>1780.3</v>
      </c>
    </row>
    <row r="24" spans="1:12" s="165" customFormat="1" ht="15" customHeight="1" x14ac:dyDescent="0.2">
      <c r="A24" s="182">
        <v>1926</v>
      </c>
      <c r="B24" s="184">
        <v>32387</v>
      </c>
      <c r="C24" s="177">
        <v>1047.5999999999999</v>
      </c>
      <c r="D24" s="177">
        <v>2075.6</v>
      </c>
      <c r="E24" s="177"/>
      <c r="F24" s="178">
        <v>24565</v>
      </c>
      <c r="G24" s="177">
        <v>828.6</v>
      </c>
      <c r="H24" s="177">
        <v>1614.2</v>
      </c>
      <c r="I24" s="177"/>
      <c r="J24" s="178">
        <v>56952</v>
      </c>
      <c r="K24" s="177">
        <v>940.4</v>
      </c>
      <c r="L24" s="501">
        <v>1838.7</v>
      </c>
    </row>
    <row r="25" spans="1:12" s="165" customFormat="1" ht="15" customHeight="1" x14ac:dyDescent="0.2">
      <c r="A25" s="182">
        <v>1927</v>
      </c>
      <c r="B25" s="184">
        <v>32858</v>
      </c>
      <c r="C25" s="177">
        <v>1040.2</v>
      </c>
      <c r="D25" s="177">
        <v>2024.3</v>
      </c>
      <c r="E25" s="177"/>
      <c r="F25" s="178">
        <v>25424</v>
      </c>
      <c r="G25" s="177">
        <v>840.8</v>
      </c>
      <c r="H25" s="177">
        <v>1635.4</v>
      </c>
      <c r="I25" s="177"/>
      <c r="J25" s="178">
        <v>58282</v>
      </c>
      <c r="K25" s="177">
        <v>942.7</v>
      </c>
      <c r="L25" s="501">
        <v>1827.9</v>
      </c>
    </row>
    <row r="26" spans="1:12" s="165" customFormat="1" ht="15" customHeight="1" x14ac:dyDescent="0.2">
      <c r="A26" s="182">
        <v>1928</v>
      </c>
      <c r="B26" s="184">
        <v>33145</v>
      </c>
      <c r="C26" s="177">
        <v>1028.9000000000001</v>
      </c>
      <c r="D26" s="177">
        <v>1966</v>
      </c>
      <c r="E26" s="177"/>
      <c r="F26" s="178">
        <v>26233</v>
      </c>
      <c r="G26" s="177">
        <v>851.5</v>
      </c>
      <c r="H26" s="177">
        <v>1638.8</v>
      </c>
      <c r="I26" s="177"/>
      <c r="J26" s="178">
        <v>59378</v>
      </c>
      <c r="K26" s="177">
        <v>942.2</v>
      </c>
      <c r="L26" s="501">
        <v>1802.8</v>
      </c>
    </row>
    <row r="27" spans="1:12" s="165" customFormat="1" ht="15" customHeight="1" x14ac:dyDescent="0.2">
      <c r="A27" s="182">
        <v>1929</v>
      </c>
      <c r="B27" s="184">
        <v>34718</v>
      </c>
      <c r="C27" s="177">
        <v>1063.2</v>
      </c>
      <c r="D27" s="177">
        <v>2079.8000000000002</v>
      </c>
      <c r="E27" s="177"/>
      <c r="F27" s="178">
        <v>26139</v>
      </c>
      <c r="G27" s="177">
        <v>835.5</v>
      </c>
      <c r="H27" s="177">
        <v>1625.3</v>
      </c>
      <c r="I27" s="177"/>
      <c r="J27" s="178">
        <v>60857</v>
      </c>
      <c r="K27" s="177">
        <v>951.8</v>
      </c>
      <c r="L27" s="501">
        <v>1847.5</v>
      </c>
    </row>
    <row r="28" spans="1:12" s="165" customFormat="1" ht="15" customHeight="1" x14ac:dyDescent="0.2">
      <c r="A28" s="182">
        <v>1930</v>
      </c>
      <c r="B28" s="184">
        <v>31148</v>
      </c>
      <c r="C28" s="177">
        <v>945.2</v>
      </c>
      <c r="D28" s="177">
        <v>1757.5</v>
      </c>
      <c r="E28" s="177"/>
      <c r="F28" s="178">
        <v>24183</v>
      </c>
      <c r="G28" s="177">
        <v>763.5</v>
      </c>
      <c r="H28" s="177">
        <v>1429</v>
      </c>
      <c r="I28" s="177"/>
      <c r="J28" s="178">
        <v>55331</v>
      </c>
      <c r="K28" s="177">
        <v>856.2</v>
      </c>
      <c r="L28" s="501">
        <v>1592.2</v>
      </c>
    </row>
    <row r="29" spans="1:12" s="165" customFormat="1" ht="15" customHeight="1" x14ac:dyDescent="0.2">
      <c r="A29" s="182">
        <v>1931</v>
      </c>
      <c r="B29" s="184">
        <v>31796</v>
      </c>
      <c r="C29" s="177">
        <v>957.4</v>
      </c>
      <c r="D29" s="177">
        <v>1787.9</v>
      </c>
      <c r="E29" s="177"/>
      <c r="F29" s="178">
        <v>24764</v>
      </c>
      <c r="G29" s="177">
        <v>772.6</v>
      </c>
      <c r="H29" s="177">
        <v>1445.8</v>
      </c>
      <c r="I29" s="177"/>
      <c r="J29" s="178">
        <v>56560</v>
      </c>
      <c r="K29" s="177">
        <v>866.6</v>
      </c>
      <c r="L29" s="501">
        <v>1615.7</v>
      </c>
    </row>
    <row r="30" spans="1:12" s="165" customFormat="1" ht="15" customHeight="1" x14ac:dyDescent="0.2">
      <c r="A30" s="182">
        <v>1932</v>
      </c>
      <c r="B30" s="184">
        <v>31860</v>
      </c>
      <c r="C30" s="177">
        <v>953</v>
      </c>
      <c r="D30" s="177">
        <v>1752.7</v>
      </c>
      <c r="E30" s="177"/>
      <c r="F30" s="178">
        <v>24897</v>
      </c>
      <c r="G30" s="177">
        <v>769.9</v>
      </c>
      <c r="H30" s="177">
        <v>1407.9</v>
      </c>
      <c r="I30" s="177"/>
      <c r="J30" s="178">
        <v>56757</v>
      </c>
      <c r="K30" s="177">
        <v>863</v>
      </c>
      <c r="L30" s="501">
        <v>1578.6</v>
      </c>
    </row>
    <row r="31" spans="1:12" s="165" customFormat="1" ht="15" customHeight="1" x14ac:dyDescent="0.2">
      <c r="A31" s="182">
        <v>1933</v>
      </c>
      <c r="B31" s="184">
        <v>33250</v>
      </c>
      <c r="C31" s="177">
        <v>987.5</v>
      </c>
      <c r="D31" s="177">
        <v>1795.6</v>
      </c>
      <c r="E31" s="177"/>
      <c r="F31" s="178">
        <v>25867</v>
      </c>
      <c r="G31" s="177">
        <v>792.8</v>
      </c>
      <c r="H31" s="177">
        <v>1430.5</v>
      </c>
      <c r="I31" s="177"/>
      <c r="J31" s="178">
        <v>59117</v>
      </c>
      <c r="K31" s="177">
        <v>891.7</v>
      </c>
      <c r="L31" s="501">
        <v>1611.2</v>
      </c>
    </row>
    <row r="32" spans="1:12" s="165" customFormat="1" ht="15" customHeight="1" x14ac:dyDescent="0.2">
      <c r="A32" s="182">
        <v>1934</v>
      </c>
      <c r="B32" s="184">
        <v>34562</v>
      </c>
      <c r="C32" s="177">
        <v>1020</v>
      </c>
      <c r="D32" s="177">
        <v>1840.3</v>
      </c>
      <c r="E32" s="177"/>
      <c r="F32" s="178">
        <v>27658</v>
      </c>
      <c r="G32" s="177">
        <v>840.9</v>
      </c>
      <c r="H32" s="177">
        <v>1475.1</v>
      </c>
      <c r="I32" s="177"/>
      <c r="J32" s="178">
        <v>62220</v>
      </c>
      <c r="K32" s="177">
        <v>931.8</v>
      </c>
      <c r="L32" s="501">
        <v>1652.8</v>
      </c>
    </row>
    <row r="33" spans="1:12" s="165" customFormat="1" ht="15" customHeight="1" x14ac:dyDescent="0.2">
      <c r="A33" s="182">
        <v>1935</v>
      </c>
      <c r="B33" s="184">
        <v>35691</v>
      </c>
      <c r="C33" s="177">
        <v>1046.5999999999999</v>
      </c>
      <c r="D33" s="177">
        <v>1859.7</v>
      </c>
      <c r="E33" s="177"/>
      <c r="F33" s="178">
        <v>27908</v>
      </c>
      <c r="G33" s="177">
        <v>841.6</v>
      </c>
      <c r="H33" s="177">
        <v>1472.4</v>
      </c>
      <c r="I33" s="177"/>
      <c r="J33" s="178">
        <v>63599</v>
      </c>
      <c r="K33" s="177">
        <v>945.5</v>
      </c>
      <c r="L33" s="501">
        <v>1662.2</v>
      </c>
    </row>
    <row r="34" spans="1:12" s="165" customFormat="1" ht="15" customHeight="1" x14ac:dyDescent="0.2">
      <c r="A34" s="182">
        <v>1936</v>
      </c>
      <c r="B34" s="184">
        <v>35651</v>
      </c>
      <c r="C34" s="177">
        <v>1038.2</v>
      </c>
      <c r="D34" s="177">
        <v>1794.8</v>
      </c>
      <c r="E34" s="177"/>
      <c r="F34" s="178">
        <v>28281</v>
      </c>
      <c r="G34" s="177">
        <v>845.6</v>
      </c>
      <c r="H34" s="177">
        <v>1433.1</v>
      </c>
      <c r="I34" s="177"/>
      <c r="J34" s="178">
        <v>63932</v>
      </c>
      <c r="K34" s="177">
        <v>943.2</v>
      </c>
      <c r="L34" s="501">
        <v>1610</v>
      </c>
    </row>
    <row r="35" spans="1:12" s="165" customFormat="1" ht="15" customHeight="1" x14ac:dyDescent="0.2">
      <c r="A35" s="182">
        <v>1937</v>
      </c>
      <c r="B35" s="184">
        <v>36246</v>
      </c>
      <c r="C35" s="177">
        <v>1047.5999999999999</v>
      </c>
      <c r="D35" s="177">
        <v>1833.2</v>
      </c>
      <c r="E35" s="177"/>
      <c r="F35" s="178">
        <v>28250</v>
      </c>
      <c r="G35" s="177">
        <v>836.9</v>
      </c>
      <c r="H35" s="177">
        <v>1418.3</v>
      </c>
      <c r="I35" s="177"/>
      <c r="J35" s="178">
        <v>64496</v>
      </c>
      <c r="K35" s="177">
        <v>943.5</v>
      </c>
      <c r="L35" s="501">
        <v>1618.4</v>
      </c>
    </row>
    <row r="36" spans="1:12" s="165" customFormat="1" ht="15" customHeight="1" x14ac:dyDescent="0.2">
      <c r="A36" s="182">
        <v>1938</v>
      </c>
      <c r="B36" s="184">
        <v>37046</v>
      </c>
      <c r="C36" s="177">
        <v>1061.4000000000001</v>
      </c>
      <c r="D36" s="177">
        <v>1836.1</v>
      </c>
      <c r="E36" s="177"/>
      <c r="F36" s="178">
        <v>29405</v>
      </c>
      <c r="G36" s="177">
        <v>862.7</v>
      </c>
      <c r="H36" s="177">
        <v>1453</v>
      </c>
      <c r="I36" s="177"/>
      <c r="J36" s="178">
        <v>66451</v>
      </c>
      <c r="K36" s="177">
        <v>963.3</v>
      </c>
      <c r="L36" s="501">
        <v>1638.4</v>
      </c>
    </row>
    <row r="37" spans="1:12" s="165" customFormat="1" ht="15" customHeight="1" x14ac:dyDescent="0.2">
      <c r="A37" s="182">
        <v>1939</v>
      </c>
      <c r="B37" s="184">
        <v>38837</v>
      </c>
      <c r="C37" s="177">
        <v>1102.5999999999999</v>
      </c>
      <c r="D37" s="177">
        <v>1934.4</v>
      </c>
      <c r="E37" s="177"/>
      <c r="F37" s="178">
        <v>30310</v>
      </c>
      <c r="G37" s="177">
        <v>879.7</v>
      </c>
      <c r="H37" s="177">
        <v>1489.2</v>
      </c>
      <c r="I37" s="177"/>
      <c r="J37" s="178">
        <v>69147</v>
      </c>
      <c r="K37" s="177">
        <v>992.4</v>
      </c>
      <c r="L37" s="501">
        <v>1702.7</v>
      </c>
    </row>
    <row r="38" spans="1:12" s="165" customFormat="1" ht="15" customHeight="1" x14ac:dyDescent="0.2">
      <c r="A38" s="182">
        <v>1940</v>
      </c>
      <c r="B38" s="184">
        <v>38608</v>
      </c>
      <c r="C38" s="177">
        <v>1086.0999999999999</v>
      </c>
      <c r="D38" s="177">
        <v>1836.4</v>
      </c>
      <c r="E38" s="177"/>
      <c r="F38" s="178">
        <v>29776</v>
      </c>
      <c r="G38" s="177">
        <v>854.4</v>
      </c>
      <c r="H38" s="177">
        <v>1394.7</v>
      </c>
      <c r="I38" s="177"/>
      <c r="J38" s="178">
        <v>68384</v>
      </c>
      <c r="K38" s="177">
        <v>971.4</v>
      </c>
      <c r="L38" s="501">
        <v>1606.5</v>
      </c>
    </row>
    <row r="39" spans="1:12" s="165" customFormat="1" ht="15" customHeight="1" x14ac:dyDescent="0.2">
      <c r="A39" s="182">
        <v>1941</v>
      </c>
      <c r="B39" s="184">
        <v>39409</v>
      </c>
      <c r="C39" s="177">
        <v>1099.4000000000001</v>
      </c>
      <c r="D39" s="177">
        <v>1852.9</v>
      </c>
      <c r="E39" s="177"/>
      <c r="F39" s="178">
        <v>31767</v>
      </c>
      <c r="G39" s="177">
        <v>901.1</v>
      </c>
      <c r="H39" s="177">
        <v>1451.8</v>
      </c>
      <c r="I39" s="177"/>
      <c r="J39" s="178">
        <v>71176</v>
      </c>
      <c r="K39" s="177">
        <v>1001.1</v>
      </c>
      <c r="L39" s="501">
        <v>1643.2</v>
      </c>
    </row>
    <row r="40" spans="1:12" s="165" customFormat="1" ht="15" customHeight="1" x14ac:dyDescent="0.2">
      <c r="A40" s="182">
        <v>1942</v>
      </c>
      <c r="B40" s="184">
        <v>41587</v>
      </c>
      <c r="C40" s="177">
        <v>1150.8</v>
      </c>
      <c r="D40" s="177">
        <v>1939.8</v>
      </c>
      <c r="E40" s="177"/>
      <c r="F40" s="178">
        <v>33604</v>
      </c>
      <c r="G40" s="177">
        <v>942.1</v>
      </c>
      <c r="H40" s="177">
        <v>1492.5</v>
      </c>
      <c r="I40" s="177"/>
      <c r="J40" s="178">
        <v>75191</v>
      </c>
      <c r="K40" s="177">
        <v>1047.0999999999999</v>
      </c>
      <c r="L40" s="501">
        <v>1703.8</v>
      </c>
    </row>
    <row r="41" spans="1:12" s="165" customFormat="1" ht="15" customHeight="1" x14ac:dyDescent="0.2">
      <c r="A41" s="182">
        <v>1943</v>
      </c>
      <c r="B41" s="184">
        <v>40778</v>
      </c>
      <c r="C41" s="177">
        <v>1122</v>
      </c>
      <c r="D41" s="177">
        <v>1897.6</v>
      </c>
      <c r="E41" s="177"/>
      <c r="F41" s="178">
        <v>33708</v>
      </c>
      <c r="G41" s="177">
        <v>936.2</v>
      </c>
      <c r="H41" s="177">
        <v>1463</v>
      </c>
      <c r="I41" s="177"/>
      <c r="J41" s="178">
        <v>74486</v>
      </c>
      <c r="K41" s="177">
        <v>1029.5</v>
      </c>
      <c r="L41" s="501">
        <v>1665.5</v>
      </c>
    </row>
    <row r="42" spans="1:12" s="165" customFormat="1" ht="15" customHeight="1" x14ac:dyDescent="0.2">
      <c r="A42" s="182">
        <v>1944</v>
      </c>
      <c r="B42" s="184">
        <v>37820</v>
      </c>
      <c r="C42" s="177">
        <v>1031.5999999999999</v>
      </c>
      <c r="D42" s="177">
        <v>1718.7</v>
      </c>
      <c r="E42" s="177"/>
      <c r="F42" s="178">
        <v>31776</v>
      </c>
      <c r="G42" s="177">
        <v>872.2</v>
      </c>
      <c r="H42" s="177">
        <v>1335.4</v>
      </c>
      <c r="I42" s="177"/>
      <c r="J42" s="178">
        <v>69596</v>
      </c>
      <c r="K42" s="177">
        <v>952.1</v>
      </c>
      <c r="L42" s="501">
        <v>1513</v>
      </c>
    </row>
    <row r="43" spans="1:12" s="165" customFormat="1" ht="15" customHeight="1" x14ac:dyDescent="0.2">
      <c r="A43" s="182">
        <v>1945</v>
      </c>
      <c r="B43" s="184">
        <v>38211</v>
      </c>
      <c r="C43" s="177">
        <v>1031.8</v>
      </c>
      <c r="D43" s="177">
        <v>1688.6</v>
      </c>
      <c r="E43" s="177"/>
      <c r="F43" s="178">
        <v>32020</v>
      </c>
      <c r="G43" s="177">
        <v>868.1</v>
      </c>
      <c r="H43" s="177">
        <v>1313.4</v>
      </c>
      <c r="I43" s="177"/>
      <c r="J43" s="178">
        <v>70231</v>
      </c>
      <c r="K43" s="177">
        <v>950.1</v>
      </c>
      <c r="L43" s="501">
        <v>1488.4</v>
      </c>
    </row>
    <row r="44" spans="1:12" s="165" customFormat="1" ht="15" customHeight="1" x14ac:dyDescent="0.2">
      <c r="A44" s="182">
        <v>1946</v>
      </c>
      <c r="B44" s="184">
        <v>41283</v>
      </c>
      <c r="C44" s="177">
        <v>1104</v>
      </c>
      <c r="D44" s="177">
        <v>1774</v>
      </c>
      <c r="E44" s="177"/>
      <c r="F44" s="178">
        <v>33378</v>
      </c>
      <c r="G44" s="177">
        <v>895.9</v>
      </c>
      <c r="H44" s="177">
        <v>1332.2</v>
      </c>
      <c r="I44" s="177"/>
      <c r="J44" s="178">
        <v>74661</v>
      </c>
      <c r="K44" s="177">
        <v>1000.1</v>
      </c>
      <c r="L44" s="501">
        <v>1538.1</v>
      </c>
    </row>
    <row r="45" spans="1:12" s="165" customFormat="1" ht="15" customHeight="1" x14ac:dyDescent="0.2">
      <c r="A45" s="182">
        <v>1947</v>
      </c>
      <c r="B45" s="184">
        <v>40769</v>
      </c>
      <c r="C45" s="177">
        <v>1073.5999999999999</v>
      </c>
      <c r="D45" s="177">
        <v>1680.8</v>
      </c>
      <c r="E45" s="177"/>
      <c r="F45" s="178">
        <v>32699</v>
      </c>
      <c r="G45" s="177">
        <v>864.6</v>
      </c>
      <c r="H45" s="177">
        <v>1269.4000000000001</v>
      </c>
      <c r="I45" s="177"/>
      <c r="J45" s="178">
        <v>73468</v>
      </c>
      <c r="K45" s="177">
        <v>969.3</v>
      </c>
      <c r="L45" s="501">
        <v>1463.1</v>
      </c>
    </row>
    <row r="46" spans="1:12" s="165" customFormat="1" ht="15" customHeight="1" x14ac:dyDescent="0.2">
      <c r="A46" s="182">
        <v>1948</v>
      </c>
      <c r="B46" s="184">
        <v>42655</v>
      </c>
      <c r="C46" s="177">
        <v>1103.5999999999999</v>
      </c>
      <c r="D46" s="177">
        <v>1750.6</v>
      </c>
      <c r="E46" s="177"/>
      <c r="F46" s="178">
        <v>34184</v>
      </c>
      <c r="G46" s="177">
        <v>889.4</v>
      </c>
      <c r="H46" s="177">
        <v>1307.3</v>
      </c>
      <c r="I46" s="177"/>
      <c r="J46" s="178">
        <v>76839</v>
      </c>
      <c r="K46" s="177">
        <v>996.8</v>
      </c>
      <c r="L46" s="501">
        <v>1514.4</v>
      </c>
    </row>
    <row r="47" spans="1:12" s="165" customFormat="1" ht="15" customHeight="1" x14ac:dyDescent="0.2">
      <c r="A47" s="182">
        <v>1949</v>
      </c>
      <c r="B47" s="184">
        <v>42195</v>
      </c>
      <c r="C47" s="177">
        <v>1062.2</v>
      </c>
      <c r="D47" s="177">
        <v>1699.3</v>
      </c>
      <c r="E47" s="177"/>
      <c r="F47" s="178">
        <v>33065</v>
      </c>
      <c r="G47" s="177">
        <v>840.2</v>
      </c>
      <c r="H47" s="177">
        <v>1227.2</v>
      </c>
      <c r="I47" s="177"/>
      <c r="J47" s="178">
        <v>75260</v>
      </c>
      <c r="K47" s="177">
        <v>951.7</v>
      </c>
      <c r="L47" s="501">
        <v>1446</v>
      </c>
    </row>
    <row r="48" spans="1:12" s="165" customFormat="1" ht="15" customHeight="1" x14ac:dyDescent="0.2">
      <c r="A48" s="182">
        <v>1950</v>
      </c>
      <c r="B48" s="184">
        <v>43720</v>
      </c>
      <c r="C48" s="177">
        <v>1060.4000000000001</v>
      </c>
      <c r="D48" s="177">
        <v>1717.7</v>
      </c>
      <c r="E48" s="177"/>
      <c r="F48" s="178">
        <v>34467</v>
      </c>
      <c r="G48" s="177">
        <v>849.8</v>
      </c>
      <c r="H48" s="177">
        <v>1254.5</v>
      </c>
      <c r="I48" s="177"/>
      <c r="J48" s="178">
        <v>78187</v>
      </c>
      <c r="K48" s="177">
        <v>956</v>
      </c>
      <c r="L48" s="501">
        <v>1470</v>
      </c>
    </row>
    <row r="49" spans="1:12" s="165" customFormat="1" ht="15" customHeight="1" x14ac:dyDescent="0.2">
      <c r="A49" s="182">
        <v>1951</v>
      </c>
      <c r="B49" s="184">
        <v>45953</v>
      </c>
      <c r="C49" s="177">
        <v>1080.3</v>
      </c>
      <c r="D49" s="177">
        <v>1763.2</v>
      </c>
      <c r="E49" s="177"/>
      <c r="F49" s="178">
        <v>35835</v>
      </c>
      <c r="G49" s="177">
        <v>859.8</v>
      </c>
      <c r="H49" s="177">
        <v>1267</v>
      </c>
      <c r="I49" s="177"/>
      <c r="J49" s="178">
        <v>81788</v>
      </c>
      <c r="K49" s="177">
        <v>971.2</v>
      </c>
      <c r="L49" s="501">
        <v>1497</v>
      </c>
    </row>
    <row r="50" spans="1:12" s="165" customFormat="1" ht="15" customHeight="1" x14ac:dyDescent="0.2">
      <c r="A50" s="182">
        <v>1952</v>
      </c>
      <c r="B50" s="184">
        <v>45851</v>
      </c>
      <c r="C50" s="177">
        <v>1048.5999999999999</v>
      </c>
      <c r="D50" s="177">
        <v>1725.7</v>
      </c>
      <c r="E50" s="177"/>
      <c r="F50" s="178">
        <v>35746</v>
      </c>
      <c r="G50" s="177">
        <v>838.3</v>
      </c>
      <c r="H50" s="177">
        <v>1239.8</v>
      </c>
      <c r="I50" s="177"/>
      <c r="J50" s="178">
        <v>81597</v>
      </c>
      <c r="K50" s="177">
        <v>944.8</v>
      </c>
      <c r="L50" s="501">
        <v>1465</v>
      </c>
    </row>
    <row r="51" spans="1:12" s="165" customFormat="1" ht="15" customHeight="1" x14ac:dyDescent="0.2">
      <c r="A51" s="182">
        <v>1953</v>
      </c>
      <c r="B51" s="184">
        <v>44822</v>
      </c>
      <c r="C51" s="177">
        <v>1004.4</v>
      </c>
      <c r="D51" s="177">
        <v>1665.9</v>
      </c>
      <c r="E51" s="177"/>
      <c r="F51" s="178">
        <v>35366</v>
      </c>
      <c r="G51" s="177">
        <v>812.5</v>
      </c>
      <c r="H51" s="177">
        <v>1191.5</v>
      </c>
      <c r="I51" s="177"/>
      <c r="J51" s="178">
        <v>80188</v>
      </c>
      <c r="K51" s="177">
        <v>909.6</v>
      </c>
      <c r="L51" s="501">
        <v>1409.6</v>
      </c>
    </row>
    <row r="52" spans="1:12" s="165" customFormat="1" ht="15" customHeight="1" x14ac:dyDescent="0.2">
      <c r="A52" s="182">
        <v>1954</v>
      </c>
      <c r="B52" s="184">
        <v>45787</v>
      </c>
      <c r="C52" s="177">
        <v>1007.2</v>
      </c>
      <c r="D52" s="177">
        <v>1684.8</v>
      </c>
      <c r="E52" s="177"/>
      <c r="F52" s="178">
        <v>36018</v>
      </c>
      <c r="G52" s="177">
        <v>811.1</v>
      </c>
      <c r="H52" s="177">
        <v>1185.0999999999999</v>
      </c>
      <c r="I52" s="177"/>
      <c r="J52" s="178">
        <v>81805</v>
      </c>
      <c r="K52" s="177">
        <v>910.3</v>
      </c>
      <c r="L52" s="501">
        <v>1412.8</v>
      </c>
    </row>
    <row r="53" spans="1:12" s="165" customFormat="1" ht="15" customHeight="1" x14ac:dyDescent="0.2">
      <c r="A53" s="182">
        <v>1955</v>
      </c>
      <c r="B53" s="184">
        <v>46188</v>
      </c>
      <c r="C53" s="177">
        <v>991.9</v>
      </c>
      <c r="D53" s="177">
        <v>1661.4</v>
      </c>
      <c r="E53" s="177"/>
      <c r="F53" s="178">
        <v>35848</v>
      </c>
      <c r="G53" s="177">
        <v>789</v>
      </c>
      <c r="H53" s="177">
        <v>1148.5</v>
      </c>
      <c r="I53" s="177"/>
      <c r="J53" s="178">
        <v>82036</v>
      </c>
      <c r="K53" s="177">
        <v>891.7</v>
      </c>
      <c r="L53" s="501">
        <v>1382.1</v>
      </c>
    </row>
    <row r="54" spans="1:12" s="165" customFormat="1" ht="15" customHeight="1" x14ac:dyDescent="0.2">
      <c r="A54" s="182">
        <v>1956</v>
      </c>
      <c r="B54" s="184">
        <v>48192</v>
      </c>
      <c r="C54" s="177">
        <v>1009</v>
      </c>
      <c r="D54" s="177">
        <v>1724.4</v>
      </c>
      <c r="E54" s="177"/>
      <c r="F54" s="178">
        <v>37896</v>
      </c>
      <c r="G54" s="177">
        <v>815.1</v>
      </c>
      <c r="H54" s="177">
        <v>1193.2</v>
      </c>
      <c r="I54" s="177"/>
      <c r="J54" s="178">
        <v>86088</v>
      </c>
      <c r="K54" s="177">
        <v>913.4</v>
      </c>
      <c r="L54" s="501">
        <v>1433.7</v>
      </c>
    </row>
    <row r="55" spans="1:12" s="165" customFormat="1" ht="15" customHeight="1" x14ac:dyDescent="0.2">
      <c r="A55" s="182">
        <v>1957</v>
      </c>
      <c r="B55" s="184">
        <v>47659</v>
      </c>
      <c r="C55" s="177">
        <v>976.2</v>
      </c>
      <c r="D55" s="177">
        <v>1643</v>
      </c>
      <c r="E55" s="177"/>
      <c r="F55" s="178">
        <v>37294</v>
      </c>
      <c r="G55" s="177">
        <v>783.8</v>
      </c>
      <c r="H55" s="177">
        <v>1137.4000000000001</v>
      </c>
      <c r="I55" s="177"/>
      <c r="J55" s="178">
        <v>84953</v>
      </c>
      <c r="K55" s="177">
        <v>881.2</v>
      </c>
      <c r="L55" s="501">
        <v>1367.3</v>
      </c>
    </row>
    <row r="56" spans="1:12" s="165" customFormat="1" ht="15" customHeight="1" x14ac:dyDescent="0.2">
      <c r="A56" s="182">
        <v>1958</v>
      </c>
      <c r="B56" s="184">
        <v>47050</v>
      </c>
      <c r="C56" s="177">
        <v>945.4</v>
      </c>
      <c r="D56" s="177">
        <v>1602.6</v>
      </c>
      <c r="E56" s="177"/>
      <c r="F56" s="178">
        <v>36673</v>
      </c>
      <c r="G56" s="177">
        <v>753.7</v>
      </c>
      <c r="H56" s="177">
        <v>1088.8</v>
      </c>
      <c r="I56" s="177"/>
      <c r="J56" s="178">
        <v>83723</v>
      </c>
      <c r="K56" s="177">
        <v>850.6</v>
      </c>
      <c r="L56" s="501">
        <v>1319.9</v>
      </c>
    </row>
    <row r="57" spans="1:12" s="165" customFormat="1" ht="15" customHeight="1" x14ac:dyDescent="0.2">
      <c r="A57" s="182">
        <v>1959</v>
      </c>
      <c r="B57" s="184">
        <v>50293</v>
      </c>
      <c r="C57" s="177">
        <v>990</v>
      </c>
      <c r="D57" s="177">
        <v>1680.2</v>
      </c>
      <c r="E57" s="177"/>
      <c r="F57" s="178">
        <v>38919</v>
      </c>
      <c r="G57" s="177">
        <v>782.1</v>
      </c>
      <c r="H57" s="177">
        <v>1134</v>
      </c>
      <c r="I57" s="177"/>
      <c r="J57" s="178">
        <v>89212</v>
      </c>
      <c r="K57" s="177">
        <v>887.1</v>
      </c>
      <c r="L57" s="501">
        <v>1380</v>
      </c>
    </row>
    <row r="58" spans="1:12" s="165" customFormat="1" ht="15" customHeight="1" x14ac:dyDescent="0.2">
      <c r="A58" s="182">
        <v>1960</v>
      </c>
      <c r="B58" s="184">
        <v>49629</v>
      </c>
      <c r="C58" s="177">
        <v>955.8</v>
      </c>
      <c r="D58" s="177">
        <v>1620.2</v>
      </c>
      <c r="E58" s="177"/>
      <c r="F58" s="178">
        <v>38835</v>
      </c>
      <c r="G58" s="177">
        <v>764.1</v>
      </c>
      <c r="H58" s="177">
        <v>1091.9000000000001</v>
      </c>
      <c r="I58" s="177"/>
      <c r="J58" s="178">
        <v>88464</v>
      </c>
      <c r="K58" s="177">
        <v>861</v>
      </c>
      <c r="L58" s="501">
        <v>1328.7</v>
      </c>
    </row>
    <row r="59" spans="1:12" s="165" customFormat="1" ht="15" customHeight="1" x14ac:dyDescent="0.2">
      <c r="A59" s="182">
        <v>1961</v>
      </c>
      <c r="B59" s="184">
        <v>50248</v>
      </c>
      <c r="C59" s="177">
        <v>945.9</v>
      </c>
      <c r="D59" s="177">
        <v>1599.5</v>
      </c>
      <c r="E59" s="177"/>
      <c r="F59" s="178">
        <v>38713</v>
      </c>
      <c r="G59" s="177">
        <v>745.1</v>
      </c>
      <c r="H59" s="177">
        <v>1058.0999999999999</v>
      </c>
      <c r="I59" s="177"/>
      <c r="J59" s="178">
        <v>88961</v>
      </c>
      <c r="K59" s="177">
        <v>846.6</v>
      </c>
      <c r="L59" s="501">
        <v>1300.7</v>
      </c>
    </row>
    <row r="60" spans="1:12" s="165" customFormat="1" ht="15" customHeight="1" x14ac:dyDescent="0.2">
      <c r="A60" s="182">
        <v>1962</v>
      </c>
      <c r="B60" s="184">
        <v>52378</v>
      </c>
      <c r="C60" s="177">
        <v>970.1</v>
      </c>
      <c r="D60" s="177">
        <v>1639.3</v>
      </c>
      <c r="E60" s="177"/>
      <c r="F60" s="178">
        <v>40785</v>
      </c>
      <c r="G60" s="177">
        <v>769.3</v>
      </c>
      <c r="H60" s="177">
        <v>1079.5999999999999</v>
      </c>
      <c r="I60" s="177"/>
      <c r="J60" s="178">
        <v>93163</v>
      </c>
      <c r="K60" s="177">
        <v>870.6</v>
      </c>
      <c r="L60" s="501">
        <v>1328.7</v>
      </c>
    </row>
    <row r="61" spans="1:12" s="165" customFormat="1" ht="15" customHeight="1" x14ac:dyDescent="0.2">
      <c r="A61" s="182">
        <v>1963</v>
      </c>
      <c r="B61" s="184">
        <v>53212</v>
      </c>
      <c r="C61" s="177">
        <v>967.5</v>
      </c>
      <c r="D61" s="177">
        <v>1630.3</v>
      </c>
      <c r="E61" s="177"/>
      <c r="F61" s="178">
        <v>41682</v>
      </c>
      <c r="G61" s="177">
        <v>770.9</v>
      </c>
      <c r="H61" s="177">
        <v>1070.3</v>
      </c>
      <c r="I61" s="177"/>
      <c r="J61" s="178">
        <v>94894</v>
      </c>
      <c r="K61" s="177">
        <v>870</v>
      </c>
      <c r="L61" s="501">
        <v>1318.4</v>
      </c>
    </row>
    <row r="62" spans="1:12" s="165" customFormat="1" ht="15" customHeight="1" x14ac:dyDescent="0.2">
      <c r="A62" s="182">
        <v>1964</v>
      </c>
      <c r="B62" s="184">
        <v>56246</v>
      </c>
      <c r="C62" s="177">
        <v>1003.5</v>
      </c>
      <c r="D62" s="177">
        <v>1706.9</v>
      </c>
      <c r="E62" s="177"/>
      <c r="F62" s="178">
        <v>44348</v>
      </c>
      <c r="G62" s="177">
        <v>803.9</v>
      </c>
      <c r="H62" s="177">
        <v>1109.5999999999999</v>
      </c>
      <c r="I62" s="177"/>
      <c r="J62" s="178">
        <v>100594</v>
      </c>
      <c r="K62" s="177">
        <v>904.5</v>
      </c>
      <c r="L62" s="501">
        <v>1371.8</v>
      </c>
    </row>
    <row r="63" spans="1:12" s="165" customFormat="1" ht="15" customHeight="1" x14ac:dyDescent="0.2">
      <c r="A63" s="182">
        <v>1965</v>
      </c>
      <c r="B63" s="184">
        <v>55770</v>
      </c>
      <c r="C63" s="177">
        <v>975.9</v>
      </c>
      <c r="D63" s="177">
        <v>1658</v>
      </c>
      <c r="E63" s="177"/>
      <c r="F63" s="178">
        <v>43945</v>
      </c>
      <c r="G63" s="177">
        <v>781.1</v>
      </c>
      <c r="H63" s="177">
        <v>1069</v>
      </c>
      <c r="I63" s="177"/>
      <c r="J63" s="178">
        <v>99715</v>
      </c>
      <c r="K63" s="177">
        <v>879.3</v>
      </c>
      <c r="L63" s="501">
        <v>1326.7</v>
      </c>
    </row>
    <row r="64" spans="1:12" s="165" customFormat="1" ht="15" customHeight="1" x14ac:dyDescent="0.2">
      <c r="A64" s="182">
        <v>1966</v>
      </c>
      <c r="B64" s="184">
        <v>57795</v>
      </c>
      <c r="C64" s="177">
        <v>989.4</v>
      </c>
      <c r="D64" s="177">
        <v>1693.2</v>
      </c>
      <c r="E64" s="177"/>
      <c r="F64" s="178">
        <v>46134</v>
      </c>
      <c r="G64" s="177">
        <v>801.2</v>
      </c>
      <c r="H64" s="177">
        <v>1091.9000000000001</v>
      </c>
      <c r="I64" s="177"/>
      <c r="J64" s="178">
        <v>103929</v>
      </c>
      <c r="K64" s="177">
        <v>896</v>
      </c>
      <c r="L64" s="501">
        <v>1353</v>
      </c>
    </row>
    <row r="65" spans="1:12" s="165" customFormat="1" ht="15" customHeight="1" x14ac:dyDescent="0.2">
      <c r="A65" s="182">
        <v>1967</v>
      </c>
      <c r="B65" s="184">
        <v>57508</v>
      </c>
      <c r="C65" s="177">
        <v>968.3</v>
      </c>
      <c r="D65" s="177">
        <v>1637.1</v>
      </c>
      <c r="E65" s="177"/>
      <c r="F65" s="178">
        <v>45195</v>
      </c>
      <c r="G65" s="177">
        <v>771.3</v>
      </c>
      <c r="H65" s="177">
        <v>1043.5</v>
      </c>
      <c r="I65" s="177"/>
      <c r="J65" s="178">
        <v>102703</v>
      </c>
      <c r="K65" s="177">
        <v>870.4</v>
      </c>
      <c r="L65" s="501">
        <v>1302.5</v>
      </c>
    </row>
    <row r="66" spans="1:12" s="165" customFormat="1" ht="15" customHeight="1" x14ac:dyDescent="0.2">
      <c r="A66" s="182">
        <v>1968</v>
      </c>
      <c r="B66" s="184">
        <v>61061</v>
      </c>
      <c r="C66" s="177">
        <v>1010.4</v>
      </c>
      <c r="D66" s="177">
        <v>1746.6</v>
      </c>
      <c r="E66" s="177"/>
      <c r="F66" s="178">
        <v>48486</v>
      </c>
      <c r="G66" s="177">
        <v>812.8</v>
      </c>
      <c r="H66" s="177">
        <v>1104.2</v>
      </c>
      <c r="I66" s="177"/>
      <c r="J66" s="178">
        <v>109547</v>
      </c>
      <c r="K66" s="177">
        <v>912.2</v>
      </c>
      <c r="L66" s="501">
        <v>1380.8</v>
      </c>
    </row>
    <row r="67" spans="1:12" s="165" customFormat="1" ht="15" customHeight="1" x14ac:dyDescent="0.2">
      <c r="A67" s="182">
        <v>1969</v>
      </c>
      <c r="B67" s="184">
        <v>59687</v>
      </c>
      <c r="C67" s="177">
        <v>967.3</v>
      </c>
      <c r="D67" s="177">
        <v>1655.5</v>
      </c>
      <c r="E67" s="177"/>
      <c r="F67" s="178">
        <v>46810</v>
      </c>
      <c r="G67" s="177">
        <v>768.3</v>
      </c>
      <c r="H67" s="177">
        <v>1033.5</v>
      </c>
      <c r="I67" s="177"/>
      <c r="J67" s="178">
        <v>106497</v>
      </c>
      <c r="K67" s="177">
        <v>868.4</v>
      </c>
      <c r="L67" s="501">
        <v>1301.5999999999999</v>
      </c>
    </row>
    <row r="68" spans="1:12" s="165" customFormat="1" ht="15" customHeight="1" x14ac:dyDescent="0.2">
      <c r="A68" s="182">
        <v>1970</v>
      </c>
      <c r="B68" s="184">
        <v>62828</v>
      </c>
      <c r="C68" s="177">
        <v>998.5</v>
      </c>
      <c r="D68" s="177">
        <v>1719.3</v>
      </c>
      <c r="E68" s="177"/>
      <c r="F68" s="178">
        <v>50220</v>
      </c>
      <c r="G68" s="177">
        <v>808</v>
      </c>
      <c r="H68" s="177">
        <v>1084.2</v>
      </c>
      <c r="I68" s="177"/>
      <c r="J68" s="178">
        <v>113048</v>
      </c>
      <c r="K68" s="177">
        <v>903.9</v>
      </c>
      <c r="L68" s="501">
        <v>1356.8</v>
      </c>
    </row>
    <row r="69" spans="1:12" s="165" customFormat="1" ht="15" customHeight="1" x14ac:dyDescent="0.2">
      <c r="A69" s="182">
        <v>1971</v>
      </c>
      <c r="B69" s="184">
        <v>61074</v>
      </c>
      <c r="C69" s="177">
        <v>929.9</v>
      </c>
      <c r="D69" s="177">
        <v>1605.8</v>
      </c>
      <c r="E69" s="177"/>
      <c r="F69" s="178">
        <v>49576</v>
      </c>
      <c r="G69" s="177">
        <v>762.8</v>
      </c>
      <c r="H69" s="177">
        <v>1025.9000000000001</v>
      </c>
      <c r="I69" s="177"/>
      <c r="J69" s="178">
        <v>110650</v>
      </c>
      <c r="K69" s="177">
        <v>846.8</v>
      </c>
      <c r="L69" s="501">
        <v>1275</v>
      </c>
    </row>
    <row r="70" spans="1:12" s="165" customFormat="1" ht="15" customHeight="1" x14ac:dyDescent="0.2">
      <c r="A70" s="182">
        <v>1972</v>
      </c>
      <c r="B70" s="184">
        <v>61116</v>
      </c>
      <c r="C70" s="177">
        <v>914.2</v>
      </c>
      <c r="D70" s="177">
        <v>1579.2</v>
      </c>
      <c r="E70" s="177"/>
      <c r="F70" s="178">
        <v>48644</v>
      </c>
      <c r="G70" s="177">
        <v>735</v>
      </c>
      <c r="H70" s="177">
        <v>981.1</v>
      </c>
      <c r="I70" s="177"/>
      <c r="J70" s="178">
        <v>109760</v>
      </c>
      <c r="K70" s="177">
        <v>825</v>
      </c>
      <c r="L70" s="501">
        <v>1236.2</v>
      </c>
    </row>
    <row r="71" spans="1:12" s="165" customFormat="1" ht="15" customHeight="1" x14ac:dyDescent="0.2">
      <c r="A71" s="182">
        <v>1973</v>
      </c>
      <c r="B71" s="184">
        <v>61589</v>
      </c>
      <c r="C71" s="177">
        <v>908</v>
      </c>
      <c r="D71" s="177">
        <v>1558.3</v>
      </c>
      <c r="E71" s="177"/>
      <c r="F71" s="178">
        <v>49234</v>
      </c>
      <c r="G71" s="177">
        <v>732.5</v>
      </c>
      <c r="H71" s="177">
        <v>971.6</v>
      </c>
      <c r="I71" s="177"/>
      <c r="J71" s="178">
        <v>110823</v>
      </c>
      <c r="K71" s="177">
        <v>820.6</v>
      </c>
      <c r="L71" s="501">
        <v>1223.3</v>
      </c>
    </row>
    <row r="72" spans="1:12" s="165" customFormat="1" ht="15" customHeight="1" x14ac:dyDescent="0.2">
      <c r="A72" s="182">
        <v>1974</v>
      </c>
      <c r="B72" s="184">
        <v>64299</v>
      </c>
      <c r="C72" s="177">
        <v>933.3</v>
      </c>
      <c r="D72" s="177">
        <v>1610.3</v>
      </c>
      <c r="E72" s="177"/>
      <c r="F72" s="178">
        <v>51534</v>
      </c>
      <c r="G72" s="177">
        <v>754.2</v>
      </c>
      <c r="H72" s="177">
        <v>992.4</v>
      </c>
      <c r="I72" s="177"/>
      <c r="J72" s="178">
        <v>115833</v>
      </c>
      <c r="K72" s="177">
        <v>844.1</v>
      </c>
      <c r="L72" s="501">
        <v>1254.3</v>
      </c>
    </row>
    <row r="73" spans="1:12" s="165" customFormat="1" ht="15" customHeight="1" x14ac:dyDescent="0.2">
      <c r="A73" s="182">
        <v>1975</v>
      </c>
      <c r="B73" s="184">
        <v>60738</v>
      </c>
      <c r="C73" s="177">
        <v>871.5</v>
      </c>
      <c r="D73" s="177">
        <v>1481</v>
      </c>
      <c r="E73" s="177"/>
      <c r="F73" s="178">
        <v>48283</v>
      </c>
      <c r="G73" s="177">
        <v>697.3</v>
      </c>
      <c r="H73" s="177">
        <v>904</v>
      </c>
      <c r="I73" s="177"/>
      <c r="J73" s="178">
        <v>109021</v>
      </c>
      <c r="K73" s="177">
        <v>784.7</v>
      </c>
      <c r="L73" s="501">
        <v>1148.9000000000001</v>
      </c>
    </row>
    <row r="74" spans="1:12" s="165" customFormat="1" ht="15" customHeight="1" x14ac:dyDescent="0.2">
      <c r="A74" s="182">
        <v>1976</v>
      </c>
      <c r="B74" s="184">
        <v>62527</v>
      </c>
      <c r="C74" s="177">
        <v>889.2</v>
      </c>
      <c r="D74" s="177">
        <v>1508.5</v>
      </c>
      <c r="E74" s="177"/>
      <c r="F74" s="178">
        <v>50135</v>
      </c>
      <c r="G74" s="177">
        <v>716.1</v>
      </c>
      <c r="H74" s="177">
        <v>912.4</v>
      </c>
      <c r="I74" s="177"/>
      <c r="J74" s="178">
        <v>112662</v>
      </c>
      <c r="K74" s="177">
        <v>802.8</v>
      </c>
      <c r="L74" s="501">
        <v>1163.8</v>
      </c>
    </row>
    <row r="75" spans="1:12" s="165" customFormat="1" ht="15" customHeight="1" x14ac:dyDescent="0.2">
      <c r="A75" s="182">
        <v>1977</v>
      </c>
      <c r="B75" s="184">
        <v>60320</v>
      </c>
      <c r="C75" s="177">
        <v>849</v>
      </c>
      <c r="D75" s="177">
        <v>1412.5</v>
      </c>
      <c r="E75" s="177"/>
      <c r="F75" s="178">
        <v>48470</v>
      </c>
      <c r="G75" s="177">
        <v>683.9</v>
      </c>
      <c r="H75" s="177">
        <v>861.2</v>
      </c>
      <c r="I75" s="177"/>
      <c r="J75" s="178">
        <v>108790</v>
      </c>
      <c r="K75" s="177">
        <v>766.5</v>
      </c>
      <c r="L75" s="501">
        <v>1095.0999999999999</v>
      </c>
    </row>
    <row r="76" spans="1:12" s="165" customFormat="1" ht="15" customHeight="1" x14ac:dyDescent="0.2">
      <c r="A76" s="182">
        <v>1978</v>
      </c>
      <c r="B76" s="184">
        <v>60281</v>
      </c>
      <c r="C76" s="177">
        <v>839.4</v>
      </c>
      <c r="D76" s="177">
        <v>1388.8</v>
      </c>
      <c r="E76" s="177"/>
      <c r="F76" s="178">
        <v>48144</v>
      </c>
      <c r="G76" s="177">
        <v>670.7</v>
      </c>
      <c r="H76" s="177">
        <v>834.4</v>
      </c>
      <c r="I76" s="177"/>
      <c r="J76" s="178">
        <v>108425</v>
      </c>
      <c r="K76" s="177">
        <v>755.1</v>
      </c>
      <c r="L76" s="501">
        <v>1068.4000000000001</v>
      </c>
    </row>
    <row r="77" spans="1:12" s="165" customFormat="1" ht="15" customHeight="1" x14ac:dyDescent="0.2">
      <c r="A77" s="182">
        <v>1979</v>
      </c>
      <c r="B77" s="184">
        <v>59257</v>
      </c>
      <c r="C77" s="177">
        <v>816.9</v>
      </c>
      <c r="D77" s="177">
        <v>1339.8</v>
      </c>
      <c r="E77" s="177"/>
      <c r="F77" s="178">
        <v>47311</v>
      </c>
      <c r="G77" s="177">
        <v>651.5</v>
      </c>
      <c r="H77" s="177">
        <v>802.2</v>
      </c>
      <c r="I77" s="177"/>
      <c r="J77" s="178">
        <v>106568</v>
      </c>
      <c r="K77" s="177">
        <v>734.2</v>
      </c>
      <c r="L77" s="501">
        <v>1030</v>
      </c>
    </row>
    <row r="78" spans="1:12" s="165" customFormat="1" ht="15" customHeight="1" x14ac:dyDescent="0.2">
      <c r="A78" s="182">
        <v>1980</v>
      </c>
      <c r="B78" s="184">
        <v>60518</v>
      </c>
      <c r="C78" s="177">
        <v>824.7</v>
      </c>
      <c r="D78" s="177">
        <v>1338.7</v>
      </c>
      <c r="E78" s="177"/>
      <c r="F78" s="178">
        <v>48177</v>
      </c>
      <c r="G78" s="177">
        <v>654.79999999999995</v>
      </c>
      <c r="H78" s="177">
        <v>794.3</v>
      </c>
      <c r="I78" s="177"/>
      <c r="J78" s="178">
        <v>108695</v>
      </c>
      <c r="K78" s="177">
        <v>739.7</v>
      </c>
      <c r="L78" s="501">
        <v>1025.4000000000001</v>
      </c>
    </row>
    <row r="79" spans="1:12" s="165" customFormat="1" ht="15" customHeight="1" x14ac:dyDescent="0.2">
      <c r="A79" s="182">
        <v>1981</v>
      </c>
      <c r="B79" s="184">
        <v>60696</v>
      </c>
      <c r="C79" s="177">
        <v>814.9</v>
      </c>
      <c r="D79" s="177">
        <v>1318.5</v>
      </c>
      <c r="E79" s="177"/>
      <c r="F79" s="178">
        <v>48307</v>
      </c>
      <c r="G79" s="177">
        <v>646.20000000000005</v>
      </c>
      <c r="H79" s="177">
        <v>771.5</v>
      </c>
      <c r="I79" s="177"/>
      <c r="J79" s="178">
        <v>109003</v>
      </c>
      <c r="K79" s="177">
        <v>730.4</v>
      </c>
      <c r="L79" s="501">
        <v>1001.2</v>
      </c>
    </row>
    <row r="80" spans="1:12" s="165" customFormat="1" ht="15" customHeight="1" x14ac:dyDescent="0.2">
      <c r="A80" s="182">
        <v>1982</v>
      </c>
      <c r="B80" s="184">
        <v>63295</v>
      </c>
      <c r="C80" s="177">
        <v>834.9</v>
      </c>
      <c r="D80" s="177">
        <v>1341.6</v>
      </c>
      <c r="E80" s="177"/>
      <c r="F80" s="178">
        <v>51476</v>
      </c>
      <c r="G80" s="177">
        <v>677</v>
      </c>
      <c r="H80" s="177">
        <v>799.4</v>
      </c>
      <c r="I80" s="177"/>
      <c r="J80" s="178">
        <v>114771</v>
      </c>
      <c r="K80" s="177">
        <v>755.9</v>
      </c>
      <c r="L80" s="501">
        <v>1027.4000000000001</v>
      </c>
    </row>
    <row r="81" spans="1:12" s="165" customFormat="1" ht="15" customHeight="1" x14ac:dyDescent="0.2">
      <c r="A81" s="182">
        <v>1983</v>
      </c>
      <c r="B81" s="184">
        <v>60450</v>
      </c>
      <c r="C81" s="177">
        <v>786.5</v>
      </c>
      <c r="D81" s="177">
        <v>1245.8</v>
      </c>
      <c r="E81" s="177"/>
      <c r="F81" s="178">
        <v>49634</v>
      </c>
      <c r="G81" s="177">
        <v>644</v>
      </c>
      <c r="H81" s="177">
        <v>747.1</v>
      </c>
      <c r="I81" s="177"/>
      <c r="J81" s="178">
        <v>110084</v>
      </c>
      <c r="K81" s="177">
        <v>715.1</v>
      </c>
      <c r="L81" s="501">
        <v>956</v>
      </c>
    </row>
    <row r="82" spans="1:12" s="165" customFormat="1" ht="15" customHeight="1" x14ac:dyDescent="0.2">
      <c r="A82" s="182">
        <v>1984</v>
      </c>
      <c r="B82" s="184">
        <v>59987</v>
      </c>
      <c r="C82" s="177">
        <v>771.2</v>
      </c>
      <c r="D82" s="177">
        <v>1205.7</v>
      </c>
      <c r="E82" s="177"/>
      <c r="F82" s="178">
        <v>49927</v>
      </c>
      <c r="G82" s="177">
        <v>640</v>
      </c>
      <c r="H82" s="177">
        <v>729.8</v>
      </c>
      <c r="I82" s="177"/>
      <c r="J82" s="178">
        <v>109914</v>
      </c>
      <c r="K82" s="177">
        <v>705.5</v>
      </c>
      <c r="L82" s="501">
        <v>929.7</v>
      </c>
    </row>
    <row r="83" spans="1:12" s="165" customFormat="1" ht="15" customHeight="1" x14ac:dyDescent="0.2">
      <c r="A83" s="182">
        <v>1985</v>
      </c>
      <c r="B83" s="184">
        <v>64156</v>
      </c>
      <c r="C83" s="177">
        <v>813.9</v>
      </c>
      <c r="D83" s="177">
        <v>1257.3</v>
      </c>
      <c r="E83" s="177"/>
      <c r="F83" s="178">
        <v>54652</v>
      </c>
      <c r="G83" s="177">
        <v>691.3</v>
      </c>
      <c r="H83" s="177">
        <v>773.3</v>
      </c>
      <c r="I83" s="177"/>
      <c r="J83" s="178">
        <v>118808</v>
      </c>
      <c r="K83" s="177">
        <v>752.5</v>
      </c>
      <c r="L83" s="501">
        <v>976.9</v>
      </c>
    </row>
    <row r="84" spans="1:12" s="165" customFormat="1" ht="15" customHeight="1" x14ac:dyDescent="0.2">
      <c r="A84" s="182">
        <v>1986</v>
      </c>
      <c r="B84" s="184">
        <v>62210</v>
      </c>
      <c r="C84" s="177">
        <v>777.6</v>
      </c>
      <c r="D84" s="177">
        <v>1168.5999999999999</v>
      </c>
      <c r="E84" s="177"/>
      <c r="F84" s="178">
        <v>52771</v>
      </c>
      <c r="G84" s="177">
        <v>658.1</v>
      </c>
      <c r="H84" s="177">
        <v>719.2</v>
      </c>
      <c r="I84" s="177"/>
      <c r="J84" s="178">
        <v>114981</v>
      </c>
      <c r="K84" s="177">
        <v>717.8</v>
      </c>
      <c r="L84" s="501">
        <v>909.6</v>
      </c>
    </row>
    <row r="85" spans="1:12" s="165" customFormat="1" ht="15" customHeight="1" x14ac:dyDescent="0.2">
      <c r="A85" s="182">
        <v>1987</v>
      </c>
      <c r="B85" s="184">
        <v>63609</v>
      </c>
      <c r="C85" s="177">
        <v>783.5</v>
      </c>
      <c r="D85" s="177">
        <v>1167</v>
      </c>
      <c r="E85" s="177"/>
      <c r="F85" s="178">
        <v>53710</v>
      </c>
      <c r="G85" s="177">
        <v>659.4</v>
      </c>
      <c r="H85" s="177">
        <v>714.2</v>
      </c>
      <c r="I85" s="177"/>
      <c r="J85" s="178">
        <v>117319</v>
      </c>
      <c r="K85" s="177">
        <v>721.3</v>
      </c>
      <c r="L85" s="501">
        <v>906.7</v>
      </c>
    </row>
    <row r="86" spans="1:12" s="165" customFormat="1" ht="15" customHeight="1" x14ac:dyDescent="0.2">
      <c r="A86" s="182">
        <v>1988</v>
      </c>
      <c r="B86" s="184">
        <v>65080</v>
      </c>
      <c r="C86" s="177">
        <v>788.9</v>
      </c>
      <c r="D86" s="177">
        <v>1160</v>
      </c>
      <c r="E86" s="177"/>
      <c r="F86" s="178">
        <v>54784</v>
      </c>
      <c r="G86" s="177">
        <v>661.4</v>
      </c>
      <c r="H86" s="177">
        <v>709.5</v>
      </c>
      <c r="I86" s="177"/>
      <c r="J86" s="178">
        <v>119864</v>
      </c>
      <c r="K86" s="177">
        <v>725</v>
      </c>
      <c r="L86" s="501">
        <v>901.2</v>
      </c>
    </row>
    <row r="87" spans="1:12" s="165" customFormat="1" ht="15" customHeight="1" x14ac:dyDescent="0.2">
      <c r="A87" s="182">
        <v>1989</v>
      </c>
      <c r="B87" s="184">
        <v>66926</v>
      </c>
      <c r="C87" s="177">
        <v>797.9</v>
      </c>
      <c r="D87" s="177">
        <v>1171.9000000000001</v>
      </c>
      <c r="E87" s="177"/>
      <c r="F87" s="178">
        <v>57306</v>
      </c>
      <c r="G87" s="177">
        <v>680</v>
      </c>
      <c r="H87" s="177">
        <v>723</v>
      </c>
      <c r="I87" s="177"/>
      <c r="J87" s="178">
        <v>124232</v>
      </c>
      <c r="K87" s="177">
        <v>738.8</v>
      </c>
      <c r="L87" s="501">
        <v>913.8</v>
      </c>
    </row>
    <row r="88" spans="1:12" s="165" customFormat="1" ht="15" customHeight="1" x14ac:dyDescent="0.2">
      <c r="A88" s="182">
        <v>1990</v>
      </c>
      <c r="B88" s="184">
        <v>64658</v>
      </c>
      <c r="C88" s="177">
        <v>759.7</v>
      </c>
      <c r="D88" s="177">
        <v>1095</v>
      </c>
      <c r="E88" s="177"/>
      <c r="F88" s="178">
        <v>55402</v>
      </c>
      <c r="G88" s="177">
        <v>647.70000000000005</v>
      </c>
      <c r="H88" s="177">
        <v>682.3</v>
      </c>
      <c r="I88" s="177"/>
      <c r="J88" s="178">
        <v>120060</v>
      </c>
      <c r="K88" s="177">
        <v>703.5</v>
      </c>
      <c r="L88" s="501">
        <v>859.4</v>
      </c>
    </row>
    <row r="89" spans="1:12" s="165" customFormat="1" ht="15" customHeight="1" x14ac:dyDescent="0.2">
      <c r="A89" s="182">
        <v>1991</v>
      </c>
      <c r="B89" s="184">
        <v>64067</v>
      </c>
      <c r="C89" s="177">
        <v>743.6</v>
      </c>
      <c r="D89" s="177">
        <v>1055.9000000000001</v>
      </c>
      <c r="E89" s="177"/>
      <c r="F89" s="178">
        <v>55079</v>
      </c>
      <c r="G89" s="177">
        <v>635.4</v>
      </c>
      <c r="H89" s="177">
        <v>658.2</v>
      </c>
      <c r="I89" s="177"/>
      <c r="J89" s="178">
        <v>119146</v>
      </c>
      <c r="K89" s="177">
        <v>689.3</v>
      </c>
      <c r="L89" s="501">
        <v>828.7</v>
      </c>
    </row>
    <row r="90" spans="1:12" s="165" customFormat="1" ht="15" customHeight="1" x14ac:dyDescent="0.2">
      <c r="A90" s="182">
        <v>1992</v>
      </c>
      <c r="B90" s="184">
        <v>66115</v>
      </c>
      <c r="C90" s="177">
        <v>759.2</v>
      </c>
      <c r="D90" s="177">
        <v>1063.8</v>
      </c>
      <c r="E90" s="177"/>
      <c r="F90" s="178">
        <v>57545</v>
      </c>
      <c r="G90" s="177">
        <v>656.1</v>
      </c>
      <c r="H90" s="177">
        <v>668.2</v>
      </c>
      <c r="I90" s="177"/>
      <c r="J90" s="178">
        <v>123660</v>
      </c>
      <c r="K90" s="177">
        <v>707.5</v>
      </c>
      <c r="L90" s="501">
        <v>838.4</v>
      </c>
    </row>
    <row r="91" spans="1:12" s="165" customFormat="1" ht="15" customHeight="1" x14ac:dyDescent="0.2">
      <c r="A91" s="182">
        <v>1993</v>
      </c>
      <c r="B91" s="184">
        <v>65089</v>
      </c>
      <c r="C91" s="177">
        <v>741.2</v>
      </c>
      <c r="D91" s="177">
        <v>1022.1</v>
      </c>
      <c r="E91" s="177"/>
      <c r="F91" s="178">
        <v>56510</v>
      </c>
      <c r="G91" s="177">
        <v>638.29999999999995</v>
      </c>
      <c r="H91" s="177">
        <v>636.5</v>
      </c>
      <c r="I91" s="177"/>
      <c r="J91" s="178">
        <v>121599</v>
      </c>
      <c r="K91" s="177">
        <v>689.5</v>
      </c>
      <c r="L91" s="501">
        <v>801.7</v>
      </c>
    </row>
    <row r="92" spans="1:12" s="165" customFormat="1" ht="15" customHeight="1" x14ac:dyDescent="0.2">
      <c r="A92" s="182">
        <v>1994</v>
      </c>
      <c r="B92" s="184">
        <v>67464</v>
      </c>
      <c r="C92" s="177">
        <v>761.1</v>
      </c>
      <c r="D92" s="177">
        <v>1036.9000000000001</v>
      </c>
      <c r="E92" s="177"/>
      <c r="F92" s="178">
        <v>59228</v>
      </c>
      <c r="G92" s="177">
        <v>662.4</v>
      </c>
      <c r="H92" s="177">
        <v>647.79999999999995</v>
      </c>
      <c r="I92" s="177"/>
      <c r="J92" s="178">
        <v>126692</v>
      </c>
      <c r="K92" s="177">
        <v>711.5</v>
      </c>
      <c r="L92" s="501">
        <v>814.7</v>
      </c>
    </row>
    <row r="93" spans="1:12" s="165" customFormat="1" ht="15" customHeight="1" x14ac:dyDescent="0.2">
      <c r="A93" s="182">
        <v>1995</v>
      </c>
      <c r="B93" s="184">
        <v>66251</v>
      </c>
      <c r="C93" s="177">
        <v>739.4</v>
      </c>
      <c r="D93" s="177">
        <v>986.7</v>
      </c>
      <c r="E93" s="177"/>
      <c r="F93" s="178">
        <v>58882</v>
      </c>
      <c r="G93" s="177">
        <v>651</v>
      </c>
      <c r="H93" s="177">
        <v>625.20000000000005</v>
      </c>
      <c r="I93" s="177"/>
      <c r="J93" s="178">
        <v>125133</v>
      </c>
      <c r="K93" s="177">
        <v>695</v>
      </c>
      <c r="L93" s="501">
        <v>781.2</v>
      </c>
    </row>
    <row r="94" spans="1:12" s="165" customFormat="1" ht="15" customHeight="1" x14ac:dyDescent="0.2">
      <c r="A94" s="182">
        <v>1996</v>
      </c>
      <c r="B94" s="184">
        <v>68206</v>
      </c>
      <c r="C94" s="177">
        <v>752.4</v>
      </c>
      <c r="D94" s="177">
        <v>990.4</v>
      </c>
      <c r="E94" s="177"/>
      <c r="F94" s="178">
        <v>60513</v>
      </c>
      <c r="G94" s="177">
        <v>660.7</v>
      </c>
      <c r="H94" s="177">
        <v>622.6</v>
      </c>
      <c r="I94" s="177"/>
      <c r="J94" s="178">
        <v>128719</v>
      </c>
      <c r="K94" s="177">
        <v>706.3</v>
      </c>
      <c r="L94" s="501">
        <v>781.2</v>
      </c>
    </row>
    <row r="95" spans="1:12" s="165" customFormat="1" ht="15" customHeight="1" x14ac:dyDescent="0.2">
      <c r="A95" s="182">
        <v>1997</v>
      </c>
      <c r="B95" s="184">
        <v>67752</v>
      </c>
      <c r="C95" s="177">
        <v>740</v>
      </c>
      <c r="D95" s="177">
        <v>953.1</v>
      </c>
      <c r="E95" s="177"/>
      <c r="F95" s="178">
        <v>61598</v>
      </c>
      <c r="G95" s="177">
        <v>664.7</v>
      </c>
      <c r="H95" s="177">
        <v>612.9</v>
      </c>
      <c r="I95" s="177"/>
      <c r="J95" s="178">
        <v>129350</v>
      </c>
      <c r="K95" s="177">
        <v>702.1</v>
      </c>
      <c r="L95" s="501">
        <v>760.8</v>
      </c>
    </row>
    <row r="96" spans="1:12" s="165" customFormat="1" ht="15" customHeight="1" x14ac:dyDescent="0.2">
      <c r="A96" s="182">
        <v>1998</v>
      </c>
      <c r="B96" s="184">
        <v>67073</v>
      </c>
      <c r="C96" s="177">
        <v>725.7</v>
      </c>
      <c r="D96" s="177">
        <v>915</v>
      </c>
      <c r="E96" s="177"/>
      <c r="F96" s="178">
        <v>60129</v>
      </c>
      <c r="G96" s="177">
        <v>642.1</v>
      </c>
      <c r="H96" s="177">
        <v>581.29999999999995</v>
      </c>
      <c r="I96" s="177"/>
      <c r="J96" s="178">
        <v>127202</v>
      </c>
      <c r="K96" s="177">
        <v>683.6</v>
      </c>
      <c r="L96" s="501">
        <v>726.5</v>
      </c>
    </row>
    <row r="97" spans="1:12" s="165" customFormat="1" ht="15" customHeight="1" x14ac:dyDescent="0.2">
      <c r="A97" s="182">
        <v>1999</v>
      </c>
      <c r="B97" s="184">
        <v>67228</v>
      </c>
      <c r="C97" s="177">
        <v>719.8</v>
      </c>
      <c r="D97" s="177">
        <v>890.2</v>
      </c>
      <c r="E97" s="177"/>
      <c r="F97" s="178">
        <v>60877</v>
      </c>
      <c r="G97" s="177">
        <v>642.70000000000005</v>
      </c>
      <c r="H97" s="177">
        <v>569.29999999999995</v>
      </c>
      <c r="I97" s="177"/>
      <c r="J97" s="178">
        <v>128105</v>
      </c>
      <c r="K97" s="177">
        <v>681</v>
      </c>
      <c r="L97" s="501">
        <v>709.7</v>
      </c>
    </row>
    <row r="98" spans="1:12" s="165" customFormat="1" ht="15" customHeight="1" x14ac:dyDescent="0.2">
      <c r="A98" s="182">
        <v>2000</v>
      </c>
      <c r="B98" s="184">
        <v>66817</v>
      </c>
      <c r="C98" s="177">
        <v>707.5</v>
      </c>
      <c r="D98" s="177">
        <v>858.7</v>
      </c>
      <c r="E98" s="177"/>
      <c r="F98" s="178">
        <v>61475</v>
      </c>
      <c r="G98" s="177">
        <v>641.29999999999995</v>
      </c>
      <c r="H98" s="177">
        <v>555.5</v>
      </c>
      <c r="I98" s="177"/>
      <c r="J98" s="178">
        <v>128292</v>
      </c>
      <c r="K98" s="177">
        <v>674.2</v>
      </c>
      <c r="L98" s="501">
        <v>688.3</v>
      </c>
    </row>
    <row r="99" spans="1:12" s="165" customFormat="1" ht="15" customHeight="1" x14ac:dyDescent="0.2">
      <c r="A99" s="182">
        <v>2001</v>
      </c>
      <c r="B99" s="184">
        <v>66837</v>
      </c>
      <c r="C99" s="177">
        <v>699</v>
      </c>
      <c r="D99" s="177">
        <v>829.2</v>
      </c>
      <c r="E99" s="177"/>
      <c r="F99" s="178">
        <v>61711</v>
      </c>
      <c r="G99" s="177">
        <v>635.4</v>
      </c>
      <c r="H99" s="177">
        <v>539.1</v>
      </c>
      <c r="I99" s="177"/>
      <c r="J99" s="178">
        <v>128548</v>
      </c>
      <c r="K99" s="177">
        <v>666.9</v>
      </c>
      <c r="L99" s="501">
        <v>666.6</v>
      </c>
    </row>
    <row r="100" spans="1:12" s="165" customFormat="1" ht="15" customHeight="1" x14ac:dyDescent="0.2">
      <c r="A100" s="182">
        <v>2002</v>
      </c>
      <c r="B100" s="184">
        <v>68891</v>
      </c>
      <c r="C100" s="177">
        <v>712</v>
      </c>
      <c r="D100" s="177">
        <v>834.1</v>
      </c>
      <c r="E100" s="177"/>
      <c r="F100" s="178">
        <v>64827</v>
      </c>
      <c r="G100" s="177">
        <v>660.2</v>
      </c>
      <c r="H100" s="177">
        <v>550.6</v>
      </c>
      <c r="I100" s="177"/>
      <c r="J100" s="178">
        <v>133718</v>
      </c>
      <c r="K100" s="177">
        <v>685.9</v>
      </c>
      <c r="L100" s="501">
        <v>674.8</v>
      </c>
    </row>
    <row r="101" spans="1:12" s="165" customFormat="1" ht="15" customHeight="1" x14ac:dyDescent="0.2">
      <c r="A101" s="182">
        <v>2003</v>
      </c>
      <c r="B101" s="184">
        <v>68333</v>
      </c>
      <c r="C101" s="177">
        <v>698.2</v>
      </c>
      <c r="D101" s="177">
        <v>805.3</v>
      </c>
      <c r="E101" s="177"/>
      <c r="F101" s="178">
        <v>63963</v>
      </c>
      <c r="G101" s="177">
        <v>643.9</v>
      </c>
      <c r="H101" s="177">
        <v>530.6</v>
      </c>
      <c r="I101" s="177"/>
      <c r="J101" s="178">
        <v>132296</v>
      </c>
      <c r="K101" s="177">
        <v>670.8</v>
      </c>
      <c r="L101" s="501">
        <v>652.1</v>
      </c>
    </row>
    <row r="102" spans="1:12" s="165" customFormat="1" ht="15" customHeight="1" x14ac:dyDescent="0.2">
      <c r="A102" s="182">
        <v>2004</v>
      </c>
      <c r="B102" s="184">
        <v>68399</v>
      </c>
      <c r="C102" s="177">
        <v>691.2</v>
      </c>
      <c r="D102" s="177">
        <v>786.8</v>
      </c>
      <c r="E102" s="177"/>
      <c r="F102" s="178">
        <v>64118</v>
      </c>
      <c r="G102" s="177">
        <v>638.79999999999995</v>
      </c>
      <c r="H102" s="177">
        <v>520.4</v>
      </c>
      <c r="I102" s="177"/>
      <c r="J102" s="178">
        <v>132517</v>
      </c>
      <c r="K102" s="177">
        <v>664.8</v>
      </c>
      <c r="L102" s="501">
        <v>638.29999999999995</v>
      </c>
    </row>
    <row r="103" spans="1:12" s="165" customFormat="1" ht="15" customHeight="1" x14ac:dyDescent="0.2">
      <c r="A103" s="182">
        <v>2005</v>
      </c>
      <c r="B103" s="184">
        <v>67242</v>
      </c>
      <c r="C103" s="177">
        <v>671.1</v>
      </c>
      <c r="D103" s="177">
        <v>746.7</v>
      </c>
      <c r="E103" s="177"/>
      <c r="F103" s="178">
        <v>63474</v>
      </c>
      <c r="G103" s="177">
        <v>624.9</v>
      </c>
      <c r="H103" s="177">
        <v>500.2</v>
      </c>
      <c r="I103" s="177"/>
      <c r="J103" s="178">
        <v>130716</v>
      </c>
      <c r="K103" s="177">
        <v>647.9</v>
      </c>
      <c r="L103" s="501">
        <v>610.70000000000005</v>
      </c>
    </row>
    <row r="104" spans="1:12" s="165" customFormat="1" ht="15" customHeight="1" x14ac:dyDescent="0.2">
      <c r="A104" s="182">
        <v>2006</v>
      </c>
      <c r="B104" s="184">
        <v>68568</v>
      </c>
      <c r="C104" s="177">
        <v>674.9</v>
      </c>
      <c r="D104" s="177">
        <v>739</v>
      </c>
      <c r="E104" s="177"/>
      <c r="F104" s="178">
        <v>65192</v>
      </c>
      <c r="G104" s="177">
        <v>633.5</v>
      </c>
      <c r="H104" s="177">
        <v>498.6</v>
      </c>
      <c r="I104" s="177"/>
      <c r="J104" s="178">
        <v>133760</v>
      </c>
      <c r="K104" s="177">
        <v>654.1</v>
      </c>
      <c r="L104" s="501">
        <v>606.5</v>
      </c>
    </row>
    <row r="105" spans="1:12" s="165" customFormat="1" ht="15" customHeight="1" x14ac:dyDescent="0.2">
      <c r="A105" s="182">
        <v>2007</v>
      </c>
      <c r="B105" s="184">
        <v>70560</v>
      </c>
      <c r="C105" s="177">
        <v>681.5</v>
      </c>
      <c r="D105" s="177">
        <v>732.8</v>
      </c>
      <c r="E105" s="177"/>
      <c r="F105" s="178">
        <v>67273</v>
      </c>
      <c r="G105" s="177">
        <v>642.29999999999995</v>
      </c>
      <c r="H105" s="177">
        <v>498.4</v>
      </c>
      <c r="I105" s="177"/>
      <c r="J105" s="178">
        <v>137833</v>
      </c>
      <c r="K105" s="177">
        <v>661.8</v>
      </c>
      <c r="L105" s="501">
        <v>604.29999999999995</v>
      </c>
    </row>
    <row r="106" spans="1:12" s="165" customFormat="1" ht="15" customHeight="1" x14ac:dyDescent="0.2">
      <c r="A106" s="182">
        <v>2008</v>
      </c>
      <c r="B106" s="184">
        <v>73600</v>
      </c>
      <c r="C106" s="177">
        <v>696.2</v>
      </c>
      <c r="D106" s="177">
        <v>742</v>
      </c>
      <c r="E106" s="177"/>
      <c r="F106" s="178">
        <v>70431</v>
      </c>
      <c r="G106" s="177">
        <v>659.6</v>
      </c>
      <c r="H106" s="177">
        <v>505.8</v>
      </c>
      <c r="I106" s="177"/>
      <c r="J106" s="178">
        <v>144031</v>
      </c>
      <c r="K106" s="177">
        <v>677.8</v>
      </c>
      <c r="L106" s="501">
        <v>612.70000000000005</v>
      </c>
    </row>
    <row r="107" spans="1:12" s="165" customFormat="1" ht="15" customHeight="1" x14ac:dyDescent="0.2">
      <c r="A107" s="182">
        <v>2009</v>
      </c>
      <c r="B107" s="184">
        <v>72326</v>
      </c>
      <c r="C107" s="177">
        <v>669.6</v>
      </c>
      <c r="D107" s="177">
        <v>704.9</v>
      </c>
      <c r="E107" s="177"/>
      <c r="F107" s="178">
        <v>68434</v>
      </c>
      <c r="G107" s="177">
        <v>628.4</v>
      </c>
      <c r="H107" s="177">
        <v>479.7</v>
      </c>
      <c r="I107" s="177"/>
      <c r="J107" s="178">
        <v>140760</v>
      </c>
      <c r="K107" s="177">
        <v>648.9</v>
      </c>
      <c r="L107" s="501">
        <v>582</v>
      </c>
    </row>
    <row r="108" spans="1:12" s="165" customFormat="1" ht="15" customHeight="1" x14ac:dyDescent="0.2">
      <c r="A108" s="182">
        <v>2010</v>
      </c>
      <c r="B108" s="184">
        <v>73438</v>
      </c>
      <c r="C108" s="177">
        <v>669.6</v>
      </c>
      <c r="D108" s="177">
        <v>692.4</v>
      </c>
      <c r="E108" s="177"/>
      <c r="F108" s="178">
        <v>69964</v>
      </c>
      <c r="G108" s="177">
        <v>632.4</v>
      </c>
      <c r="H108" s="177">
        <v>474.7</v>
      </c>
      <c r="I108" s="177"/>
      <c r="J108" s="178">
        <v>143402</v>
      </c>
      <c r="K108" s="177">
        <v>650.9</v>
      </c>
      <c r="L108" s="501">
        <v>573.9</v>
      </c>
    </row>
    <row r="109" spans="1:12" s="165" customFormat="1" ht="15" customHeight="1" x14ac:dyDescent="0.2">
      <c r="A109" s="182">
        <v>2011</v>
      </c>
      <c r="B109" s="184">
        <v>75356</v>
      </c>
      <c r="C109" s="177">
        <v>677.8</v>
      </c>
      <c r="D109" s="177">
        <v>687.6</v>
      </c>
      <c r="E109" s="177"/>
      <c r="F109" s="178">
        <v>71615</v>
      </c>
      <c r="G109" s="177">
        <v>638.20000000000005</v>
      </c>
      <c r="H109" s="177">
        <v>471.9</v>
      </c>
      <c r="I109" s="177"/>
      <c r="J109" s="178">
        <v>146971</v>
      </c>
      <c r="K109" s="177">
        <v>657.9</v>
      </c>
      <c r="L109" s="501">
        <v>570.1</v>
      </c>
    </row>
    <row r="110" spans="1:12" s="165" customFormat="1" ht="15" customHeight="1" x14ac:dyDescent="0.2">
      <c r="A110" s="182">
        <v>2012</v>
      </c>
      <c r="B110" s="184">
        <v>74757</v>
      </c>
      <c r="C110" s="177">
        <v>660.8</v>
      </c>
      <c r="D110" s="177">
        <v>660.1</v>
      </c>
      <c r="E110" s="177"/>
      <c r="F110" s="178">
        <v>72283</v>
      </c>
      <c r="G110" s="177">
        <v>632.9</v>
      </c>
      <c r="H110" s="177">
        <v>463.6</v>
      </c>
      <c r="I110" s="177"/>
      <c r="J110" s="178">
        <v>147040</v>
      </c>
      <c r="K110" s="177">
        <v>646.79999999999995</v>
      </c>
      <c r="L110" s="501">
        <v>553.70000000000005</v>
      </c>
    </row>
    <row r="111" spans="1:12" s="165" customFormat="1" ht="15" customHeight="1" x14ac:dyDescent="0.2">
      <c r="A111" s="182">
        <v>2013</v>
      </c>
      <c r="B111" s="184">
        <v>76134</v>
      </c>
      <c r="C111" s="177">
        <v>661.7</v>
      </c>
      <c r="D111" s="177">
        <v>649.6</v>
      </c>
      <c r="E111" s="177"/>
      <c r="F111" s="178">
        <v>72131</v>
      </c>
      <c r="G111" s="177">
        <v>620.6</v>
      </c>
      <c r="H111" s="177">
        <v>452.4</v>
      </c>
      <c r="I111" s="177"/>
      <c r="J111" s="178">
        <v>148265</v>
      </c>
      <c r="K111" s="177">
        <v>641.1</v>
      </c>
      <c r="L111" s="501">
        <v>543.20000000000005</v>
      </c>
    </row>
    <row r="112" spans="1:12" s="165" customFormat="1" ht="15" customHeight="1" x14ac:dyDescent="0.2">
      <c r="A112" s="182">
        <v>2014</v>
      </c>
      <c r="B112" s="184">
        <v>78570</v>
      </c>
      <c r="C112" s="177">
        <v>673.4</v>
      </c>
      <c r="D112" s="177">
        <v>649.29999999999995</v>
      </c>
      <c r="E112" s="177"/>
      <c r="F112" s="178">
        <v>75470</v>
      </c>
      <c r="G112" s="177">
        <v>639.20000000000005</v>
      </c>
      <c r="H112" s="177">
        <v>461.5</v>
      </c>
      <c r="I112" s="177"/>
      <c r="J112" s="178">
        <v>154040</v>
      </c>
      <c r="K112" s="177">
        <v>656.2</v>
      </c>
      <c r="L112" s="501">
        <v>548.70000000000005</v>
      </c>
    </row>
    <row r="113" spans="1:17" s="165" customFormat="1" ht="15" customHeight="1" x14ac:dyDescent="0.2">
      <c r="A113" s="182">
        <v>2015</v>
      </c>
      <c r="B113" s="184">
        <v>81398</v>
      </c>
      <c r="C113" s="177">
        <v>688.2</v>
      </c>
      <c r="D113" s="177">
        <v>653.29999999999995</v>
      </c>
      <c r="E113" s="177"/>
      <c r="F113" s="178">
        <v>77772</v>
      </c>
      <c r="G113" s="177">
        <v>648.70000000000005</v>
      </c>
      <c r="H113" s="177">
        <v>464.6</v>
      </c>
      <c r="I113" s="177"/>
      <c r="J113" s="178">
        <v>159170</v>
      </c>
      <c r="K113" s="177">
        <v>668.3</v>
      </c>
      <c r="L113" s="501">
        <v>552.5</v>
      </c>
    </row>
    <row r="114" spans="1:17" s="165" customFormat="1" ht="15" customHeight="1" x14ac:dyDescent="0.2">
      <c r="A114" s="182">
        <v>2016</v>
      </c>
      <c r="B114" s="184">
        <v>82274</v>
      </c>
      <c r="C114" s="177">
        <v>685.4</v>
      </c>
      <c r="D114" s="177">
        <v>640.6</v>
      </c>
      <c r="E114" s="177"/>
      <c r="F114" s="178">
        <v>76900</v>
      </c>
      <c r="G114" s="177">
        <v>631</v>
      </c>
      <c r="H114" s="177">
        <v>449.5</v>
      </c>
      <c r="I114" s="177"/>
      <c r="J114" s="178">
        <v>159174</v>
      </c>
      <c r="K114" s="177">
        <v>658</v>
      </c>
      <c r="L114" s="501">
        <v>538.4</v>
      </c>
    </row>
    <row r="115" spans="1:17" s="165" customFormat="1" ht="15" customHeight="1" x14ac:dyDescent="0.2">
      <c r="A115" s="182">
        <v>2017</v>
      </c>
      <c r="B115" s="184">
        <v>83565</v>
      </c>
      <c r="C115" s="177">
        <v>684.8</v>
      </c>
      <c r="D115" s="177">
        <v>631.20000000000005</v>
      </c>
      <c r="E115" s="177"/>
      <c r="F115" s="178">
        <v>78479</v>
      </c>
      <c r="G115" s="177">
        <v>633.5</v>
      </c>
      <c r="H115" s="177">
        <v>448.8</v>
      </c>
      <c r="I115" s="177"/>
      <c r="J115" s="178">
        <v>162044</v>
      </c>
      <c r="K115" s="177">
        <v>658.9</v>
      </c>
      <c r="L115" s="501">
        <v>534</v>
      </c>
    </row>
    <row r="116" spans="1:17" s="165" customFormat="1" ht="15" customHeight="1" x14ac:dyDescent="0.2">
      <c r="A116" s="182">
        <v>2018</v>
      </c>
      <c r="B116" s="184">
        <v>83271</v>
      </c>
      <c r="C116" s="177">
        <v>672.1</v>
      </c>
      <c r="D116" s="177">
        <v>611.1</v>
      </c>
      <c r="E116" s="177"/>
      <c r="F116" s="178">
        <v>76826</v>
      </c>
      <c r="G116" s="177">
        <v>611</v>
      </c>
      <c r="H116" s="177">
        <v>431.6</v>
      </c>
      <c r="I116" s="177"/>
      <c r="J116" s="178">
        <v>160097</v>
      </c>
      <c r="K116" s="177">
        <v>641.29999999999995</v>
      </c>
      <c r="L116" s="501">
        <v>515.4</v>
      </c>
    </row>
    <row r="117" spans="1:17" s="165" customFormat="1" ht="15" customHeight="1" x14ac:dyDescent="0.2">
      <c r="A117" s="182">
        <v>2019</v>
      </c>
      <c r="B117" s="184">
        <v>86686</v>
      </c>
      <c r="C117" s="177">
        <v>689.2</v>
      </c>
      <c r="D117" s="177">
        <v>617.79999999999995</v>
      </c>
      <c r="E117" s="177"/>
      <c r="F117" s="178">
        <v>79874</v>
      </c>
      <c r="G117" s="177">
        <v>626.1</v>
      </c>
      <c r="H117" s="177">
        <v>437.5</v>
      </c>
      <c r="I117" s="177"/>
      <c r="J117" s="178">
        <v>166560</v>
      </c>
      <c r="K117" s="177">
        <v>657.4</v>
      </c>
      <c r="L117" s="501">
        <v>522</v>
      </c>
    </row>
    <row r="118" spans="1:17" s="165" customFormat="1" ht="15" customHeight="1" x14ac:dyDescent="0.2">
      <c r="A118" s="182">
        <v>2020</v>
      </c>
      <c r="B118" s="184">
        <v>84588</v>
      </c>
      <c r="C118" s="177">
        <v>664.5</v>
      </c>
      <c r="D118" s="177">
        <v>582.6</v>
      </c>
      <c r="E118" s="177"/>
      <c r="F118" s="178">
        <v>76712</v>
      </c>
      <c r="G118" s="177">
        <v>593.70000000000005</v>
      </c>
      <c r="H118" s="177">
        <v>410.2</v>
      </c>
      <c r="I118" s="177"/>
      <c r="J118" s="178">
        <v>161300</v>
      </c>
      <c r="K118" s="177">
        <v>628.9</v>
      </c>
      <c r="L118" s="501">
        <v>491.1</v>
      </c>
    </row>
    <row r="119" spans="1:17" s="165" customFormat="1" ht="15" customHeight="1" x14ac:dyDescent="0.2">
      <c r="A119" s="182">
        <v>2021</v>
      </c>
      <c r="B119" s="184">
        <v>89401</v>
      </c>
      <c r="C119" s="177">
        <v>701.2</v>
      </c>
      <c r="D119" s="177">
        <v>597</v>
      </c>
      <c r="E119" s="177"/>
      <c r="F119" s="178">
        <v>82068</v>
      </c>
      <c r="G119" s="177">
        <v>634.4</v>
      </c>
      <c r="H119" s="177">
        <v>427.4</v>
      </c>
      <c r="I119" s="177"/>
      <c r="J119" s="178">
        <v>171469</v>
      </c>
      <c r="K119" s="177">
        <v>667.6</v>
      </c>
      <c r="L119" s="501">
        <v>507.2</v>
      </c>
    </row>
    <row r="120" spans="1:17" s="165" customFormat="1" ht="15" customHeight="1" x14ac:dyDescent="0.2">
      <c r="A120" s="182">
        <v>2022</v>
      </c>
      <c r="B120" s="184">
        <v>99924</v>
      </c>
      <c r="C120" s="177">
        <v>774</v>
      </c>
      <c r="D120" s="177">
        <v>646.9</v>
      </c>
      <c r="E120" s="177"/>
      <c r="F120" s="178">
        <v>91015</v>
      </c>
      <c r="G120" s="177">
        <v>694.5</v>
      </c>
      <c r="H120" s="177">
        <v>461</v>
      </c>
      <c r="I120" s="177"/>
      <c r="J120" s="178">
        <v>190939</v>
      </c>
      <c r="K120" s="177">
        <v>734</v>
      </c>
      <c r="L120" s="501">
        <v>548.4</v>
      </c>
    </row>
    <row r="121" spans="1:17" s="165" customFormat="1" ht="15" customHeight="1" x14ac:dyDescent="0.2">
      <c r="A121" s="492">
        <v>2023</v>
      </c>
      <c r="B121" s="493">
        <v>96180</v>
      </c>
      <c r="C121" s="198">
        <v>726.8</v>
      </c>
      <c r="D121" s="198">
        <v>604.79999999999995</v>
      </c>
      <c r="E121" s="198"/>
      <c r="F121" s="494">
        <v>86951</v>
      </c>
      <c r="G121" s="198">
        <v>647.9</v>
      </c>
      <c r="H121" s="198">
        <v>430.9</v>
      </c>
      <c r="I121" s="198"/>
      <c r="J121" s="494">
        <v>183131</v>
      </c>
      <c r="K121" s="198">
        <v>687.1</v>
      </c>
      <c r="L121" s="596">
        <v>512.70000000000005</v>
      </c>
    </row>
    <row r="122" spans="1:17" s="199" customFormat="1" ht="15" customHeight="1" x14ac:dyDescent="0.2">
      <c r="A122" s="300" t="s">
        <v>68</v>
      </c>
      <c r="B122" s="300" t="s">
        <v>69</v>
      </c>
      <c r="C122" s="301"/>
      <c r="D122" s="301"/>
      <c r="E122" s="214"/>
      <c r="F122" s="214"/>
      <c r="G122" s="463"/>
      <c r="H122" s="463"/>
      <c r="I122" s="214"/>
      <c r="J122" s="246"/>
      <c r="K122" s="214"/>
      <c r="L122" s="214"/>
      <c r="M122" s="463"/>
      <c r="O122" s="214"/>
      <c r="P122" s="246"/>
      <c r="Q122" s="214"/>
    </row>
    <row r="123" spans="1:17" s="199" customFormat="1" ht="15" customHeight="1" x14ac:dyDescent="0.2">
      <c r="A123" s="212" t="s">
        <v>4</v>
      </c>
      <c r="B123" s="484"/>
      <c r="C123" s="214"/>
      <c r="D123" s="214"/>
      <c r="E123" s="20"/>
      <c r="F123" s="86"/>
      <c r="G123" s="20"/>
      <c r="H123" s="20"/>
      <c r="I123" s="20"/>
      <c r="J123" s="86"/>
      <c r="K123" s="88"/>
    </row>
    <row r="124" spans="1:17" s="199" customFormat="1" ht="15" customHeight="1" x14ac:dyDescent="0.2">
      <c r="A124" s="20" t="s">
        <v>579</v>
      </c>
      <c r="B124" s="86"/>
      <c r="C124" s="214"/>
      <c r="D124" s="214"/>
      <c r="E124" s="20"/>
      <c r="F124" s="86"/>
      <c r="G124" s="20"/>
      <c r="H124" s="20"/>
      <c r="I124" s="20"/>
      <c r="J124" s="86"/>
      <c r="K124" s="88"/>
    </row>
    <row r="125" spans="1:17" s="199" customFormat="1" ht="50.1" customHeight="1" x14ac:dyDescent="0.2">
      <c r="A125" s="599" t="s">
        <v>36</v>
      </c>
      <c r="B125" s="600"/>
      <c r="C125" s="600"/>
      <c r="D125" s="600"/>
      <c r="E125" s="600"/>
      <c r="F125" s="600"/>
      <c r="G125" s="600"/>
      <c r="H125" s="600"/>
      <c r="I125" s="600"/>
      <c r="J125" s="600"/>
      <c r="K125" s="600"/>
      <c r="L125" s="600"/>
      <c r="M125" s="600"/>
    </row>
    <row r="126" spans="1:17" s="199" customFormat="1" ht="15" customHeight="1" x14ac:dyDescent="0.2">
      <c r="A126" s="20" t="s">
        <v>27</v>
      </c>
      <c r="B126" s="86"/>
      <c r="C126" s="214"/>
      <c r="D126" s="214"/>
      <c r="E126" s="20"/>
      <c r="F126" s="86"/>
      <c r="G126" s="20"/>
      <c r="H126" s="20"/>
      <c r="I126" s="20"/>
      <c r="J126" s="86"/>
      <c r="K126" s="88"/>
    </row>
    <row r="127" spans="1:17" s="199" customFormat="1" ht="30" customHeight="1" x14ac:dyDescent="0.2">
      <c r="A127" s="615" t="s">
        <v>603</v>
      </c>
      <c r="B127" s="614"/>
      <c r="C127" s="614"/>
      <c r="D127" s="614"/>
      <c r="E127" s="614"/>
      <c r="F127" s="614"/>
      <c r="G127" s="614"/>
      <c r="H127" s="614"/>
      <c r="I127" s="614"/>
      <c r="J127" s="614"/>
      <c r="K127" s="614"/>
      <c r="L127" s="614"/>
      <c r="M127" s="614"/>
    </row>
  </sheetData>
  <mergeCells count="5">
    <mergeCell ref="A127:M127"/>
    <mergeCell ref="B3:D3"/>
    <mergeCell ref="F3:H3"/>
    <mergeCell ref="J3:L3"/>
    <mergeCell ref="A125:M125"/>
  </mergeCells>
  <hyperlinks>
    <hyperlink ref="A2" location="Contents!A1" display="Back to contents" xr:uid="{69F02FC4-1B0D-43AD-9CA0-D4734F619A71}"/>
  </hyperlinks>
  <pageMargins left="0.7" right="0.7" top="0.75" bottom="0.75" header="0.3" footer="0.3"/>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54B38-9B77-4966-8B05-1E1926023540}">
  <dimension ref="A1:AB129"/>
  <sheetViews>
    <sheetView workbookViewId="0">
      <pane ySplit="4" topLeftCell="A5" activePane="bottomLeft" state="frozen"/>
      <selection pane="bottomLeft" activeCell="A5" sqref="A5"/>
    </sheetView>
  </sheetViews>
  <sheetFormatPr defaultRowHeight="15" customHeight="1" x14ac:dyDescent="0.2"/>
  <cols>
    <col min="1" max="1" width="9" style="191"/>
    <col min="2" max="2" width="8.625" style="191" customWidth="1"/>
    <col min="3" max="4" width="9.625" style="191" customWidth="1"/>
    <col min="5" max="5" width="2.625" style="191" customWidth="1"/>
    <col min="6" max="6" width="8.625" style="191" customWidth="1"/>
    <col min="7" max="8" width="9.625" style="191" customWidth="1"/>
    <col min="9" max="9" width="2.625" style="191" customWidth="1"/>
    <col min="10" max="10" width="8.625" style="191" customWidth="1"/>
    <col min="11" max="12" width="9.625" style="191" customWidth="1"/>
    <col min="13" max="13" width="2.625" style="191" customWidth="1"/>
    <col min="14" max="14" width="8.625" style="191" customWidth="1"/>
    <col min="15" max="16" width="9.625" style="191" customWidth="1"/>
    <col min="17" max="17" width="2.625" style="191" customWidth="1"/>
    <col min="18" max="18" width="8.625" style="191" customWidth="1"/>
    <col min="19" max="20" width="9.625" style="191" customWidth="1"/>
    <col min="21" max="21" width="2.625" style="191" customWidth="1"/>
    <col min="22" max="22" width="8.625" style="191" customWidth="1"/>
    <col min="23" max="24" width="9.625" style="191" customWidth="1"/>
    <col min="25" max="25" width="2.625" style="191" customWidth="1"/>
    <col min="26" max="26" width="8.625" style="191" customWidth="1"/>
    <col min="27" max="28" width="9.625" style="191" customWidth="1"/>
    <col min="29" max="16384" width="9" style="191"/>
  </cols>
  <sheetData>
    <row r="1" spans="1:28" ht="15" customHeight="1" x14ac:dyDescent="0.25">
      <c r="A1" s="151" t="s">
        <v>596</v>
      </c>
      <c r="B1" s="152"/>
      <c r="C1" s="154"/>
      <c r="D1" s="154"/>
      <c r="E1" s="154"/>
      <c r="F1" s="155"/>
      <c r="G1" s="154"/>
      <c r="H1" s="154"/>
      <c r="I1" s="154"/>
      <c r="J1" s="155"/>
      <c r="K1" s="154"/>
    </row>
    <row r="2" spans="1:28" s="199" customFormat="1" ht="15" customHeight="1" x14ac:dyDescent="0.2">
      <c r="A2" s="500" t="s">
        <v>585</v>
      </c>
    </row>
    <row r="3" spans="1:28" s="165" customFormat="1" ht="15" customHeight="1" x14ac:dyDescent="0.2">
      <c r="A3" s="192"/>
      <c r="B3" s="616" t="s">
        <v>138</v>
      </c>
      <c r="C3" s="616"/>
      <c r="D3" s="616"/>
      <c r="E3" s="193"/>
      <c r="F3" s="616" t="s">
        <v>139</v>
      </c>
      <c r="G3" s="616"/>
      <c r="H3" s="616"/>
      <c r="I3" s="193"/>
      <c r="J3" s="616" t="s">
        <v>140</v>
      </c>
      <c r="K3" s="616"/>
      <c r="L3" s="616"/>
      <c r="M3" s="193"/>
      <c r="N3" s="616" t="s">
        <v>141</v>
      </c>
      <c r="O3" s="616"/>
      <c r="P3" s="616"/>
      <c r="Q3" s="490"/>
      <c r="R3" s="616" t="s">
        <v>142</v>
      </c>
      <c r="S3" s="616"/>
      <c r="T3" s="616"/>
      <c r="U3" s="193"/>
      <c r="V3" s="616" t="s">
        <v>143</v>
      </c>
      <c r="W3" s="616"/>
      <c r="X3" s="616"/>
      <c r="Y3" s="193"/>
      <c r="Z3" s="616" t="s">
        <v>67</v>
      </c>
      <c r="AA3" s="616"/>
      <c r="AB3" s="616"/>
    </row>
    <row r="4" spans="1:28" s="165" customFormat="1" ht="45" customHeight="1" x14ac:dyDescent="0.2">
      <c r="A4" s="194" t="s">
        <v>26</v>
      </c>
      <c r="B4" s="195" t="s">
        <v>41</v>
      </c>
      <c r="C4" s="195" t="s">
        <v>565</v>
      </c>
      <c r="D4" s="195" t="s">
        <v>560</v>
      </c>
      <c r="E4" s="195"/>
      <c r="F4" s="195" t="s">
        <v>41</v>
      </c>
      <c r="G4" s="195" t="s">
        <v>565</v>
      </c>
      <c r="H4" s="195" t="s">
        <v>560</v>
      </c>
      <c r="I4" s="195"/>
      <c r="J4" s="195" t="s">
        <v>41</v>
      </c>
      <c r="K4" s="195" t="s">
        <v>565</v>
      </c>
      <c r="L4" s="195" t="s">
        <v>560</v>
      </c>
      <c r="M4" s="195"/>
      <c r="N4" s="195" t="s">
        <v>41</v>
      </c>
      <c r="O4" s="195" t="s">
        <v>565</v>
      </c>
      <c r="P4" s="195" t="s">
        <v>560</v>
      </c>
      <c r="Q4" s="491"/>
      <c r="R4" s="195" t="s">
        <v>41</v>
      </c>
      <c r="S4" s="195" t="s">
        <v>565</v>
      </c>
      <c r="T4" s="195" t="s">
        <v>560</v>
      </c>
      <c r="U4" s="195"/>
      <c r="V4" s="195" t="s">
        <v>41</v>
      </c>
      <c r="W4" s="195" t="s">
        <v>565</v>
      </c>
      <c r="X4" s="195" t="s">
        <v>560</v>
      </c>
      <c r="Y4" s="195"/>
      <c r="Z4" s="195" t="s">
        <v>41</v>
      </c>
      <c r="AA4" s="195" t="s">
        <v>565</v>
      </c>
      <c r="AB4" s="195" t="s">
        <v>560</v>
      </c>
    </row>
    <row r="5" spans="1:28" s="165" customFormat="1" ht="15" customHeight="1" x14ac:dyDescent="0.2">
      <c r="A5" s="182">
        <v>1907</v>
      </c>
      <c r="B5" s="184">
        <v>6854</v>
      </c>
      <c r="C5" s="177">
        <v>163.87235999999999</v>
      </c>
      <c r="D5" s="177">
        <v>410.23196000000002</v>
      </c>
      <c r="E5" s="177"/>
      <c r="F5" s="178">
        <v>3096</v>
      </c>
      <c r="G5" s="177">
        <v>74.022300000000001</v>
      </c>
      <c r="H5" s="177">
        <v>163.80931000000001</v>
      </c>
      <c r="I5" s="177"/>
      <c r="J5" s="184">
        <v>5743</v>
      </c>
      <c r="K5" s="177">
        <v>137.30945</v>
      </c>
      <c r="L5" s="177">
        <v>292.95751000000001</v>
      </c>
      <c r="M5" s="177"/>
      <c r="N5" s="178">
        <v>12606</v>
      </c>
      <c r="O5" s="177">
        <v>301.39699999999999</v>
      </c>
      <c r="P5" s="177">
        <v>319.62342999999998</v>
      </c>
      <c r="R5" s="184">
        <v>3172</v>
      </c>
      <c r="S5" s="177">
        <v>75.839383999999995</v>
      </c>
      <c r="T5" s="177">
        <v>104.57895000000001</v>
      </c>
      <c r="U5" s="177"/>
      <c r="V5" s="178">
        <v>13834</v>
      </c>
      <c r="W5" s="177">
        <v>330.75726486072978</v>
      </c>
      <c r="X5" s="177">
        <v>763.00473999999986</v>
      </c>
      <c r="Y5" s="177"/>
      <c r="Z5" s="178">
        <v>45305</v>
      </c>
      <c r="AA5" s="177">
        <v>1083.1977999999999</v>
      </c>
      <c r="AB5" s="177">
        <v>2054.2058999999999</v>
      </c>
    </row>
    <row r="6" spans="1:28" s="165" customFormat="1" ht="15" customHeight="1" x14ac:dyDescent="0.2">
      <c r="A6" s="182">
        <v>1908</v>
      </c>
      <c r="B6" s="184">
        <v>7241</v>
      </c>
      <c r="C6" s="177">
        <v>170.35067000000001</v>
      </c>
      <c r="D6" s="177">
        <v>426.84861000000001</v>
      </c>
      <c r="E6" s="177"/>
      <c r="F6" s="178">
        <v>3066</v>
      </c>
      <c r="G6" s="177">
        <v>72.130250000000004</v>
      </c>
      <c r="H6" s="177">
        <v>157.08046999999999</v>
      </c>
      <c r="I6" s="177"/>
      <c r="J6" s="184">
        <v>5292</v>
      </c>
      <c r="K6" s="177">
        <v>124.49879</v>
      </c>
      <c r="L6" s="177">
        <v>256.3725</v>
      </c>
      <c r="M6" s="177"/>
      <c r="N6" s="178">
        <v>8859</v>
      </c>
      <c r="O6" s="177">
        <v>208.41549000000001</v>
      </c>
      <c r="P6" s="177">
        <v>261.58026000000001</v>
      </c>
      <c r="R6" s="184">
        <v>3444</v>
      </c>
      <c r="S6" s="177">
        <v>81.023021</v>
      </c>
      <c r="T6" s="177">
        <v>109.16768</v>
      </c>
      <c r="U6" s="177"/>
      <c r="V6" s="178">
        <v>18524</v>
      </c>
      <c r="W6" s="177">
        <v>435.79280860936882</v>
      </c>
      <c r="X6" s="177">
        <v>868.21767999999975</v>
      </c>
      <c r="Y6" s="177"/>
      <c r="Z6" s="178">
        <v>46426</v>
      </c>
      <c r="AA6" s="177">
        <v>1092.211</v>
      </c>
      <c r="AB6" s="177">
        <v>2079.2671999999998</v>
      </c>
    </row>
    <row r="7" spans="1:28" s="165" customFormat="1" ht="15" customHeight="1" x14ac:dyDescent="0.2">
      <c r="A7" s="182">
        <v>1909</v>
      </c>
      <c r="B7" s="184">
        <v>7085</v>
      </c>
      <c r="C7" s="177">
        <v>164.05155999999999</v>
      </c>
      <c r="D7" s="177">
        <v>405.33434999999997</v>
      </c>
      <c r="E7" s="177"/>
      <c r="F7" s="178">
        <v>3271</v>
      </c>
      <c r="G7" s="177">
        <v>75.739259000000004</v>
      </c>
      <c r="H7" s="177">
        <v>162.11542</v>
      </c>
      <c r="I7" s="177"/>
      <c r="J7" s="184">
        <v>4581</v>
      </c>
      <c r="K7" s="177">
        <v>106.07201000000001</v>
      </c>
      <c r="L7" s="177">
        <v>225.07776999999999</v>
      </c>
      <c r="M7" s="177"/>
      <c r="N7" s="178">
        <v>9085</v>
      </c>
      <c r="O7" s="177">
        <v>210.36109999999999</v>
      </c>
      <c r="P7" s="177">
        <v>251.52117999999999</v>
      </c>
      <c r="R7" s="184">
        <v>3179</v>
      </c>
      <c r="S7" s="177">
        <v>73.609020000000001</v>
      </c>
      <c r="T7" s="177">
        <v>95.498474999999999</v>
      </c>
      <c r="U7" s="177"/>
      <c r="V7" s="178">
        <v>16971</v>
      </c>
      <c r="W7" s="177">
        <v>392.95963414719421</v>
      </c>
      <c r="X7" s="177">
        <v>785.63120499999991</v>
      </c>
      <c r="Y7" s="177"/>
      <c r="Z7" s="178">
        <v>44172</v>
      </c>
      <c r="AA7" s="177">
        <v>1022.7926</v>
      </c>
      <c r="AB7" s="177">
        <v>1925.1784</v>
      </c>
    </row>
    <row r="8" spans="1:28" s="165" customFormat="1" ht="15" customHeight="1" x14ac:dyDescent="0.2">
      <c r="A8" s="182">
        <v>1910</v>
      </c>
      <c r="B8" s="184">
        <v>7552</v>
      </c>
      <c r="C8" s="177">
        <v>172.14949999999999</v>
      </c>
      <c r="D8" s="177">
        <v>424.39335</v>
      </c>
      <c r="E8" s="177"/>
      <c r="F8" s="178">
        <v>3375</v>
      </c>
      <c r="G8" s="177">
        <v>76.933868000000004</v>
      </c>
      <c r="H8" s="177">
        <v>167.99037999999999</v>
      </c>
      <c r="I8" s="177"/>
      <c r="J8" s="184">
        <v>4251</v>
      </c>
      <c r="K8" s="177">
        <v>96.902480999999995</v>
      </c>
      <c r="L8" s="177">
        <v>208.87976</v>
      </c>
      <c r="M8" s="177"/>
      <c r="N8" s="178">
        <v>8899</v>
      </c>
      <c r="O8" s="177">
        <v>202.85466</v>
      </c>
      <c r="P8" s="177">
        <v>245.40002999999999</v>
      </c>
      <c r="R8" s="184">
        <v>3285</v>
      </c>
      <c r="S8" s="177">
        <v>74.882298000000006</v>
      </c>
      <c r="T8" s="177">
        <v>101.14484</v>
      </c>
      <c r="U8" s="177"/>
      <c r="V8" s="178">
        <v>18228</v>
      </c>
      <c r="W8" s="177">
        <v>415.51127194000048</v>
      </c>
      <c r="X8" s="177">
        <v>785.19774000000007</v>
      </c>
      <c r="Y8" s="177"/>
      <c r="Z8" s="178">
        <v>45590</v>
      </c>
      <c r="AA8" s="177">
        <v>1039.2340999999999</v>
      </c>
      <c r="AB8" s="177">
        <v>1933.0061000000001</v>
      </c>
    </row>
    <row r="9" spans="1:28" s="165" customFormat="1" ht="15" customHeight="1" x14ac:dyDescent="0.2">
      <c r="A9" s="182">
        <v>1911</v>
      </c>
      <c r="B9" s="184">
        <v>8674</v>
      </c>
      <c r="C9" s="177">
        <v>194.70236</v>
      </c>
      <c r="D9" s="177">
        <v>479.79320000000001</v>
      </c>
      <c r="E9" s="177"/>
      <c r="F9" s="178">
        <v>3476</v>
      </c>
      <c r="G9" s="177">
        <v>78.024603999999997</v>
      </c>
      <c r="H9" s="177">
        <v>169.65633</v>
      </c>
      <c r="I9" s="177"/>
      <c r="J9" s="184">
        <v>5403</v>
      </c>
      <c r="K9" s="177">
        <v>121.27933</v>
      </c>
      <c r="L9" s="177">
        <v>251.69233</v>
      </c>
      <c r="M9" s="177"/>
      <c r="N9" s="178">
        <v>10183</v>
      </c>
      <c r="O9" s="177">
        <v>228.57437999999999</v>
      </c>
      <c r="P9" s="177">
        <v>263.51209999999998</v>
      </c>
      <c r="R9" s="184">
        <v>3582</v>
      </c>
      <c r="S9" s="177">
        <v>80.403949999999995</v>
      </c>
      <c r="T9" s="177">
        <v>106.48016</v>
      </c>
      <c r="U9" s="177"/>
      <c r="V9" s="178">
        <v>16551</v>
      </c>
      <c r="W9" s="177">
        <v>371.51473455136414</v>
      </c>
      <c r="X9" s="177">
        <v>772.27467999999999</v>
      </c>
      <c r="Y9" s="177"/>
      <c r="Z9" s="178">
        <v>47869</v>
      </c>
      <c r="AA9" s="177">
        <v>1074.4993999999999</v>
      </c>
      <c r="AB9" s="177">
        <v>2043.4087999999999</v>
      </c>
    </row>
    <row r="10" spans="1:28" s="165" customFormat="1" ht="15" customHeight="1" x14ac:dyDescent="0.2">
      <c r="A10" s="182">
        <v>1912</v>
      </c>
      <c r="B10" s="184">
        <v>9199</v>
      </c>
      <c r="C10" s="177">
        <v>201.95325</v>
      </c>
      <c r="D10" s="177">
        <v>478.72082</v>
      </c>
      <c r="E10" s="177"/>
      <c r="F10" s="178">
        <v>3676</v>
      </c>
      <c r="G10" s="177">
        <v>80.702268000000004</v>
      </c>
      <c r="H10" s="177">
        <v>169.81969000000001</v>
      </c>
      <c r="I10" s="177"/>
      <c r="J10" s="184">
        <v>5323</v>
      </c>
      <c r="K10" s="177">
        <v>116.86022</v>
      </c>
      <c r="L10" s="177">
        <v>239.89270999999999</v>
      </c>
      <c r="M10" s="177"/>
      <c r="N10" s="178">
        <v>8020</v>
      </c>
      <c r="O10" s="177">
        <v>176.06969000000001</v>
      </c>
      <c r="P10" s="177">
        <v>204.82619</v>
      </c>
      <c r="R10" s="184">
        <v>3878</v>
      </c>
      <c r="S10" s="177">
        <v>85.136940999999993</v>
      </c>
      <c r="T10" s="177">
        <v>111.05135</v>
      </c>
      <c r="U10" s="177"/>
      <c r="V10" s="178">
        <v>22081</v>
      </c>
      <c r="W10" s="177">
        <v>484.76245245761567</v>
      </c>
      <c r="X10" s="177">
        <v>895.46694000000002</v>
      </c>
      <c r="Y10" s="177"/>
      <c r="Z10" s="178">
        <v>52177</v>
      </c>
      <c r="AA10" s="177">
        <v>1145.4848</v>
      </c>
      <c r="AB10" s="177">
        <v>2099.7777000000001</v>
      </c>
    </row>
    <row r="11" spans="1:28" s="165" customFormat="1" ht="15" customHeight="1" x14ac:dyDescent="0.2">
      <c r="A11" s="182">
        <v>1913</v>
      </c>
      <c r="B11" s="184">
        <v>9003</v>
      </c>
      <c r="C11" s="177">
        <v>193.40394000000001</v>
      </c>
      <c r="D11" s="177">
        <v>459.08798999999999</v>
      </c>
      <c r="E11" s="177"/>
      <c r="F11" s="178">
        <v>3769</v>
      </c>
      <c r="G11" s="177">
        <v>80.966284999999999</v>
      </c>
      <c r="H11" s="177">
        <v>169.85772</v>
      </c>
      <c r="I11" s="177"/>
      <c r="J11" s="184">
        <v>5004</v>
      </c>
      <c r="K11" s="177">
        <v>107.49675999999999</v>
      </c>
      <c r="L11" s="177">
        <v>221.72122999999999</v>
      </c>
      <c r="M11" s="177"/>
      <c r="N11" s="178">
        <v>9138</v>
      </c>
      <c r="O11" s="177">
        <v>196.30403999999999</v>
      </c>
      <c r="P11" s="177">
        <v>235.55606</v>
      </c>
      <c r="R11" s="184">
        <v>3832</v>
      </c>
      <c r="S11" s="177">
        <v>82.319661999999994</v>
      </c>
      <c r="T11" s="177">
        <v>105.66337</v>
      </c>
      <c r="U11" s="177"/>
      <c r="V11" s="178">
        <v>21043</v>
      </c>
      <c r="W11" s="177">
        <v>452.04922681386824</v>
      </c>
      <c r="X11" s="177">
        <v>833.10392999999999</v>
      </c>
      <c r="Y11" s="177"/>
      <c r="Z11" s="178">
        <v>51789</v>
      </c>
      <c r="AA11" s="177">
        <v>1112.5399</v>
      </c>
      <c r="AB11" s="177">
        <v>2024.9902999999999</v>
      </c>
    </row>
    <row r="12" spans="1:28" s="165" customFormat="1" ht="15" customHeight="1" x14ac:dyDescent="0.2">
      <c r="A12" s="182">
        <v>1914</v>
      </c>
      <c r="B12" s="184">
        <v>8871</v>
      </c>
      <c r="C12" s="177">
        <v>186.56020000000001</v>
      </c>
      <c r="D12" s="177">
        <v>444.44630000000001</v>
      </c>
      <c r="E12" s="177"/>
      <c r="F12" s="178">
        <v>3838</v>
      </c>
      <c r="G12" s="177">
        <v>80.714467999999997</v>
      </c>
      <c r="H12" s="177">
        <v>168.66096999999999</v>
      </c>
      <c r="I12" s="177"/>
      <c r="J12" s="184">
        <v>5044</v>
      </c>
      <c r="K12" s="177">
        <v>106.07707000000001</v>
      </c>
      <c r="L12" s="177">
        <v>216.14601999999999</v>
      </c>
      <c r="M12" s="177"/>
      <c r="N12" s="178">
        <v>10743</v>
      </c>
      <c r="O12" s="177">
        <v>225.92901000000001</v>
      </c>
      <c r="P12" s="177">
        <v>222.75561999999999</v>
      </c>
      <c r="R12" s="184">
        <v>3804</v>
      </c>
      <c r="S12" s="177">
        <v>79.999436000000003</v>
      </c>
      <c r="T12" s="177">
        <v>102.71942</v>
      </c>
      <c r="U12" s="177"/>
      <c r="V12" s="178">
        <v>19420</v>
      </c>
      <c r="W12" s="177">
        <v>408.40932035494598</v>
      </c>
      <c r="X12" s="177">
        <v>837.78827000000001</v>
      </c>
      <c r="Y12" s="177"/>
      <c r="Z12" s="178">
        <v>51720</v>
      </c>
      <c r="AA12" s="177">
        <v>1087.6895</v>
      </c>
      <c r="AB12" s="177">
        <v>1992.5165999999999</v>
      </c>
    </row>
    <row r="13" spans="1:28" s="165" customFormat="1" ht="15" customHeight="1" x14ac:dyDescent="0.2">
      <c r="A13" s="182">
        <v>1915</v>
      </c>
      <c r="B13" s="184">
        <v>8477</v>
      </c>
      <c r="C13" s="177">
        <v>174.60195999999999</v>
      </c>
      <c r="D13" s="177">
        <v>410.80907000000002</v>
      </c>
      <c r="E13" s="177"/>
      <c r="F13" s="178">
        <v>3856</v>
      </c>
      <c r="G13" s="177">
        <v>79.422572000000002</v>
      </c>
      <c r="H13" s="177">
        <v>163.98607999999999</v>
      </c>
      <c r="I13" s="177"/>
      <c r="J13" s="184">
        <v>5627</v>
      </c>
      <c r="K13" s="177">
        <v>115.90011</v>
      </c>
      <c r="L13" s="177">
        <v>227.66804999999999</v>
      </c>
      <c r="M13" s="177"/>
      <c r="N13" s="178">
        <v>8355</v>
      </c>
      <c r="O13" s="177">
        <v>172.0891</v>
      </c>
      <c r="P13" s="177">
        <v>174.86190999999999</v>
      </c>
      <c r="R13" s="184">
        <v>3524</v>
      </c>
      <c r="S13" s="177">
        <v>72.584321000000003</v>
      </c>
      <c r="T13" s="177">
        <v>98.393009000000006</v>
      </c>
      <c r="U13" s="177"/>
      <c r="V13" s="178">
        <v>22943</v>
      </c>
      <c r="W13" s="177">
        <v>472.56018123835355</v>
      </c>
      <c r="X13" s="177">
        <v>945.03468099999986</v>
      </c>
      <c r="Y13" s="177"/>
      <c r="Z13" s="178">
        <v>52782</v>
      </c>
      <c r="AA13" s="177">
        <v>1087.1582000000001</v>
      </c>
      <c r="AB13" s="177">
        <v>2020.7528</v>
      </c>
    </row>
    <row r="14" spans="1:28" s="165" customFormat="1" ht="15" customHeight="1" x14ac:dyDescent="0.2">
      <c r="A14" s="182">
        <v>1916</v>
      </c>
      <c r="B14" s="184">
        <v>8902</v>
      </c>
      <c r="C14" s="177">
        <v>179.65501</v>
      </c>
      <c r="D14" s="177">
        <v>422.51405999999997</v>
      </c>
      <c r="E14" s="177"/>
      <c r="F14" s="178">
        <v>4157</v>
      </c>
      <c r="G14" s="177">
        <v>83.894166999999996</v>
      </c>
      <c r="H14" s="177">
        <v>169.94011</v>
      </c>
      <c r="I14" s="177"/>
      <c r="J14" s="184">
        <v>5659</v>
      </c>
      <c r="K14" s="177">
        <v>114.20666</v>
      </c>
      <c r="L14" s="177">
        <v>227.06281999999999</v>
      </c>
      <c r="M14" s="177"/>
      <c r="N14" s="178">
        <v>6695</v>
      </c>
      <c r="O14" s="177">
        <v>135.11461</v>
      </c>
      <c r="P14" s="177">
        <v>146.39631</v>
      </c>
      <c r="R14" s="184">
        <v>3312</v>
      </c>
      <c r="S14" s="177">
        <v>66.840866000000005</v>
      </c>
      <c r="T14" s="177">
        <v>88.791410999999997</v>
      </c>
      <c r="U14" s="177"/>
      <c r="V14" s="178">
        <v>25472</v>
      </c>
      <c r="W14" s="177">
        <v>514.06115273248872</v>
      </c>
      <c r="X14" s="177">
        <v>973.02268900000013</v>
      </c>
      <c r="Y14" s="177"/>
      <c r="Z14" s="178">
        <v>54197</v>
      </c>
      <c r="AA14" s="177">
        <v>1093.7725</v>
      </c>
      <c r="AB14" s="177">
        <v>2027.7274</v>
      </c>
    </row>
    <row r="15" spans="1:28" s="165" customFormat="1" ht="15" customHeight="1" x14ac:dyDescent="0.2">
      <c r="A15" s="182">
        <v>1917</v>
      </c>
      <c r="B15" s="184">
        <v>8399</v>
      </c>
      <c r="C15" s="177">
        <v>166.15029000000001</v>
      </c>
      <c r="D15" s="177">
        <v>383.62025</v>
      </c>
      <c r="E15" s="177"/>
      <c r="F15" s="178">
        <v>4216</v>
      </c>
      <c r="G15" s="177">
        <v>83.401549000000003</v>
      </c>
      <c r="H15" s="177">
        <v>173.16573</v>
      </c>
      <c r="I15" s="177"/>
      <c r="J15" s="184">
        <v>4874</v>
      </c>
      <c r="K15" s="177">
        <v>96.418204000000003</v>
      </c>
      <c r="L15" s="177">
        <v>198.78176999999999</v>
      </c>
      <c r="M15" s="177"/>
      <c r="N15" s="178">
        <v>7183</v>
      </c>
      <c r="O15" s="177">
        <v>142.09519</v>
      </c>
      <c r="P15" s="177">
        <v>153.73708999999999</v>
      </c>
      <c r="R15" s="184">
        <v>3187</v>
      </c>
      <c r="S15" s="177">
        <v>63.045715000000001</v>
      </c>
      <c r="T15" s="177">
        <v>82.679489000000004</v>
      </c>
      <c r="U15" s="177"/>
      <c r="V15" s="178">
        <v>20170</v>
      </c>
      <c r="W15" s="177">
        <v>399.00598647454774</v>
      </c>
      <c r="X15" s="177">
        <v>830.82527100000016</v>
      </c>
      <c r="Y15" s="177"/>
      <c r="Z15" s="178">
        <v>48029</v>
      </c>
      <c r="AA15" s="177">
        <v>950.11693000000002</v>
      </c>
      <c r="AB15" s="177">
        <v>1822.8096</v>
      </c>
    </row>
    <row r="16" spans="1:28" s="165" customFormat="1" ht="15" customHeight="1" x14ac:dyDescent="0.2">
      <c r="A16" s="182">
        <v>1918</v>
      </c>
      <c r="B16" s="184">
        <v>8578</v>
      </c>
      <c r="C16" s="177">
        <v>166.39923999999999</v>
      </c>
      <c r="D16" s="177">
        <v>386.17272000000003</v>
      </c>
      <c r="E16" s="177"/>
      <c r="F16" s="178">
        <v>4420</v>
      </c>
      <c r="G16" s="177">
        <v>85.740808999999999</v>
      </c>
      <c r="H16" s="177">
        <v>173.55643000000001</v>
      </c>
      <c r="I16" s="177"/>
      <c r="J16" s="184">
        <v>6363</v>
      </c>
      <c r="K16" s="177">
        <v>123.43185</v>
      </c>
      <c r="L16" s="177">
        <v>270.52480000000003</v>
      </c>
      <c r="M16" s="177"/>
      <c r="N16" s="178">
        <v>7030</v>
      </c>
      <c r="O16" s="177">
        <v>136.37056000000001</v>
      </c>
      <c r="P16" s="177">
        <v>150.58599000000001</v>
      </c>
      <c r="R16" s="184">
        <v>3151</v>
      </c>
      <c r="S16" s="177">
        <v>61.124273000000002</v>
      </c>
      <c r="T16" s="177">
        <v>80.505334000000005</v>
      </c>
      <c r="U16" s="177"/>
      <c r="V16" s="178">
        <v>20707</v>
      </c>
      <c r="W16" s="177">
        <v>401.68211051970854</v>
      </c>
      <c r="X16" s="177">
        <v>828.09652600000004</v>
      </c>
      <c r="Y16" s="177"/>
      <c r="Z16" s="178">
        <v>50249</v>
      </c>
      <c r="AA16" s="177">
        <v>974.74884999999995</v>
      </c>
      <c r="AB16" s="177">
        <v>1889.4418000000001</v>
      </c>
    </row>
    <row r="17" spans="1:28" s="165" customFormat="1" ht="15" customHeight="1" x14ac:dyDescent="0.2">
      <c r="A17" s="182">
        <v>1919</v>
      </c>
      <c r="B17" s="184">
        <v>7971</v>
      </c>
      <c r="C17" s="177">
        <v>151.68177</v>
      </c>
      <c r="D17" s="177">
        <v>353.34940999999998</v>
      </c>
      <c r="E17" s="177"/>
      <c r="F17" s="178">
        <v>4597</v>
      </c>
      <c r="G17" s="177">
        <v>87.477243000000001</v>
      </c>
      <c r="H17" s="177">
        <v>175.94075000000001</v>
      </c>
      <c r="I17" s="177"/>
      <c r="J17" s="184">
        <v>17701</v>
      </c>
      <c r="K17" s="177">
        <v>336.83591000000001</v>
      </c>
      <c r="L17" s="177">
        <v>459.76546000000002</v>
      </c>
      <c r="M17" s="177"/>
      <c r="N17" s="178">
        <v>6766</v>
      </c>
      <c r="O17" s="177">
        <v>128.75157999999999</v>
      </c>
      <c r="P17" s="177">
        <v>135.02698000000001</v>
      </c>
      <c r="R17" s="184">
        <v>3365</v>
      </c>
      <c r="S17" s="177">
        <v>64.033265999999998</v>
      </c>
      <c r="T17" s="177">
        <v>81.657257999999999</v>
      </c>
      <c r="U17" s="177"/>
      <c r="V17" s="178">
        <v>25530</v>
      </c>
      <c r="W17" s="177">
        <v>485.81553738182151</v>
      </c>
      <c r="X17" s="177">
        <v>987.16574199999991</v>
      </c>
      <c r="Y17" s="177"/>
      <c r="Z17" s="178">
        <v>65930</v>
      </c>
      <c r="AA17" s="177">
        <v>1254.5953</v>
      </c>
      <c r="AB17" s="177">
        <v>2192.9056</v>
      </c>
    </row>
    <row r="18" spans="1:28" s="165" customFormat="1" ht="15" customHeight="1" x14ac:dyDescent="0.2">
      <c r="A18" s="182">
        <v>1920</v>
      </c>
      <c r="B18" s="184">
        <v>10225</v>
      </c>
      <c r="C18" s="177">
        <v>190.93982</v>
      </c>
      <c r="D18" s="177">
        <v>463.27481</v>
      </c>
      <c r="E18" s="177"/>
      <c r="F18" s="178">
        <v>4707</v>
      </c>
      <c r="G18" s="177">
        <v>87.897673999999995</v>
      </c>
      <c r="H18" s="177">
        <v>177.60042999999999</v>
      </c>
      <c r="I18" s="177"/>
      <c r="J18" s="184">
        <v>5883</v>
      </c>
      <c r="K18" s="177">
        <v>109.85809</v>
      </c>
      <c r="L18" s="177">
        <v>220.91489000000001</v>
      </c>
      <c r="M18" s="177"/>
      <c r="N18" s="178">
        <v>6255</v>
      </c>
      <c r="O18" s="177">
        <v>116.80475</v>
      </c>
      <c r="P18" s="177">
        <v>126.81165</v>
      </c>
      <c r="R18" s="184">
        <v>3443</v>
      </c>
      <c r="S18" s="177">
        <v>64.293965</v>
      </c>
      <c r="T18" s="177">
        <v>87.117175000000003</v>
      </c>
      <c r="U18" s="177"/>
      <c r="V18" s="178">
        <v>25776</v>
      </c>
      <c r="W18" s="177">
        <v>481.33640318496953</v>
      </c>
      <c r="X18" s="177">
        <v>891.88854500000002</v>
      </c>
      <c r="Y18" s="177"/>
      <c r="Z18" s="178">
        <v>56289</v>
      </c>
      <c r="AA18" s="177">
        <v>1051.1306999999999</v>
      </c>
      <c r="AB18" s="177">
        <v>1967.6075000000001</v>
      </c>
    </row>
    <row r="19" spans="1:28" s="165" customFormat="1" ht="15" customHeight="1" x14ac:dyDescent="0.2">
      <c r="A19" s="182">
        <v>1921</v>
      </c>
      <c r="B19" s="184">
        <v>9950</v>
      </c>
      <c r="C19" s="177">
        <v>182.39812000000001</v>
      </c>
      <c r="D19" s="177">
        <v>428.99538000000001</v>
      </c>
      <c r="E19" s="177"/>
      <c r="F19" s="178">
        <v>4989</v>
      </c>
      <c r="G19" s="177">
        <v>91.455702000000002</v>
      </c>
      <c r="H19" s="177">
        <v>178.91766999999999</v>
      </c>
      <c r="I19" s="177"/>
      <c r="J19" s="184">
        <v>6309</v>
      </c>
      <c r="K19" s="177">
        <v>115.65324</v>
      </c>
      <c r="L19" s="177">
        <v>212.17725999999999</v>
      </c>
      <c r="M19" s="177"/>
      <c r="N19" s="178">
        <v>8037</v>
      </c>
      <c r="O19" s="177">
        <v>147.33001999999999</v>
      </c>
      <c r="P19" s="177">
        <v>151.66036</v>
      </c>
      <c r="R19" s="184">
        <v>3504</v>
      </c>
      <c r="S19" s="177">
        <v>64.233469999999997</v>
      </c>
      <c r="T19" s="177">
        <v>81.867026999999993</v>
      </c>
      <c r="U19" s="177"/>
      <c r="V19" s="178">
        <v>21287</v>
      </c>
      <c r="W19" s="177">
        <v>390.22199409726676</v>
      </c>
      <c r="X19" s="177">
        <v>743.46640300000013</v>
      </c>
      <c r="Y19" s="177"/>
      <c r="Z19" s="178">
        <v>54076</v>
      </c>
      <c r="AA19" s="177">
        <v>991.29255000000001</v>
      </c>
      <c r="AB19" s="177">
        <v>1797.0841</v>
      </c>
    </row>
    <row r="20" spans="1:28" s="165" customFormat="1" ht="15" customHeight="1" x14ac:dyDescent="0.2">
      <c r="A20" s="182">
        <v>1922</v>
      </c>
      <c r="B20" s="184">
        <v>10277</v>
      </c>
      <c r="C20" s="177">
        <v>184.50960000000001</v>
      </c>
      <c r="D20" s="177">
        <v>445.11032999999998</v>
      </c>
      <c r="E20" s="177"/>
      <c r="F20" s="178">
        <v>5261</v>
      </c>
      <c r="G20" s="177">
        <v>94.454119000000006</v>
      </c>
      <c r="H20" s="177">
        <v>184.65934999999999</v>
      </c>
      <c r="I20" s="177"/>
      <c r="J20" s="184">
        <v>5851</v>
      </c>
      <c r="K20" s="177">
        <v>105.04677</v>
      </c>
      <c r="L20" s="177">
        <v>207.5855</v>
      </c>
      <c r="M20" s="177"/>
      <c r="N20" s="178">
        <v>7699</v>
      </c>
      <c r="O20" s="177">
        <v>138.2251</v>
      </c>
      <c r="P20" s="177">
        <v>142.93413000000001</v>
      </c>
      <c r="R20" s="184">
        <v>3133</v>
      </c>
      <c r="S20" s="177">
        <v>56.248766000000003</v>
      </c>
      <c r="T20" s="177">
        <v>73.620552000000004</v>
      </c>
      <c r="U20" s="177"/>
      <c r="V20" s="178">
        <v>19090</v>
      </c>
      <c r="W20" s="177">
        <v>342.73505808003733</v>
      </c>
      <c r="X20" s="177">
        <v>715.83553800000004</v>
      </c>
      <c r="Y20" s="177"/>
      <c r="Z20" s="178">
        <v>51311</v>
      </c>
      <c r="AA20" s="177">
        <v>921.21941000000004</v>
      </c>
      <c r="AB20" s="177">
        <v>1769.7454</v>
      </c>
    </row>
    <row r="21" spans="1:28" s="165" customFormat="1" ht="15" customHeight="1" x14ac:dyDescent="0.2">
      <c r="A21" s="182">
        <v>1923</v>
      </c>
      <c r="B21" s="184">
        <v>10409</v>
      </c>
      <c r="C21" s="177">
        <v>182.82572999999999</v>
      </c>
      <c r="D21" s="177">
        <v>426.67684000000003</v>
      </c>
      <c r="E21" s="177"/>
      <c r="F21" s="178">
        <v>5296</v>
      </c>
      <c r="G21" s="177">
        <v>93.019987999999998</v>
      </c>
      <c r="H21" s="177">
        <v>182.17482000000001</v>
      </c>
      <c r="I21" s="177"/>
      <c r="J21" s="184">
        <v>8127</v>
      </c>
      <c r="K21" s="177">
        <v>142.74422999999999</v>
      </c>
      <c r="L21" s="177">
        <v>292.16354999999999</v>
      </c>
      <c r="M21" s="177"/>
      <c r="N21" s="178">
        <v>8595</v>
      </c>
      <c r="O21" s="177">
        <v>150.96427</v>
      </c>
      <c r="P21" s="177">
        <v>153.70391000000001</v>
      </c>
      <c r="R21" s="184">
        <v>3290</v>
      </c>
      <c r="S21" s="177">
        <v>57.786208999999999</v>
      </c>
      <c r="T21" s="177">
        <v>75.062310999999994</v>
      </c>
      <c r="U21" s="177"/>
      <c r="V21" s="178">
        <v>20519</v>
      </c>
      <c r="W21" s="177">
        <v>360.39976112691886</v>
      </c>
      <c r="X21" s="177">
        <v>782.12886900000012</v>
      </c>
      <c r="Y21" s="177"/>
      <c r="Z21" s="178">
        <v>56236</v>
      </c>
      <c r="AA21" s="177">
        <v>987.74018999999998</v>
      </c>
      <c r="AB21" s="177">
        <v>1911.9103</v>
      </c>
    </row>
    <row r="22" spans="1:28" s="165" customFormat="1" ht="15" customHeight="1" x14ac:dyDescent="0.2">
      <c r="A22" s="182">
        <v>1924</v>
      </c>
      <c r="B22" s="184">
        <v>10632</v>
      </c>
      <c r="C22" s="177">
        <v>182.95705000000001</v>
      </c>
      <c r="D22" s="177">
        <v>433.85575</v>
      </c>
      <c r="E22" s="177"/>
      <c r="F22" s="178">
        <v>5648</v>
      </c>
      <c r="G22" s="177">
        <v>97.191630000000004</v>
      </c>
      <c r="H22" s="177">
        <v>189.77871999999999</v>
      </c>
      <c r="I22" s="177"/>
      <c r="J22" s="184">
        <v>6856</v>
      </c>
      <c r="K22" s="177">
        <v>117.97906999999999</v>
      </c>
      <c r="L22" s="177">
        <v>243.76012</v>
      </c>
      <c r="M22" s="177"/>
      <c r="N22" s="178">
        <v>8076</v>
      </c>
      <c r="O22" s="177">
        <v>138.97301999999999</v>
      </c>
      <c r="P22" s="177">
        <v>139.99764999999999</v>
      </c>
      <c r="R22" s="184">
        <v>3597</v>
      </c>
      <c r="S22" s="177">
        <v>61.897714999999998</v>
      </c>
      <c r="T22" s="177">
        <v>78.925264999999996</v>
      </c>
      <c r="U22" s="177"/>
      <c r="V22" s="178">
        <v>20171</v>
      </c>
      <c r="W22" s="177">
        <v>347.10558920704847</v>
      </c>
      <c r="X22" s="177">
        <v>744.25609499999996</v>
      </c>
      <c r="Y22" s="177"/>
      <c r="Z22" s="178">
        <v>54980</v>
      </c>
      <c r="AA22" s="177">
        <v>946.10406999999998</v>
      </c>
      <c r="AB22" s="177">
        <v>1830.5735999999999</v>
      </c>
    </row>
    <row r="23" spans="1:28" s="165" customFormat="1" ht="15" customHeight="1" x14ac:dyDescent="0.2">
      <c r="A23" s="182">
        <v>1925</v>
      </c>
      <c r="B23" s="184">
        <v>11790</v>
      </c>
      <c r="C23" s="177">
        <v>198.51158000000001</v>
      </c>
      <c r="D23" s="177">
        <v>478.23511000000002</v>
      </c>
      <c r="E23" s="177"/>
      <c r="F23" s="178">
        <v>5764</v>
      </c>
      <c r="G23" s="177">
        <v>97.050107999999994</v>
      </c>
      <c r="H23" s="177">
        <v>188.4727</v>
      </c>
      <c r="I23" s="177"/>
      <c r="J23" s="184">
        <v>6145</v>
      </c>
      <c r="K23" s="177">
        <v>103.46511</v>
      </c>
      <c r="L23" s="177">
        <v>209.58520999999999</v>
      </c>
      <c r="M23" s="177"/>
      <c r="N23" s="178">
        <v>7462</v>
      </c>
      <c r="O23" s="177">
        <v>125.63982</v>
      </c>
      <c r="P23" s="177">
        <v>129.88641999999999</v>
      </c>
      <c r="R23" s="184">
        <v>3932</v>
      </c>
      <c r="S23" s="177">
        <v>66.204203000000007</v>
      </c>
      <c r="T23" s="177">
        <v>86.621939999999995</v>
      </c>
      <c r="U23" s="177"/>
      <c r="V23" s="178">
        <v>19475</v>
      </c>
      <c r="W23" s="177">
        <v>327.90611530172413</v>
      </c>
      <c r="X23" s="177">
        <v>687.51362000000017</v>
      </c>
      <c r="Y23" s="177"/>
      <c r="Z23" s="178">
        <v>54568</v>
      </c>
      <c r="AA23" s="177">
        <v>918.77693999999997</v>
      </c>
      <c r="AB23" s="177">
        <v>1780.3150000000001</v>
      </c>
    </row>
    <row r="24" spans="1:28" s="165" customFormat="1" ht="15" customHeight="1" x14ac:dyDescent="0.2">
      <c r="A24" s="182">
        <v>1926</v>
      </c>
      <c r="B24" s="184">
        <v>12230</v>
      </c>
      <c r="C24" s="177">
        <v>201.93848</v>
      </c>
      <c r="D24" s="177">
        <v>489.63137999999998</v>
      </c>
      <c r="E24" s="177"/>
      <c r="F24" s="178">
        <v>5994</v>
      </c>
      <c r="G24" s="177">
        <v>98.971318999999994</v>
      </c>
      <c r="H24" s="177">
        <v>189.93995000000001</v>
      </c>
      <c r="I24" s="177"/>
      <c r="J24" s="184">
        <v>6859</v>
      </c>
      <c r="K24" s="177">
        <v>113.25397</v>
      </c>
      <c r="L24" s="177">
        <v>240.24826999999999</v>
      </c>
      <c r="M24" s="177"/>
      <c r="N24" s="178">
        <v>7930</v>
      </c>
      <c r="O24" s="177">
        <v>130.93803</v>
      </c>
      <c r="P24" s="177">
        <v>142.88513</v>
      </c>
      <c r="R24" s="184">
        <v>4217</v>
      </c>
      <c r="S24" s="177">
        <v>69.629971999999995</v>
      </c>
      <c r="T24" s="177">
        <v>92.872129000000001</v>
      </c>
      <c r="U24" s="177"/>
      <c r="V24" s="178">
        <v>19722</v>
      </c>
      <c r="W24" s="177">
        <v>325.64437032511597</v>
      </c>
      <c r="X24" s="177">
        <v>683.1055409999999</v>
      </c>
      <c r="Y24" s="177"/>
      <c r="Z24" s="178">
        <v>56952</v>
      </c>
      <c r="AA24" s="177">
        <v>940.37613999999996</v>
      </c>
      <c r="AB24" s="177">
        <v>1838.6823999999999</v>
      </c>
    </row>
    <row r="25" spans="1:28" s="165" customFormat="1" ht="15" customHeight="1" x14ac:dyDescent="0.2">
      <c r="A25" s="182">
        <v>1927</v>
      </c>
      <c r="B25" s="184">
        <v>13166</v>
      </c>
      <c r="C25" s="177">
        <v>212.95591999999999</v>
      </c>
      <c r="D25" s="177">
        <v>514.50370999999996</v>
      </c>
      <c r="E25" s="177"/>
      <c r="F25" s="178">
        <v>6082</v>
      </c>
      <c r="G25" s="177">
        <v>98.374443999999997</v>
      </c>
      <c r="H25" s="177">
        <v>186.66829999999999</v>
      </c>
      <c r="I25" s="177"/>
      <c r="J25" s="184">
        <v>7175</v>
      </c>
      <c r="K25" s="177">
        <v>116.05338</v>
      </c>
      <c r="L25" s="177">
        <v>231.97230999999999</v>
      </c>
      <c r="M25" s="177"/>
      <c r="N25" s="178">
        <v>7485</v>
      </c>
      <c r="O25" s="177">
        <v>121.06753</v>
      </c>
      <c r="P25" s="177">
        <v>126.3138</v>
      </c>
      <c r="R25" s="184">
        <v>4389</v>
      </c>
      <c r="S25" s="177">
        <v>70.990700000000004</v>
      </c>
      <c r="T25" s="177">
        <v>94.995901000000003</v>
      </c>
      <c r="U25" s="177"/>
      <c r="V25" s="178">
        <v>19985</v>
      </c>
      <c r="W25" s="177">
        <v>323.2511120097048</v>
      </c>
      <c r="X25" s="177">
        <v>673.39997900000003</v>
      </c>
      <c r="Y25" s="177"/>
      <c r="Z25" s="178">
        <v>58282</v>
      </c>
      <c r="AA25" s="177">
        <v>942.69308999999998</v>
      </c>
      <c r="AB25" s="177">
        <v>1827.854</v>
      </c>
    </row>
    <row r="26" spans="1:28" s="165" customFormat="1" ht="15" customHeight="1" x14ac:dyDescent="0.2">
      <c r="A26" s="182">
        <v>1928</v>
      </c>
      <c r="B26" s="184">
        <v>13748</v>
      </c>
      <c r="C26" s="177">
        <v>218.14604</v>
      </c>
      <c r="D26" s="177">
        <v>522.24186999999995</v>
      </c>
      <c r="E26" s="177"/>
      <c r="F26" s="178">
        <v>6510</v>
      </c>
      <c r="G26" s="177">
        <v>103.29725999999999</v>
      </c>
      <c r="H26" s="177">
        <v>191.74055000000001</v>
      </c>
      <c r="I26" s="177"/>
      <c r="J26" s="184">
        <v>7618</v>
      </c>
      <c r="K26" s="177">
        <v>120.87842000000001</v>
      </c>
      <c r="L26" s="177">
        <v>243.32651999999999</v>
      </c>
      <c r="M26" s="177"/>
      <c r="N26" s="178">
        <v>8000</v>
      </c>
      <c r="O26" s="177">
        <v>126.93980000000001</v>
      </c>
      <c r="P26" s="177">
        <v>132.32356999999999</v>
      </c>
      <c r="R26" s="184">
        <v>4266</v>
      </c>
      <c r="S26" s="177">
        <v>67.690647999999996</v>
      </c>
      <c r="T26" s="177">
        <v>89.059940999999995</v>
      </c>
      <c r="U26" s="177"/>
      <c r="V26" s="178">
        <v>19236</v>
      </c>
      <c r="W26" s="177">
        <v>305.22674621560725</v>
      </c>
      <c r="X26" s="177">
        <v>624.066149</v>
      </c>
      <c r="Y26" s="177"/>
      <c r="Z26" s="178">
        <v>59378</v>
      </c>
      <c r="AA26" s="177">
        <v>942.17891999999995</v>
      </c>
      <c r="AB26" s="177">
        <v>1802.7585999999999</v>
      </c>
    </row>
    <row r="27" spans="1:28" s="165" customFormat="1" ht="15" customHeight="1" x14ac:dyDescent="0.2">
      <c r="A27" s="182">
        <v>1929</v>
      </c>
      <c r="B27" s="184">
        <v>14620</v>
      </c>
      <c r="C27" s="177">
        <v>228.65544</v>
      </c>
      <c r="D27" s="177">
        <v>538.76314000000002</v>
      </c>
      <c r="E27" s="177"/>
      <c r="F27" s="178">
        <v>6783</v>
      </c>
      <c r="G27" s="177">
        <v>106.08548999999999</v>
      </c>
      <c r="H27" s="177">
        <v>195.93582000000001</v>
      </c>
      <c r="I27" s="177"/>
      <c r="J27" s="184">
        <v>8262</v>
      </c>
      <c r="K27" s="177">
        <v>129.21691000000001</v>
      </c>
      <c r="L27" s="177">
        <v>267.72644000000003</v>
      </c>
      <c r="M27" s="177"/>
      <c r="N27" s="178">
        <v>7090</v>
      </c>
      <c r="O27" s="177">
        <v>110.88694</v>
      </c>
      <c r="P27" s="177">
        <v>117.74654</v>
      </c>
      <c r="R27" s="184">
        <v>4444</v>
      </c>
      <c r="S27" s="177">
        <v>69.503746000000007</v>
      </c>
      <c r="T27" s="177">
        <v>89.242330999999993</v>
      </c>
      <c r="U27" s="177"/>
      <c r="V27" s="178">
        <v>19658</v>
      </c>
      <c r="W27" s="177">
        <v>307.44928760224587</v>
      </c>
      <c r="X27" s="177">
        <v>638.09952899999985</v>
      </c>
      <c r="Y27" s="177"/>
      <c r="Z27" s="178">
        <v>60857</v>
      </c>
      <c r="AA27" s="177">
        <v>951.79781000000003</v>
      </c>
      <c r="AB27" s="177">
        <v>1847.5137999999999</v>
      </c>
    </row>
    <row r="28" spans="1:28" s="165" customFormat="1" ht="15" customHeight="1" x14ac:dyDescent="0.2">
      <c r="A28" s="182">
        <v>1930</v>
      </c>
      <c r="B28" s="184">
        <v>13911</v>
      </c>
      <c r="C28" s="177">
        <v>215.25058999999999</v>
      </c>
      <c r="D28" s="177">
        <v>485.88310999999999</v>
      </c>
      <c r="E28" s="177"/>
      <c r="F28" s="178">
        <v>6665</v>
      </c>
      <c r="G28" s="177">
        <v>103.13027</v>
      </c>
      <c r="H28" s="177">
        <v>186.54671999999999</v>
      </c>
      <c r="I28" s="177"/>
      <c r="J28" s="184">
        <v>5510</v>
      </c>
      <c r="K28" s="177">
        <v>85.258482999999998</v>
      </c>
      <c r="L28" s="177">
        <v>167.78618</v>
      </c>
      <c r="M28" s="177"/>
      <c r="N28" s="178">
        <v>6794</v>
      </c>
      <c r="O28" s="177">
        <v>105.12634</v>
      </c>
      <c r="P28" s="177">
        <v>109.7867</v>
      </c>
      <c r="R28" s="184">
        <v>4395</v>
      </c>
      <c r="S28" s="177">
        <v>68.005632000000006</v>
      </c>
      <c r="T28" s="177">
        <v>86.346618000000007</v>
      </c>
      <c r="U28" s="177"/>
      <c r="V28" s="178">
        <v>18056</v>
      </c>
      <c r="W28" s="177">
        <v>279.38787194206753</v>
      </c>
      <c r="X28" s="177">
        <v>555.89357199999995</v>
      </c>
      <c r="Y28" s="177"/>
      <c r="Z28" s="178">
        <v>55331</v>
      </c>
      <c r="AA28" s="177">
        <v>856.15918999999997</v>
      </c>
      <c r="AB28" s="177">
        <v>1592.2429</v>
      </c>
    </row>
    <row r="29" spans="1:28" s="165" customFormat="1" ht="15" customHeight="1" x14ac:dyDescent="0.2">
      <c r="A29" s="182">
        <v>1931</v>
      </c>
      <c r="B29" s="184">
        <v>15706</v>
      </c>
      <c r="C29" s="177">
        <v>240.64966000000001</v>
      </c>
      <c r="D29" s="177">
        <v>534.78375000000005</v>
      </c>
      <c r="E29" s="177"/>
      <c r="F29" s="178">
        <v>7139</v>
      </c>
      <c r="G29" s="177">
        <v>109.38482</v>
      </c>
      <c r="H29" s="177">
        <v>192.82245</v>
      </c>
      <c r="I29" s="177"/>
      <c r="J29" s="184">
        <v>6617</v>
      </c>
      <c r="K29" s="177">
        <v>101.38665</v>
      </c>
      <c r="L29" s="177">
        <v>200.16656</v>
      </c>
      <c r="M29" s="177"/>
      <c r="N29" s="178">
        <v>5968</v>
      </c>
      <c r="O29" s="177">
        <v>91.442580000000007</v>
      </c>
      <c r="P29" s="177">
        <v>98.018092999999993</v>
      </c>
      <c r="R29" s="184">
        <v>3899</v>
      </c>
      <c r="S29" s="177">
        <v>59.741056</v>
      </c>
      <c r="T29" s="177">
        <v>80.723775000000003</v>
      </c>
      <c r="U29" s="177"/>
      <c r="V29" s="178">
        <v>17231</v>
      </c>
      <c r="W29" s="177">
        <v>264.0159350340918</v>
      </c>
      <c r="X29" s="177">
        <v>509.21177200000011</v>
      </c>
      <c r="Y29" s="177"/>
      <c r="Z29" s="178">
        <v>56560</v>
      </c>
      <c r="AA29" s="177">
        <v>866.62070000000006</v>
      </c>
      <c r="AB29" s="177">
        <v>1615.7264</v>
      </c>
    </row>
    <row r="30" spans="1:28" s="165" customFormat="1" ht="15" customHeight="1" x14ac:dyDescent="0.2">
      <c r="A30" s="182">
        <v>1932</v>
      </c>
      <c r="B30" s="184">
        <v>16661</v>
      </c>
      <c r="C30" s="177">
        <v>253.32989000000001</v>
      </c>
      <c r="D30" s="177">
        <v>553.66674999999998</v>
      </c>
      <c r="E30" s="177"/>
      <c r="F30" s="178">
        <v>7425</v>
      </c>
      <c r="G30" s="177">
        <v>112.89685</v>
      </c>
      <c r="H30" s="177">
        <v>193.34875</v>
      </c>
      <c r="I30" s="177"/>
      <c r="J30" s="184">
        <v>5626</v>
      </c>
      <c r="K30" s="177">
        <v>85.543120999999999</v>
      </c>
      <c r="L30" s="177">
        <v>160.92499000000001</v>
      </c>
      <c r="M30" s="177"/>
      <c r="N30" s="178">
        <v>5663</v>
      </c>
      <c r="O30" s="177">
        <v>86.105705</v>
      </c>
      <c r="P30" s="177">
        <v>92.348910000000004</v>
      </c>
      <c r="R30" s="184">
        <v>3884</v>
      </c>
      <c r="S30" s="177">
        <v>59.056075999999997</v>
      </c>
      <c r="T30" s="177">
        <v>75.208206000000004</v>
      </c>
      <c r="U30" s="177"/>
      <c r="V30" s="178">
        <v>17498</v>
      </c>
      <c r="W30" s="177">
        <v>266.0564408222844</v>
      </c>
      <c r="X30" s="177">
        <v>503.07889399999999</v>
      </c>
      <c r="Y30" s="177"/>
      <c r="Z30" s="178">
        <v>56757</v>
      </c>
      <c r="AA30" s="177">
        <v>862.98807999999997</v>
      </c>
      <c r="AB30" s="177">
        <v>1578.5764999999999</v>
      </c>
    </row>
    <row r="31" spans="1:28" s="165" customFormat="1" ht="15" customHeight="1" x14ac:dyDescent="0.2">
      <c r="A31" s="182">
        <v>1933</v>
      </c>
      <c r="B31" s="184">
        <v>17909</v>
      </c>
      <c r="C31" s="177">
        <v>270.12880999999999</v>
      </c>
      <c r="D31" s="177">
        <v>572.88607000000002</v>
      </c>
      <c r="E31" s="177"/>
      <c r="F31" s="178">
        <v>7517</v>
      </c>
      <c r="G31" s="177">
        <v>113.38200000000001</v>
      </c>
      <c r="H31" s="177">
        <v>189.71235999999999</v>
      </c>
      <c r="I31" s="177"/>
      <c r="J31" s="184">
        <v>6727</v>
      </c>
      <c r="K31" s="177">
        <v>101.46611</v>
      </c>
      <c r="L31" s="177">
        <v>191.77440999999999</v>
      </c>
      <c r="M31" s="177"/>
      <c r="N31" s="178">
        <v>5301</v>
      </c>
      <c r="O31" s="177">
        <v>79.957162999999994</v>
      </c>
      <c r="P31" s="177">
        <v>87.858288000000002</v>
      </c>
      <c r="R31" s="184">
        <v>3870</v>
      </c>
      <c r="S31" s="177">
        <v>58.372802</v>
      </c>
      <c r="T31" s="177">
        <v>74.244602999999998</v>
      </c>
      <c r="U31" s="177"/>
      <c r="V31" s="178">
        <v>17793</v>
      </c>
      <c r="W31" s="177">
        <v>268.37913662553922</v>
      </c>
      <c r="X31" s="177">
        <v>494.77086899999995</v>
      </c>
      <c r="Y31" s="177"/>
      <c r="Z31" s="178">
        <v>59117</v>
      </c>
      <c r="AA31" s="177">
        <v>891.68601999999998</v>
      </c>
      <c r="AB31" s="177">
        <v>1611.2465999999999</v>
      </c>
    </row>
    <row r="32" spans="1:28" s="165" customFormat="1" ht="15" customHeight="1" x14ac:dyDescent="0.2">
      <c r="A32" s="182">
        <v>1934</v>
      </c>
      <c r="B32" s="184">
        <v>19111</v>
      </c>
      <c r="C32" s="177">
        <v>286.20420999999999</v>
      </c>
      <c r="D32" s="177">
        <v>595.65695000000005</v>
      </c>
      <c r="E32" s="177"/>
      <c r="F32" s="178">
        <v>7678</v>
      </c>
      <c r="G32" s="177">
        <v>114.98487</v>
      </c>
      <c r="H32" s="177">
        <v>191.14785000000001</v>
      </c>
      <c r="I32" s="177"/>
      <c r="J32" s="184">
        <v>7310</v>
      </c>
      <c r="K32" s="177">
        <v>109.47375</v>
      </c>
      <c r="L32" s="177">
        <v>198.15002000000001</v>
      </c>
      <c r="M32" s="177"/>
      <c r="N32" s="178">
        <v>5646</v>
      </c>
      <c r="O32" s="177">
        <v>84.553867999999994</v>
      </c>
      <c r="P32" s="177">
        <v>91.474985000000004</v>
      </c>
      <c r="R32" s="184">
        <v>4204</v>
      </c>
      <c r="S32" s="177">
        <v>62.958637000000003</v>
      </c>
      <c r="T32" s="177">
        <v>80.397442999999996</v>
      </c>
      <c r="U32" s="177"/>
      <c r="V32" s="178">
        <v>18271</v>
      </c>
      <c r="W32" s="177">
        <v>273.6244646119747</v>
      </c>
      <c r="X32" s="177">
        <v>495.95495199999982</v>
      </c>
      <c r="Y32" s="177"/>
      <c r="Z32" s="178">
        <v>62220</v>
      </c>
      <c r="AA32" s="177">
        <v>931.7998</v>
      </c>
      <c r="AB32" s="177">
        <v>1652.7822000000001</v>
      </c>
    </row>
    <row r="33" spans="1:28" s="165" customFormat="1" ht="15" customHeight="1" x14ac:dyDescent="0.2">
      <c r="A33" s="182">
        <v>1935</v>
      </c>
      <c r="B33" s="184">
        <v>20332</v>
      </c>
      <c r="C33" s="177">
        <v>302.28062999999997</v>
      </c>
      <c r="D33" s="177">
        <v>612.65497000000005</v>
      </c>
      <c r="E33" s="177"/>
      <c r="F33" s="178">
        <v>7965</v>
      </c>
      <c r="G33" s="177">
        <v>118.41753</v>
      </c>
      <c r="H33" s="177">
        <v>193.64938000000001</v>
      </c>
      <c r="I33" s="177"/>
      <c r="J33" s="184">
        <v>7680</v>
      </c>
      <c r="K33" s="177">
        <v>114.18037</v>
      </c>
      <c r="L33" s="177">
        <v>208.44723999999999</v>
      </c>
      <c r="M33" s="177"/>
      <c r="N33" s="178">
        <v>5159</v>
      </c>
      <c r="O33" s="177">
        <v>76.700068000000002</v>
      </c>
      <c r="P33" s="177">
        <v>84.488159999999993</v>
      </c>
      <c r="R33" s="184">
        <v>4294</v>
      </c>
      <c r="S33" s="177">
        <v>63.839910000000003</v>
      </c>
      <c r="T33" s="177">
        <v>80.888958000000002</v>
      </c>
      <c r="U33" s="177"/>
      <c r="V33" s="178">
        <v>18169</v>
      </c>
      <c r="W33" s="177">
        <v>270.12280336594216</v>
      </c>
      <c r="X33" s="177">
        <v>482.03319199999987</v>
      </c>
      <c r="Y33" s="177"/>
      <c r="Z33" s="178">
        <v>63599</v>
      </c>
      <c r="AA33" s="177">
        <v>945.54132000000004</v>
      </c>
      <c r="AB33" s="177">
        <v>1662.1619000000001</v>
      </c>
    </row>
    <row r="34" spans="1:28" s="165" customFormat="1" ht="15" customHeight="1" x14ac:dyDescent="0.2">
      <c r="A34" s="182">
        <v>1936</v>
      </c>
      <c r="B34" s="184">
        <v>20608</v>
      </c>
      <c r="C34" s="177">
        <v>304.02454999999998</v>
      </c>
      <c r="D34" s="177">
        <v>599.75259000000005</v>
      </c>
      <c r="E34" s="177"/>
      <c r="F34" s="178">
        <v>8274</v>
      </c>
      <c r="G34" s="177">
        <v>122.0642</v>
      </c>
      <c r="H34" s="177">
        <v>195.04798</v>
      </c>
      <c r="I34" s="177"/>
      <c r="J34" s="184">
        <v>6779</v>
      </c>
      <c r="K34" s="177">
        <v>100.00885</v>
      </c>
      <c r="L34" s="177">
        <v>170.40522000000001</v>
      </c>
      <c r="M34" s="177"/>
      <c r="N34" s="178">
        <v>5270</v>
      </c>
      <c r="O34" s="177">
        <v>77.746960999999999</v>
      </c>
      <c r="P34" s="177">
        <v>85.289278999999993</v>
      </c>
      <c r="R34" s="184">
        <v>4490</v>
      </c>
      <c r="S34" s="177">
        <v>66.239821000000006</v>
      </c>
      <c r="T34" s="177">
        <v>83.209620999999999</v>
      </c>
      <c r="U34" s="177"/>
      <c r="V34" s="178">
        <v>18511</v>
      </c>
      <c r="W34" s="177">
        <v>273.088044376254</v>
      </c>
      <c r="X34" s="177">
        <v>476.27791000000002</v>
      </c>
      <c r="Y34" s="177"/>
      <c r="Z34" s="178">
        <v>63932</v>
      </c>
      <c r="AA34" s="177">
        <v>943.17242999999996</v>
      </c>
      <c r="AB34" s="177">
        <v>1609.9826</v>
      </c>
    </row>
    <row r="35" spans="1:28" s="165" customFormat="1" ht="15" customHeight="1" x14ac:dyDescent="0.2">
      <c r="A35" s="182">
        <v>1937</v>
      </c>
      <c r="B35" s="184">
        <v>21771</v>
      </c>
      <c r="C35" s="177">
        <v>318.49435</v>
      </c>
      <c r="D35" s="177">
        <v>627.88585</v>
      </c>
      <c r="E35" s="177"/>
      <c r="F35" s="178">
        <v>8414</v>
      </c>
      <c r="G35" s="177">
        <v>123.09088</v>
      </c>
      <c r="H35" s="177">
        <v>194.67074</v>
      </c>
      <c r="I35" s="177"/>
      <c r="J35" s="184">
        <v>6360</v>
      </c>
      <c r="K35" s="177">
        <v>93.042308000000006</v>
      </c>
      <c r="L35" s="177">
        <v>159.55895000000001</v>
      </c>
      <c r="M35" s="177"/>
      <c r="N35" s="178">
        <v>4924</v>
      </c>
      <c r="O35" s="177">
        <v>72.034642000000005</v>
      </c>
      <c r="P35" s="177">
        <v>79.312627000000006</v>
      </c>
      <c r="R35" s="184">
        <v>4771</v>
      </c>
      <c r="S35" s="177">
        <v>69.796360000000007</v>
      </c>
      <c r="T35" s="177">
        <v>88.228977</v>
      </c>
      <c r="U35" s="177"/>
      <c r="V35" s="178">
        <v>18256</v>
      </c>
      <c r="W35" s="177">
        <v>267.0723857452162</v>
      </c>
      <c r="X35" s="177">
        <v>468.78315599999996</v>
      </c>
      <c r="Y35" s="177"/>
      <c r="Z35" s="178">
        <v>64496</v>
      </c>
      <c r="AA35" s="177">
        <v>943.53093000000001</v>
      </c>
      <c r="AB35" s="177">
        <v>1618.4403</v>
      </c>
    </row>
    <row r="36" spans="1:28" s="165" customFormat="1" ht="15" customHeight="1" x14ac:dyDescent="0.2">
      <c r="A36" s="182">
        <v>1938</v>
      </c>
      <c r="B36" s="184">
        <v>22943</v>
      </c>
      <c r="C36" s="177">
        <v>332.57472999999999</v>
      </c>
      <c r="D36" s="177">
        <v>644.82353999999998</v>
      </c>
      <c r="E36" s="177"/>
      <c r="F36" s="178">
        <v>8621</v>
      </c>
      <c r="G36" s="177">
        <v>124.96738000000001</v>
      </c>
      <c r="H36" s="177">
        <v>195.01123999999999</v>
      </c>
      <c r="I36" s="177"/>
      <c r="J36" s="184">
        <v>6799</v>
      </c>
      <c r="K36" s="177">
        <v>98.556229000000002</v>
      </c>
      <c r="L36" s="177">
        <v>170.5959</v>
      </c>
      <c r="M36" s="177"/>
      <c r="N36" s="178">
        <v>4742</v>
      </c>
      <c r="O36" s="177">
        <v>68.738585</v>
      </c>
      <c r="P36" s="177">
        <v>74.961117000000002</v>
      </c>
      <c r="R36" s="184">
        <v>4708</v>
      </c>
      <c r="S36" s="177">
        <v>68.245731000000006</v>
      </c>
      <c r="T36" s="177">
        <v>84.494934000000001</v>
      </c>
      <c r="U36" s="177"/>
      <c r="V36" s="178">
        <v>18638</v>
      </c>
      <c r="W36" s="177">
        <v>270.17075928449248</v>
      </c>
      <c r="X36" s="177">
        <v>468.53976899999998</v>
      </c>
      <c r="Y36" s="177"/>
      <c r="Z36" s="178">
        <v>66451</v>
      </c>
      <c r="AA36" s="177">
        <v>963.25341000000003</v>
      </c>
      <c r="AB36" s="177">
        <v>1638.4265</v>
      </c>
    </row>
    <row r="37" spans="1:28" s="165" customFormat="1" ht="15" customHeight="1" x14ac:dyDescent="0.2">
      <c r="A37" s="182">
        <v>1939</v>
      </c>
      <c r="B37" s="184">
        <v>24735</v>
      </c>
      <c r="C37" s="177">
        <v>354.99009999999998</v>
      </c>
      <c r="D37" s="177">
        <v>695.43606</v>
      </c>
      <c r="E37" s="177"/>
      <c r="F37" s="178">
        <v>8802</v>
      </c>
      <c r="G37" s="177">
        <v>126.32395</v>
      </c>
      <c r="H37" s="177">
        <v>196.54763</v>
      </c>
      <c r="I37" s="177"/>
      <c r="J37" s="184">
        <v>6896</v>
      </c>
      <c r="K37" s="177">
        <v>98.969545999999994</v>
      </c>
      <c r="L37" s="177">
        <v>182.90682000000001</v>
      </c>
      <c r="M37" s="177"/>
      <c r="N37" s="178">
        <v>4998</v>
      </c>
      <c r="O37" s="177">
        <v>71.729957999999996</v>
      </c>
      <c r="P37" s="177">
        <v>78.703579000000005</v>
      </c>
      <c r="R37" s="184">
        <v>5330</v>
      </c>
      <c r="S37" s="177">
        <v>76.494732999999997</v>
      </c>
      <c r="T37" s="177">
        <v>101.61874</v>
      </c>
      <c r="U37" s="177"/>
      <c r="V37" s="178">
        <v>18386</v>
      </c>
      <c r="W37" s="177">
        <v>263.8709492235713</v>
      </c>
      <c r="X37" s="177">
        <v>447.53707099999997</v>
      </c>
      <c r="Y37" s="177"/>
      <c r="Z37" s="178">
        <v>69147</v>
      </c>
      <c r="AA37" s="177">
        <v>992.37923000000001</v>
      </c>
      <c r="AB37" s="177">
        <v>1702.7499</v>
      </c>
    </row>
    <row r="38" spans="1:28" s="165" customFormat="1" ht="15" customHeight="1" x14ac:dyDescent="0.2">
      <c r="A38" s="182">
        <v>1940</v>
      </c>
      <c r="B38" s="184">
        <v>25076</v>
      </c>
      <c r="C38" s="177">
        <v>356.21848</v>
      </c>
      <c r="D38" s="177">
        <v>670.92795999999998</v>
      </c>
      <c r="E38" s="177"/>
      <c r="F38" s="178">
        <v>8979</v>
      </c>
      <c r="G38" s="177">
        <v>127.55167</v>
      </c>
      <c r="H38" s="177">
        <v>193.36491000000001</v>
      </c>
      <c r="I38" s="177"/>
      <c r="J38" s="184">
        <v>6177</v>
      </c>
      <c r="K38" s="177">
        <v>87.747709</v>
      </c>
      <c r="L38" s="177">
        <v>151.23525000000001</v>
      </c>
      <c r="M38" s="177"/>
      <c r="N38" s="178">
        <v>4908</v>
      </c>
      <c r="O38" s="177">
        <v>69.720860999999999</v>
      </c>
      <c r="P38" s="177">
        <v>76.244971000000007</v>
      </c>
      <c r="R38" s="184">
        <v>4818</v>
      </c>
      <c r="S38" s="177">
        <v>68.442361000000005</v>
      </c>
      <c r="T38" s="177">
        <v>85.227868999999998</v>
      </c>
      <c r="U38" s="177"/>
      <c r="V38" s="178">
        <v>18426</v>
      </c>
      <c r="W38" s="177">
        <v>261.75154485403795</v>
      </c>
      <c r="X38" s="177">
        <v>429.49893999999995</v>
      </c>
      <c r="Y38" s="177"/>
      <c r="Z38" s="178">
        <v>68384</v>
      </c>
      <c r="AA38" s="177">
        <v>971.43263000000002</v>
      </c>
      <c r="AB38" s="177">
        <v>1606.4999</v>
      </c>
    </row>
    <row r="39" spans="1:28" s="165" customFormat="1" ht="15" customHeight="1" x14ac:dyDescent="0.2">
      <c r="A39" s="182">
        <v>1941</v>
      </c>
      <c r="B39" s="184">
        <v>26940</v>
      </c>
      <c r="C39" s="177">
        <v>378.90827999999999</v>
      </c>
      <c r="D39" s="177">
        <v>699.90072999999995</v>
      </c>
      <c r="E39" s="177"/>
      <c r="F39" s="178">
        <v>9197</v>
      </c>
      <c r="G39" s="177">
        <v>129.35484</v>
      </c>
      <c r="H39" s="177">
        <v>196.46991</v>
      </c>
      <c r="I39" s="177"/>
      <c r="J39" s="184">
        <v>6424</v>
      </c>
      <c r="K39" s="177">
        <v>90.352887999999993</v>
      </c>
      <c r="L39" s="177">
        <v>158.31018</v>
      </c>
      <c r="M39" s="177"/>
      <c r="N39" s="178">
        <v>5112</v>
      </c>
      <c r="O39" s="177">
        <v>71.899744999999996</v>
      </c>
      <c r="P39" s="177">
        <v>78.171542000000002</v>
      </c>
      <c r="R39" s="184">
        <v>4441</v>
      </c>
      <c r="S39" s="177">
        <v>62.462201</v>
      </c>
      <c r="T39" s="177">
        <v>78.777224000000004</v>
      </c>
      <c r="U39" s="177"/>
      <c r="V39" s="178">
        <v>19062</v>
      </c>
      <c r="W39" s="177">
        <v>268.10503663905257</v>
      </c>
      <c r="X39" s="177">
        <v>431.53041400000006</v>
      </c>
      <c r="Y39" s="177"/>
      <c r="Z39" s="178">
        <v>71176</v>
      </c>
      <c r="AA39" s="177">
        <v>1001.083</v>
      </c>
      <c r="AB39" s="177">
        <v>1643.16</v>
      </c>
    </row>
    <row r="40" spans="1:28" s="165" customFormat="1" ht="15" customHeight="1" x14ac:dyDescent="0.2">
      <c r="A40" s="182">
        <v>1942</v>
      </c>
      <c r="B40" s="184">
        <v>29588</v>
      </c>
      <c r="C40" s="177">
        <v>412.04896000000002</v>
      </c>
      <c r="D40" s="177">
        <v>750.87458000000004</v>
      </c>
      <c r="E40" s="177"/>
      <c r="F40" s="178">
        <v>9183</v>
      </c>
      <c r="G40" s="177">
        <v>127.88446999999999</v>
      </c>
      <c r="H40" s="177">
        <v>192.22949</v>
      </c>
      <c r="I40" s="177"/>
      <c r="J40" s="184">
        <v>6964</v>
      </c>
      <c r="K40" s="177">
        <v>96.982187999999994</v>
      </c>
      <c r="L40" s="177">
        <v>162.20174</v>
      </c>
      <c r="M40" s="177"/>
      <c r="N40" s="178">
        <v>5576</v>
      </c>
      <c r="O40" s="177">
        <v>77.652597</v>
      </c>
      <c r="P40" s="177">
        <v>84.735001999999994</v>
      </c>
      <c r="R40" s="184">
        <v>4328</v>
      </c>
      <c r="S40" s="177">
        <v>60.272675</v>
      </c>
      <c r="T40" s="177">
        <v>78.490232000000006</v>
      </c>
      <c r="U40" s="177"/>
      <c r="V40" s="178">
        <v>19552</v>
      </c>
      <c r="W40" s="177">
        <v>272.28543178241677</v>
      </c>
      <c r="X40" s="177">
        <v>435.22035600000004</v>
      </c>
      <c r="Y40" s="177"/>
      <c r="Z40" s="178">
        <v>75191</v>
      </c>
      <c r="AA40" s="177">
        <v>1047.1262999999999</v>
      </c>
      <c r="AB40" s="177">
        <v>1703.7514000000001</v>
      </c>
    </row>
    <row r="41" spans="1:28" s="165" customFormat="1" ht="15" customHeight="1" x14ac:dyDescent="0.2">
      <c r="A41" s="182">
        <v>1943</v>
      </c>
      <c r="B41" s="184">
        <v>29785</v>
      </c>
      <c r="C41" s="177">
        <v>411.68502999999998</v>
      </c>
      <c r="D41" s="177">
        <v>743.36283000000003</v>
      </c>
      <c r="E41" s="177"/>
      <c r="F41" s="178">
        <v>9645</v>
      </c>
      <c r="G41" s="177">
        <v>133.31214</v>
      </c>
      <c r="H41" s="177">
        <v>196.65414999999999</v>
      </c>
      <c r="I41" s="177"/>
      <c r="J41" s="184">
        <v>6473</v>
      </c>
      <c r="K41" s="177">
        <v>89.469100999999995</v>
      </c>
      <c r="L41" s="177">
        <v>149.69824</v>
      </c>
      <c r="M41" s="177"/>
      <c r="N41" s="178">
        <v>5138</v>
      </c>
      <c r="O41" s="177">
        <v>71.016876999999994</v>
      </c>
      <c r="P41" s="177">
        <v>77.177509000000001</v>
      </c>
      <c r="R41" s="184">
        <v>3890</v>
      </c>
      <c r="S41" s="177">
        <v>53.767156</v>
      </c>
      <c r="T41" s="177">
        <v>71.154174999999995</v>
      </c>
      <c r="U41" s="177"/>
      <c r="V41" s="178">
        <v>19555</v>
      </c>
      <c r="W41" s="177">
        <v>270.28708067837846</v>
      </c>
      <c r="X41" s="177">
        <v>427.45139599999993</v>
      </c>
      <c r="Y41" s="177"/>
      <c r="Z41" s="178">
        <v>74486</v>
      </c>
      <c r="AA41" s="177">
        <v>1029.5373999999999</v>
      </c>
      <c r="AB41" s="177">
        <v>1665.4983</v>
      </c>
    </row>
    <row r="42" spans="1:28" s="165" customFormat="1" ht="15" customHeight="1" x14ac:dyDescent="0.2">
      <c r="A42" s="182">
        <v>1944</v>
      </c>
      <c r="B42" s="184">
        <v>28986</v>
      </c>
      <c r="C42" s="177">
        <v>396.54158000000001</v>
      </c>
      <c r="D42" s="177">
        <v>700.66236000000004</v>
      </c>
      <c r="E42" s="177"/>
      <c r="F42" s="178">
        <v>9352</v>
      </c>
      <c r="G42" s="177">
        <v>127.93959</v>
      </c>
      <c r="H42" s="177">
        <v>185.36973</v>
      </c>
      <c r="I42" s="177"/>
      <c r="J42" s="184">
        <v>5435</v>
      </c>
      <c r="K42" s="177">
        <v>74.353256999999999</v>
      </c>
      <c r="L42" s="177">
        <v>121.11014</v>
      </c>
      <c r="M42" s="177"/>
      <c r="N42" s="178">
        <v>4099</v>
      </c>
      <c r="O42" s="177">
        <v>56.076172999999997</v>
      </c>
      <c r="P42" s="177">
        <v>61.365321000000002</v>
      </c>
      <c r="R42" s="184">
        <v>3870</v>
      </c>
      <c r="S42" s="177">
        <v>52.943348999999998</v>
      </c>
      <c r="T42" s="177">
        <v>69.324284000000006</v>
      </c>
      <c r="U42" s="177"/>
      <c r="V42" s="178">
        <v>17854</v>
      </c>
      <c r="W42" s="177">
        <v>244.25079004610313</v>
      </c>
      <c r="X42" s="177">
        <v>375.17946499999971</v>
      </c>
      <c r="Y42" s="177"/>
      <c r="Z42" s="178">
        <v>69596</v>
      </c>
      <c r="AA42" s="177">
        <v>952.10473999999999</v>
      </c>
      <c r="AB42" s="177">
        <v>1513.0112999999999</v>
      </c>
    </row>
    <row r="43" spans="1:28" s="165" customFormat="1" ht="15" customHeight="1" x14ac:dyDescent="0.2">
      <c r="A43" s="182">
        <v>1945</v>
      </c>
      <c r="B43" s="184">
        <v>30300</v>
      </c>
      <c r="C43" s="177">
        <v>409.91923000000003</v>
      </c>
      <c r="D43" s="177">
        <v>705.58105</v>
      </c>
      <c r="E43" s="177"/>
      <c r="F43" s="178">
        <v>9682</v>
      </c>
      <c r="G43" s="177">
        <v>130.98474999999999</v>
      </c>
      <c r="H43" s="177">
        <v>187.87503000000001</v>
      </c>
      <c r="I43" s="177"/>
      <c r="J43" s="184">
        <v>5161</v>
      </c>
      <c r="K43" s="177">
        <v>69.821556999999999</v>
      </c>
      <c r="L43" s="177">
        <v>114.70961</v>
      </c>
      <c r="M43" s="177"/>
      <c r="N43" s="178">
        <v>3999</v>
      </c>
      <c r="O43" s="177">
        <v>54.101222</v>
      </c>
      <c r="P43" s="177">
        <v>59.199995000000001</v>
      </c>
      <c r="R43" s="184">
        <v>3721</v>
      </c>
      <c r="S43" s="177">
        <v>50.340246</v>
      </c>
      <c r="T43" s="177">
        <v>65.378769000000005</v>
      </c>
      <c r="U43" s="177"/>
      <c r="V43" s="178">
        <v>17368</v>
      </c>
      <c r="W43" s="177">
        <v>234.96624592448285</v>
      </c>
      <c r="X43" s="177">
        <v>355.62334600000008</v>
      </c>
      <c r="Y43" s="177"/>
      <c r="Z43" s="178">
        <v>70231</v>
      </c>
      <c r="AA43" s="177">
        <v>950.13325999999995</v>
      </c>
      <c r="AB43" s="177">
        <v>1488.3678</v>
      </c>
    </row>
    <row r="44" spans="1:28" s="165" customFormat="1" ht="15" customHeight="1" x14ac:dyDescent="0.2">
      <c r="A44" s="182">
        <v>1946</v>
      </c>
      <c r="B44" s="184">
        <v>32328</v>
      </c>
      <c r="C44" s="177">
        <v>433.05515000000003</v>
      </c>
      <c r="D44" s="177">
        <v>735.94356000000005</v>
      </c>
      <c r="E44" s="177"/>
      <c r="F44" s="178">
        <v>9924</v>
      </c>
      <c r="G44" s="177">
        <v>132.93861000000001</v>
      </c>
      <c r="H44" s="177">
        <v>188.55196000000001</v>
      </c>
      <c r="I44" s="177"/>
      <c r="J44" s="184">
        <v>5669</v>
      </c>
      <c r="K44" s="177">
        <v>75.940040999999994</v>
      </c>
      <c r="L44" s="177">
        <v>123.29089999999999</v>
      </c>
      <c r="M44" s="177"/>
      <c r="N44" s="178">
        <v>3969</v>
      </c>
      <c r="O44" s="177">
        <v>53.167406</v>
      </c>
      <c r="P44" s="177">
        <v>57.445058000000003</v>
      </c>
      <c r="R44" s="184">
        <v>4653</v>
      </c>
      <c r="S44" s="177">
        <v>62.330041999999999</v>
      </c>
      <c r="T44" s="177">
        <v>78.267578999999998</v>
      </c>
      <c r="U44" s="177"/>
      <c r="V44" s="178">
        <v>18118</v>
      </c>
      <c r="W44" s="177">
        <v>242.70270994360422</v>
      </c>
      <c r="X44" s="177">
        <v>354.61894299999972</v>
      </c>
      <c r="Y44" s="177"/>
      <c r="Z44" s="178">
        <v>74661</v>
      </c>
      <c r="AA44" s="177">
        <v>1000.134</v>
      </c>
      <c r="AB44" s="177">
        <v>1538.1179999999999</v>
      </c>
    </row>
    <row r="45" spans="1:28" s="165" customFormat="1" ht="15" customHeight="1" x14ac:dyDescent="0.2">
      <c r="A45" s="182">
        <v>1947</v>
      </c>
      <c r="B45" s="184">
        <v>32239</v>
      </c>
      <c r="C45" s="177">
        <v>425.35028999999997</v>
      </c>
      <c r="D45" s="177">
        <v>711.11526000000003</v>
      </c>
      <c r="E45" s="177"/>
      <c r="F45" s="178">
        <v>10302</v>
      </c>
      <c r="G45" s="177">
        <v>135.92105000000001</v>
      </c>
      <c r="H45" s="177">
        <v>191.46494999999999</v>
      </c>
      <c r="I45" s="177"/>
      <c r="J45" s="184">
        <v>5317</v>
      </c>
      <c r="K45" s="177">
        <v>70.150672</v>
      </c>
      <c r="L45" s="177">
        <v>110.08797</v>
      </c>
      <c r="M45" s="177"/>
      <c r="N45" s="178">
        <v>3685</v>
      </c>
      <c r="O45" s="177">
        <v>48.618623999999997</v>
      </c>
      <c r="P45" s="177">
        <v>53.092438999999999</v>
      </c>
      <c r="R45" s="184">
        <v>4769</v>
      </c>
      <c r="S45" s="177">
        <v>62.920547999999997</v>
      </c>
      <c r="T45" s="177">
        <v>77.839703999999998</v>
      </c>
      <c r="U45" s="177"/>
      <c r="V45" s="178">
        <v>17156</v>
      </c>
      <c r="W45" s="177">
        <v>226.35037074174735</v>
      </c>
      <c r="X45" s="177">
        <v>319.4914769999998</v>
      </c>
      <c r="Y45" s="177"/>
      <c r="Z45" s="178">
        <v>73468</v>
      </c>
      <c r="AA45" s="177">
        <v>969.31155999999999</v>
      </c>
      <c r="AB45" s="177">
        <v>1463.0917999999999</v>
      </c>
    </row>
    <row r="46" spans="1:28" s="165" customFormat="1" ht="15" customHeight="1" x14ac:dyDescent="0.2">
      <c r="A46" s="182">
        <v>1948</v>
      </c>
      <c r="B46" s="184">
        <v>34402</v>
      </c>
      <c r="C46" s="177">
        <v>446.27499</v>
      </c>
      <c r="D46" s="177">
        <v>742.47567000000004</v>
      </c>
      <c r="E46" s="177"/>
      <c r="F46" s="178">
        <v>10524</v>
      </c>
      <c r="G46" s="177">
        <v>136.52107000000001</v>
      </c>
      <c r="H46" s="177">
        <v>192.41737000000001</v>
      </c>
      <c r="I46" s="177"/>
      <c r="J46" s="184">
        <v>6223</v>
      </c>
      <c r="K46" s="177">
        <v>80.726971000000006</v>
      </c>
      <c r="L46" s="177">
        <v>129.68397999999999</v>
      </c>
      <c r="M46" s="177"/>
      <c r="N46" s="178">
        <v>3706</v>
      </c>
      <c r="O46" s="177">
        <v>48.075550999999997</v>
      </c>
      <c r="P46" s="177">
        <v>52.059289999999997</v>
      </c>
      <c r="R46" s="184">
        <v>4784</v>
      </c>
      <c r="S46" s="177">
        <v>62.059750999999999</v>
      </c>
      <c r="T46" s="177">
        <v>76.657269999999997</v>
      </c>
      <c r="U46" s="177"/>
      <c r="V46" s="178">
        <v>17200</v>
      </c>
      <c r="W46" s="177">
        <v>223.12452164437585</v>
      </c>
      <c r="X46" s="177">
        <v>321.12982000000011</v>
      </c>
      <c r="Y46" s="177"/>
      <c r="Z46" s="178">
        <v>76839</v>
      </c>
      <c r="AA46" s="177">
        <v>996.78286000000003</v>
      </c>
      <c r="AB46" s="177">
        <v>1514.4233999999999</v>
      </c>
    </row>
    <row r="47" spans="1:28" s="165" customFormat="1" ht="15" customHeight="1" x14ac:dyDescent="0.2">
      <c r="A47" s="182">
        <v>1949</v>
      </c>
      <c r="B47" s="184">
        <v>34493</v>
      </c>
      <c r="C47" s="177">
        <v>436.17304000000001</v>
      </c>
      <c r="D47" s="177">
        <v>726.00599999999997</v>
      </c>
      <c r="E47" s="177"/>
      <c r="F47" s="178">
        <v>10755</v>
      </c>
      <c r="G47" s="177">
        <v>135.99979999999999</v>
      </c>
      <c r="H47" s="177">
        <v>192.06970000000001</v>
      </c>
      <c r="I47" s="177"/>
      <c r="J47" s="184">
        <v>5178</v>
      </c>
      <c r="K47" s="177">
        <v>65.477169000000004</v>
      </c>
      <c r="L47" s="177">
        <v>104.42610999999999</v>
      </c>
      <c r="M47" s="177"/>
      <c r="N47" s="178">
        <v>3379</v>
      </c>
      <c r="O47" s="177">
        <v>42.728341999999998</v>
      </c>
      <c r="P47" s="177">
        <v>46.267541000000001</v>
      </c>
      <c r="R47" s="184">
        <v>4849</v>
      </c>
      <c r="S47" s="177">
        <v>61.316878000000003</v>
      </c>
      <c r="T47" s="177">
        <v>74.674943999999996</v>
      </c>
      <c r="U47" s="177"/>
      <c r="V47" s="178">
        <v>16606</v>
      </c>
      <c r="W47" s="177">
        <v>209.98722828492305</v>
      </c>
      <c r="X47" s="177">
        <v>302.59780499999988</v>
      </c>
      <c r="Y47" s="177"/>
      <c r="Z47" s="178">
        <v>75260</v>
      </c>
      <c r="AA47" s="177">
        <v>951.68245000000002</v>
      </c>
      <c r="AB47" s="177">
        <v>1446.0420999999999</v>
      </c>
    </row>
    <row r="48" spans="1:28" s="165" customFormat="1" ht="15" customHeight="1" x14ac:dyDescent="0.2">
      <c r="A48" s="182">
        <v>1950</v>
      </c>
      <c r="B48" s="184">
        <v>38009</v>
      </c>
      <c r="C48" s="177">
        <v>464.73156</v>
      </c>
      <c r="D48" s="177">
        <v>785.78004999999996</v>
      </c>
      <c r="E48" s="177"/>
      <c r="F48" s="178">
        <v>10827</v>
      </c>
      <c r="G48" s="177">
        <v>132.38045</v>
      </c>
      <c r="H48" s="177">
        <v>188.90280000000001</v>
      </c>
      <c r="I48" s="177"/>
      <c r="J48" s="184">
        <v>5490</v>
      </c>
      <c r="K48" s="177">
        <v>67.125581999999994</v>
      </c>
      <c r="L48" s="177">
        <v>111.6033</v>
      </c>
      <c r="M48" s="177"/>
      <c r="N48" s="178">
        <v>3007</v>
      </c>
      <c r="O48" s="177">
        <v>36.766233999999997</v>
      </c>
      <c r="P48" s="177">
        <v>39.816271</v>
      </c>
      <c r="R48" s="184">
        <v>5282</v>
      </c>
      <c r="S48" s="177">
        <v>64.582391000000001</v>
      </c>
      <c r="T48" s="177">
        <v>78.811525000000003</v>
      </c>
      <c r="U48" s="177"/>
      <c r="V48" s="178">
        <v>15572</v>
      </c>
      <c r="W48" s="177">
        <v>190.39700685928082</v>
      </c>
      <c r="X48" s="177">
        <v>265.10755400000016</v>
      </c>
      <c r="Y48" s="177"/>
      <c r="Z48" s="178">
        <v>78187</v>
      </c>
      <c r="AA48" s="177">
        <v>955.98321999999996</v>
      </c>
      <c r="AB48" s="177">
        <v>1470.0215000000001</v>
      </c>
    </row>
    <row r="49" spans="1:28" s="165" customFormat="1" ht="15" customHeight="1" x14ac:dyDescent="0.2">
      <c r="A49" s="182">
        <v>1951</v>
      </c>
      <c r="B49" s="184">
        <v>40399</v>
      </c>
      <c r="C49" s="177">
        <v>479.70125000000002</v>
      </c>
      <c r="D49" s="177">
        <v>817.52815999999996</v>
      </c>
      <c r="E49" s="177"/>
      <c r="F49" s="178">
        <v>10993</v>
      </c>
      <c r="G49" s="177">
        <v>130.53183999999999</v>
      </c>
      <c r="H49" s="177">
        <v>186.14512999999999</v>
      </c>
      <c r="I49" s="177"/>
      <c r="J49" s="184">
        <v>5806</v>
      </c>
      <c r="K49" s="177">
        <v>68.940950000000001</v>
      </c>
      <c r="L49" s="177">
        <v>112.40644</v>
      </c>
      <c r="M49" s="177"/>
      <c r="N49" s="178">
        <v>3183</v>
      </c>
      <c r="O49" s="177">
        <v>37.795219000000003</v>
      </c>
      <c r="P49" s="177">
        <v>41.227255</v>
      </c>
      <c r="R49" s="184">
        <v>5925</v>
      </c>
      <c r="S49" s="177">
        <v>70.353966999999997</v>
      </c>
      <c r="T49" s="177">
        <v>87.437410999999997</v>
      </c>
      <c r="U49" s="177"/>
      <c r="V49" s="178">
        <v>15482</v>
      </c>
      <c r="W49" s="177">
        <v>183.83461771376324</v>
      </c>
      <c r="X49" s="177">
        <v>252.3020039999999</v>
      </c>
      <c r="Y49" s="177"/>
      <c r="Z49" s="178">
        <v>81788</v>
      </c>
      <c r="AA49" s="177">
        <v>971.15783999999996</v>
      </c>
      <c r="AB49" s="177">
        <v>1497.0463999999999</v>
      </c>
    </row>
    <row r="50" spans="1:28" s="165" customFormat="1" ht="15" customHeight="1" x14ac:dyDescent="0.2">
      <c r="A50" s="182">
        <v>1952</v>
      </c>
      <c r="B50" s="184">
        <v>41543</v>
      </c>
      <c r="C50" s="177">
        <v>481.01661999999999</v>
      </c>
      <c r="D50" s="177">
        <v>822.04894999999999</v>
      </c>
      <c r="E50" s="177"/>
      <c r="F50" s="178">
        <v>11505</v>
      </c>
      <c r="G50" s="177">
        <v>133.21369000000001</v>
      </c>
      <c r="H50" s="177">
        <v>191.51765</v>
      </c>
      <c r="I50" s="177"/>
      <c r="J50" s="184">
        <v>5214</v>
      </c>
      <c r="K50" s="177">
        <v>60.371678000000003</v>
      </c>
      <c r="L50" s="177">
        <v>99.285893000000002</v>
      </c>
      <c r="M50" s="177"/>
      <c r="N50" s="178">
        <v>2540</v>
      </c>
      <c r="O50" s="177">
        <v>29.410062</v>
      </c>
      <c r="P50" s="177">
        <v>33.189073</v>
      </c>
      <c r="R50" s="184">
        <v>6078</v>
      </c>
      <c r="S50" s="177">
        <v>70.375731000000002</v>
      </c>
      <c r="T50" s="177">
        <v>86.508320999999995</v>
      </c>
      <c r="U50" s="177"/>
      <c r="V50" s="178">
        <v>14717</v>
      </c>
      <c r="W50" s="177">
        <v>170.40467782087651</v>
      </c>
      <c r="X50" s="177">
        <v>232.47341299999994</v>
      </c>
      <c r="Y50" s="177"/>
      <c r="Z50" s="178">
        <v>81597</v>
      </c>
      <c r="AA50" s="177">
        <v>944.79245000000003</v>
      </c>
      <c r="AB50" s="177">
        <v>1465.0233000000001</v>
      </c>
    </row>
    <row r="51" spans="1:28" s="165" customFormat="1" ht="15" customHeight="1" x14ac:dyDescent="0.2">
      <c r="A51" s="182">
        <v>1953</v>
      </c>
      <c r="B51" s="184">
        <v>41003</v>
      </c>
      <c r="C51" s="177">
        <v>465.13448</v>
      </c>
      <c r="D51" s="177">
        <v>793.95504000000005</v>
      </c>
      <c r="E51" s="177"/>
      <c r="F51" s="178">
        <v>11882</v>
      </c>
      <c r="G51" s="177">
        <v>134.78837999999999</v>
      </c>
      <c r="H51" s="177">
        <v>194.46045000000001</v>
      </c>
      <c r="I51" s="177"/>
      <c r="J51" s="184">
        <v>4935</v>
      </c>
      <c r="K51" s="177">
        <v>55.982213000000002</v>
      </c>
      <c r="L51" s="177">
        <v>91.721958000000001</v>
      </c>
      <c r="M51" s="177"/>
      <c r="N51" s="178">
        <v>2234</v>
      </c>
      <c r="O51" s="177">
        <v>25.342303000000001</v>
      </c>
      <c r="P51" s="177">
        <v>28.335443000000001</v>
      </c>
      <c r="R51" s="184">
        <v>5991</v>
      </c>
      <c r="S51" s="177">
        <v>67.961385000000007</v>
      </c>
      <c r="T51" s="177">
        <v>85.523584999999997</v>
      </c>
      <c r="U51" s="177"/>
      <c r="V51" s="178">
        <v>14143</v>
      </c>
      <c r="W51" s="177">
        <v>160.43696754506371</v>
      </c>
      <c r="X51" s="177">
        <v>215.60522399999991</v>
      </c>
      <c r="Y51" s="177"/>
      <c r="Z51" s="178">
        <v>80188</v>
      </c>
      <c r="AA51" s="177">
        <v>909.64572999999996</v>
      </c>
      <c r="AB51" s="177">
        <v>1409.6016999999999</v>
      </c>
    </row>
    <row r="52" spans="1:28" s="165" customFormat="1" ht="15" customHeight="1" x14ac:dyDescent="0.2">
      <c r="A52" s="182">
        <v>1954</v>
      </c>
      <c r="B52" s="184">
        <v>42213</v>
      </c>
      <c r="C52" s="177">
        <v>469.73793999999998</v>
      </c>
      <c r="D52" s="177">
        <v>803.28769999999997</v>
      </c>
      <c r="E52" s="177"/>
      <c r="F52" s="178">
        <v>11976</v>
      </c>
      <c r="G52" s="177">
        <v>133.26657</v>
      </c>
      <c r="H52" s="177">
        <v>191.23947999999999</v>
      </c>
      <c r="I52" s="177"/>
      <c r="J52" s="184">
        <v>5557</v>
      </c>
      <c r="K52" s="177">
        <v>61.837200000000003</v>
      </c>
      <c r="L52" s="177">
        <v>102.94359</v>
      </c>
      <c r="M52" s="177"/>
      <c r="N52" s="178">
        <v>2041</v>
      </c>
      <c r="O52" s="177">
        <v>22.711846000000001</v>
      </c>
      <c r="P52" s="177">
        <v>24.858564000000001</v>
      </c>
      <c r="R52" s="184">
        <v>6047</v>
      </c>
      <c r="S52" s="177">
        <v>67.289823999999996</v>
      </c>
      <c r="T52" s="177">
        <v>83.562703999999997</v>
      </c>
      <c r="U52" s="177"/>
      <c r="V52" s="178">
        <v>13971</v>
      </c>
      <c r="W52" s="177">
        <v>155.4665331330329</v>
      </c>
      <c r="X52" s="177">
        <v>206.95406200000002</v>
      </c>
      <c r="Y52" s="177"/>
      <c r="Z52" s="178">
        <v>81805</v>
      </c>
      <c r="AA52" s="177">
        <v>910.30990999999995</v>
      </c>
      <c r="AB52" s="177">
        <v>1412.8461</v>
      </c>
    </row>
    <row r="53" spans="1:28" s="165" customFormat="1" ht="15" customHeight="1" x14ac:dyDescent="0.2">
      <c r="A53" s="182">
        <v>1955</v>
      </c>
      <c r="B53" s="184">
        <v>42524</v>
      </c>
      <c r="C53" s="177">
        <v>462.23246</v>
      </c>
      <c r="D53" s="177">
        <v>790.09464000000003</v>
      </c>
      <c r="E53" s="177"/>
      <c r="F53" s="178">
        <v>12182</v>
      </c>
      <c r="G53" s="177">
        <v>132.41736</v>
      </c>
      <c r="H53" s="177">
        <v>190.30014</v>
      </c>
      <c r="I53" s="177"/>
      <c r="J53" s="184">
        <v>5397</v>
      </c>
      <c r="K53" s="177">
        <v>58.664955999999997</v>
      </c>
      <c r="L53" s="177">
        <v>95.855341999999993</v>
      </c>
      <c r="M53" s="177"/>
      <c r="N53" s="178">
        <v>1742</v>
      </c>
      <c r="O53" s="177">
        <v>18.935400000000001</v>
      </c>
      <c r="P53" s="177">
        <v>21.583857999999999</v>
      </c>
      <c r="R53" s="184">
        <v>6175</v>
      </c>
      <c r="S53" s="177">
        <v>67.121753999999996</v>
      </c>
      <c r="T53" s="177">
        <v>84.068954000000005</v>
      </c>
      <c r="U53" s="177"/>
      <c r="V53" s="178">
        <v>14016</v>
      </c>
      <c r="W53" s="177">
        <v>152.35279411285148</v>
      </c>
      <c r="X53" s="177">
        <v>200.22786599999972</v>
      </c>
      <c r="Y53" s="177"/>
      <c r="Z53" s="178">
        <v>82036</v>
      </c>
      <c r="AA53" s="177">
        <v>891.72473000000002</v>
      </c>
      <c r="AB53" s="177">
        <v>1382.1307999999999</v>
      </c>
    </row>
    <row r="54" spans="1:28" s="165" customFormat="1" ht="15" customHeight="1" x14ac:dyDescent="0.2">
      <c r="A54" s="182">
        <v>1956</v>
      </c>
      <c r="B54" s="184">
        <v>45063</v>
      </c>
      <c r="C54" s="177">
        <v>478.09665000000001</v>
      </c>
      <c r="D54" s="177">
        <v>824.59208000000001</v>
      </c>
      <c r="E54" s="177"/>
      <c r="F54" s="178">
        <v>12567</v>
      </c>
      <c r="G54" s="177">
        <v>133.32980000000001</v>
      </c>
      <c r="H54" s="177">
        <v>192.8151</v>
      </c>
      <c r="I54" s="177"/>
      <c r="J54" s="184">
        <v>6094</v>
      </c>
      <c r="K54" s="177">
        <v>64.654394999999994</v>
      </c>
      <c r="L54" s="177">
        <v>106.48222</v>
      </c>
      <c r="M54" s="177"/>
      <c r="N54" s="178">
        <v>1699</v>
      </c>
      <c r="O54" s="177">
        <v>18.025569000000001</v>
      </c>
      <c r="P54" s="177">
        <v>21.060642000000001</v>
      </c>
      <c r="R54" s="184">
        <v>6326</v>
      </c>
      <c r="S54" s="177">
        <v>67.115803</v>
      </c>
      <c r="T54" s="177">
        <v>85.400582</v>
      </c>
      <c r="U54" s="177"/>
      <c r="V54" s="178">
        <v>14339</v>
      </c>
      <c r="W54" s="177">
        <v>152.12986048485493</v>
      </c>
      <c r="X54" s="177">
        <v>203.32637599999998</v>
      </c>
      <c r="Y54" s="177"/>
      <c r="Z54" s="178">
        <v>86088</v>
      </c>
      <c r="AA54" s="177">
        <v>913.35208</v>
      </c>
      <c r="AB54" s="177">
        <v>1433.6769999999999</v>
      </c>
    </row>
    <row r="55" spans="1:28" s="165" customFormat="1" ht="15" customHeight="1" x14ac:dyDescent="0.2">
      <c r="A55" s="182">
        <v>1957</v>
      </c>
      <c r="B55" s="184">
        <v>43499</v>
      </c>
      <c r="C55" s="177">
        <v>451.22507999999999</v>
      </c>
      <c r="D55" s="177">
        <v>774.58312999999998</v>
      </c>
      <c r="E55" s="177"/>
      <c r="F55" s="178">
        <v>12949</v>
      </c>
      <c r="G55" s="177">
        <v>134.32293999999999</v>
      </c>
      <c r="H55" s="177">
        <v>192.4239</v>
      </c>
      <c r="I55" s="177"/>
      <c r="J55" s="184">
        <v>6370</v>
      </c>
      <c r="K55" s="177">
        <v>66.077466999999999</v>
      </c>
      <c r="L55" s="177">
        <v>105.69235</v>
      </c>
      <c r="M55" s="177"/>
      <c r="N55" s="178">
        <v>1420</v>
      </c>
      <c r="O55" s="177">
        <v>14.729984999999999</v>
      </c>
      <c r="P55" s="177">
        <v>17.574356999999999</v>
      </c>
      <c r="R55" s="184">
        <v>6653</v>
      </c>
      <c r="S55" s="177">
        <v>69.013091000000003</v>
      </c>
      <c r="T55" s="177">
        <v>86.020239000000004</v>
      </c>
      <c r="U55" s="177"/>
      <c r="V55" s="178">
        <v>14062</v>
      </c>
      <c r="W55" s="177">
        <v>145.8683429804361</v>
      </c>
      <c r="X55" s="177">
        <v>191.02452400000016</v>
      </c>
      <c r="Y55" s="177"/>
      <c r="Z55" s="178">
        <v>84953</v>
      </c>
      <c r="AA55" s="177">
        <v>881.23689999999999</v>
      </c>
      <c r="AB55" s="177">
        <v>1367.3185000000001</v>
      </c>
    </row>
    <row r="56" spans="1:28" s="165" customFormat="1" ht="15" customHeight="1" x14ac:dyDescent="0.2">
      <c r="A56" s="182">
        <v>1958</v>
      </c>
      <c r="B56" s="184">
        <v>43970</v>
      </c>
      <c r="C56" s="177">
        <v>446.74063000000001</v>
      </c>
      <c r="D56" s="177">
        <v>765.50259000000005</v>
      </c>
      <c r="E56" s="177"/>
      <c r="F56" s="178">
        <v>12907</v>
      </c>
      <c r="G56" s="177">
        <v>131.13670999999999</v>
      </c>
      <c r="H56" s="177">
        <v>185.71737999999999</v>
      </c>
      <c r="I56" s="177"/>
      <c r="J56" s="184">
        <v>5477</v>
      </c>
      <c r="K56" s="177">
        <v>55.646996999999999</v>
      </c>
      <c r="L56" s="177">
        <v>89.995930999999999</v>
      </c>
      <c r="M56" s="177"/>
      <c r="N56" s="178">
        <v>1382</v>
      </c>
      <c r="O56" s="177">
        <v>14.041290999999999</v>
      </c>
      <c r="P56" s="177">
        <v>16.313963000000001</v>
      </c>
      <c r="R56" s="184">
        <v>6439</v>
      </c>
      <c r="S56" s="177">
        <v>65.421036000000001</v>
      </c>
      <c r="T56" s="177">
        <v>81.646433999999999</v>
      </c>
      <c r="U56" s="177"/>
      <c r="V56" s="178">
        <v>13548</v>
      </c>
      <c r="W56" s="177">
        <v>137.64935381614239</v>
      </c>
      <c r="X56" s="177">
        <v>180.68990199999985</v>
      </c>
      <c r="Y56" s="177"/>
      <c r="Z56" s="178">
        <v>83723</v>
      </c>
      <c r="AA56" s="177">
        <v>850.63602000000003</v>
      </c>
      <c r="AB56" s="177">
        <v>1319.8661999999999</v>
      </c>
    </row>
    <row r="57" spans="1:28" s="165" customFormat="1" ht="15" customHeight="1" x14ac:dyDescent="0.2">
      <c r="A57" s="182">
        <v>1959</v>
      </c>
      <c r="B57" s="184">
        <v>46680</v>
      </c>
      <c r="C57" s="177">
        <v>464.18200999999999</v>
      </c>
      <c r="D57" s="177">
        <v>790.4923</v>
      </c>
      <c r="E57" s="177"/>
      <c r="F57" s="178">
        <v>13468</v>
      </c>
      <c r="G57" s="177">
        <v>133.92465999999999</v>
      </c>
      <c r="H57" s="177">
        <v>191.87866</v>
      </c>
      <c r="I57" s="177"/>
      <c r="J57" s="184">
        <v>7193</v>
      </c>
      <c r="K57" s="177">
        <v>71.526589999999999</v>
      </c>
      <c r="L57" s="177">
        <v>117.9611</v>
      </c>
      <c r="M57" s="177"/>
      <c r="N57" s="178">
        <v>1371</v>
      </c>
      <c r="O57" s="177">
        <v>13.633108999999999</v>
      </c>
      <c r="P57" s="177">
        <v>15.984063000000001</v>
      </c>
      <c r="R57" s="184">
        <v>6573</v>
      </c>
      <c r="S57" s="177">
        <v>65.361362</v>
      </c>
      <c r="T57" s="177">
        <v>81.719120000000004</v>
      </c>
      <c r="U57" s="177"/>
      <c r="V57" s="178">
        <v>13927</v>
      </c>
      <c r="W57" s="177">
        <v>138.48892247722844</v>
      </c>
      <c r="X57" s="177">
        <v>181.95265700000004</v>
      </c>
      <c r="Y57" s="177"/>
      <c r="Z57" s="178">
        <v>89212</v>
      </c>
      <c r="AA57" s="177">
        <v>887.11666000000002</v>
      </c>
      <c r="AB57" s="177">
        <v>1379.9879000000001</v>
      </c>
    </row>
    <row r="58" spans="1:28" s="165" customFormat="1" ht="15" customHeight="1" x14ac:dyDescent="0.2">
      <c r="A58" s="182">
        <v>1960</v>
      </c>
      <c r="B58" s="184">
        <v>47727</v>
      </c>
      <c r="C58" s="177">
        <v>464.49635000000001</v>
      </c>
      <c r="D58" s="177">
        <v>783.62571000000003</v>
      </c>
      <c r="E58" s="177"/>
      <c r="F58" s="178">
        <v>13534</v>
      </c>
      <c r="G58" s="177">
        <v>131.71776</v>
      </c>
      <c r="H58" s="177">
        <v>187.77438000000001</v>
      </c>
      <c r="I58" s="177"/>
      <c r="J58" s="184">
        <v>5904</v>
      </c>
      <c r="K58" s="177">
        <v>57.459854</v>
      </c>
      <c r="L58" s="177">
        <v>94.277446999999995</v>
      </c>
      <c r="M58" s="177"/>
      <c r="N58" s="178">
        <v>1262</v>
      </c>
      <c r="O58" s="177">
        <v>12.282238</v>
      </c>
      <c r="P58" s="177">
        <v>14.797927</v>
      </c>
      <c r="R58" s="184">
        <v>6648</v>
      </c>
      <c r="S58" s="177">
        <v>64.700729999999993</v>
      </c>
      <c r="T58" s="177">
        <v>80.094595999999996</v>
      </c>
      <c r="U58" s="177"/>
      <c r="V58" s="178">
        <v>13389</v>
      </c>
      <c r="W58" s="177">
        <v>130.30656934306569</v>
      </c>
      <c r="X58" s="177">
        <v>168.11123999999995</v>
      </c>
      <c r="Y58" s="177"/>
      <c r="Z58" s="178">
        <v>88464</v>
      </c>
      <c r="AA58" s="177">
        <v>860.96349999999995</v>
      </c>
      <c r="AB58" s="177">
        <v>1328.6813</v>
      </c>
    </row>
    <row r="59" spans="1:28" s="165" customFormat="1" ht="15" customHeight="1" x14ac:dyDescent="0.2">
      <c r="A59" s="182">
        <v>1961</v>
      </c>
      <c r="B59" s="184">
        <v>47739</v>
      </c>
      <c r="C59" s="177">
        <v>454.30234999999999</v>
      </c>
      <c r="D59" s="177">
        <v>763.86044000000004</v>
      </c>
      <c r="E59" s="177"/>
      <c r="F59" s="178">
        <v>13914</v>
      </c>
      <c r="G59" s="177">
        <v>132.41087999999999</v>
      </c>
      <c r="H59" s="177">
        <v>188.92350999999999</v>
      </c>
      <c r="I59" s="177"/>
      <c r="J59" s="184">
        <v>5676</v>
      </c>
      <c r="K59" s="177">
        <v>54.014960000000002</v>
      </c>
      <c r="L59" s="177">
        <v>87.575039000000004</v>
      </c>
      <c r="M59" s="177"/>
      <c r="N59" s="178">
        <v>1221</v>
      </c>
      <c r="O59" s="177">
        <v>11.619497000000001</v>
      </c>
      <c r="P59" s="177">
        <v>13.714428</v>
      </c>
      <c r="R59" s="184">
        <v>6842</v>
      </c>
      <c r="S59" s="177">
        <v>65.111056000000005</v>
      </c>
      <c r="T59" s="177">
        <v>79.452489999999997</v>
      </c>
      <c r="U59" s="177"/>
      <c r="V59" s="178">
        <v>13569</v>
      </c>
      <c r="W59" s="177">
        <v>129.12772882130147</v>
      </c>
      <c r="X59" s="177">
        <v>167.21549300000015</v>
      </c>
      <c r="Y59" s="177"/>
      <c r="Z59" s="178">
        <v>88961</v>
      </c>
      <c r="AA59" s="177">
        <v>846.58648000000005</v>
      </c>
      <c r="AB59" s="177">
        <v>1300.7414000000001</v>
      </c>
    </row>
    <row r="60" spans="1:28" s="165" customFormat="1" ht="15" customHeight="1" x14ac:dyDescent="0.2">
      <c r="A60" s="182">
        <v>1962</v>
      </c>
      <c r="B60" s="184">
        <v>50609</v>
      </c>
      <c r="C60" s="177">
        <v>472.95920999999998</v>
      </c>
      <c r="D60" s="177">
        <v>787.39436000000001</v>
      </c>
      <c r="E60" s="177"/>
      <c r="F60" s="178">
        <v>14286</v>
      </c>
      <c r="G60" s="177">
        <v>133.50778</v>
      </c>
      <c r="H60" s="177">
        <v>188.04616999999999</v>
      </c>
      <c r="I60" s="177"/>
      <c r="J60" s="184">
        <v>6326</v>
      </c>
      <c r="K60" s="177">
        <v>59.118732999999999</v>
      </c>
      <c r="L60" s="177">
        <v>95.595322999999993</v>
      </c>
      <c r="M60" s="177"/>
      <c r="N60" s="178">
        <v>1238</v>
      </c>
      <c r="O60" s="177">
        <v>11.569553000000001</v>
      </c>
      <c r="P60" s="177">
        <v>14.029331000000001</v>
      </c>
      <c r="R60" s="184">
        <v>7268</v>
      </c>
      <c r="S60" s="177">
        <v>67.922060000000002</v>
      </c>
      <c r="T60" s="177">
        <v>83.648747999999998</v>
      </c>
      <c r="U60" s="177"/>
      <c r="V60" s="178">
        <v>13436</v>
      </c>
      <c r="W60" s="177">
        <v>125.56422597074902</v>
      </c>
      <c r="X60" s="177">
        <v>159.94116800000006</v>
      </c>
      <c r="Y60" s="177"/>
      <c r="Z60" s="178">
        <v>93163</v>
      </c>
      <c r="AA60" s="177">
        <v>870.64156000000003</v>
      </c>
      <c r="AB60" s="177">
        <v>1328.6550999999999</v>
      </c>
    </row>
    <row r="61" spans="1:28" s="165" customFormat="1" ht="15" customHeight="1" x14ac:dyDescent="0.2">
      <c r="A61" s="182">
        <v>1963</v>
      </c>
      <c r="B61" s="184">
        <v>51903</v>
      </c>
      <c r="C61" s="177">
        <v>475.87306999999998</v>
      </c>
      <c r="D61" s="177">
        <v>787.35203000000001</v>
      </c>
      <c r="E61" s="177"/>
      <c r="F61" s="178">
        <v>14999</v>
      </c>
      <c r="G61" s="177">
        <v>137.51845</v>
      </c>
      <c r="H61" s="177">
        <v>192.94468000000001</v>
      </c>
      <c r="I61" s="177"/>
      <c r="J61" s="184">
        <v>6417</v>
      </c>
      <c r="K61" s="177">
        <v>58.834316000000001</v>
      </c>
      <c r="L61" s="177">
        <v>93.200299999999999</v>
      </c>
      <c r="M61" s="177"/>
      <c r="N61" s="178">
        <v>1099</v>
      </c>
      <c r="O61" s="177">
        <v>10.07619</v>
      </c>
      <c r="P61" s="177">
        <v>12.092095</v>
      </c>
      <c r="R61" s="184">
        <v>7232</v>
      </c>
      <c r="S61" s="177">
        <v>66.306650000000005</v>
      </c>
      <c r="T61" s="177">
        <v>79.398221000000007</v>
      </c>
      <c r="U61" s="177"/>
      <c r="V61" s="178">
        <v>13244</v>
      </c>
      <c r="W61" s="177">
        <v>121.42772006711348</v>
      </c>
      <c r="X61" s="177">
        <v>153.39087400000017</v>
      </c>
      <c r="Y61" s="177"/>
      <c r="Z61" s="178">
        <v>94894</v>
      </c>
      <c r="AA61" s="177">
        <v>870.03639999999996</v>
      </c>
      <c r="AB61" s="177">
        <v>1318.3782000000001</v>
      </c>
    </row>
    <row r="62" spans="1:28" s="165" customFormat="1" ht="15" customHeight="1" x14ac:dyDescent="0.2">
      <c r="A62" s="182">
        <v>1964</v>
      </c>
      <c r="B62" s="184">
        <v>55047</v>
      </c>
      <c r="C62" s="177">
        <v>494.95576</v>
      </c>
      <c r="D62" s="177">
        <v>814.19122000000004</v>
      </c>
      <c r="E62" s="177"/>
      <c r="F62" s="178">
        <v>15378</v>
      </c>
      <c r="G62" s="177">
        <v>138.27146999999999</v>
      </c>
      <c r="H62" s="177">
        <v>194.00315000000001</v>
      </c>
      <c r="I62" s="177"/>
      <c r="J62" s="184">
        <v>7763</v>
      </c>
      <c r="K62" s="177">
        <v>69.801107999999999</v>
      </c>
      <c r="L62" s="177">
        <v>111.90477</v>
      </c>
      <c r="M62" s="177"/>
      <c r="N62" s="178">
        <v>1071</v>
      </c>
      <c r="O62" s="177">
        <v>9.6299094000000007</v>
      </c>
      <c r="P62" s="177">
        <v>12.016769</v>
      </c>
      <c r="R62" s="184">
        <v>7769</v>
      </c>
      <c r="S62" s="177">
        <v>69.855057000000002</v>
      </c>
      <c r="T62" s="177">
        <v>84.722150999999997</v>
      </c>
      <c r="U62" s="177"/>
      <c r="V62" s="178">
        <v>13566</v>
      </c>
      <c r="W62" s="177">
        <v>121.97885196374622</v>
      </c>
      <c r="X62" s="177">
        <v>154.96903999999995</v>
      </c>
      <c r="Y62" s="177"/>
      <c r="Z62" s="178">
        <v>100594</v>
      </c>
      <c r="AA62" s="177">
        <v>904.49216000000001</v>
      </c>
      <c r="AB62" s="177">
        <v>1371.8071</v>
      </c>
    </row>
    <row r="63" spans="1:28" s="165" customFormat="1" ht="15" customHeight="1" x14ac:dyDescent="0.2">
      <c r="A63" s="182">
        <v>1965</v>
      </c>
      <c r="B63" s="184">
        <v>55154</v>
      </c>
      <c r="C63" s="177">
        <v>486.32825000000003</v>
      </c>
      <c r="D63" s="177">
        <v>795.15785000000005</v>
      </c>
      <c r="E63" s="177"/>
      <c r="F63" s="178">
        <v>15349</v>
      </c>
      <c r="G63" s="177">
        <v>135.34199000000001</v>
      </c>
      <c r="H63" s="177">
        <v>189.82604000000001</v>
      </c>
      <c r="I63" s="177"/>
      <c r="J63" s="184">
        <v>7183</v>
      </c>
      <c r="K63" s="177">
        <v>63.337125</v>
      </c>
      <c r="L63" s="177">
        <v>100.18512</v>
      </c>
      <c r="M63" s="177"/>
      <c r="N63" s="178">
        <v>951</v>
      </c>
      <c r="O63" s="177">
        <v>8.3855778999999995</v>
      </c>
      <c r="P63" s="177">
        <v>9.7617776999999997</v>
      </c>
      <c r="R63" s="184">
        <v>7975</v>
      </c>
      <c r="S63" s="177">
        <v>70.320697999999993</v>
      </c>
      <c r="T63" s="177">
        <v>84.770283000000006</v>
      </c>
      <c r="U63" s="177"/>
      <c r="V63" s="178">
        <v>13103</v>
      </c>
      <c r="W63" s="177">
        <v>115.53756756518443</v>
      </c>
      <c r="X63" s="177">
        <v>146.96412929999974</v>
      </c>
      <c r="Y63" s="177"/>
      <c r="Z63" s="178">
        <v>99715</v>
      </c>
      <c r="AA63" s="177">
        <v>879.25121000000001</v>
      </c>
      <c r="AB63" s="177">
        <v>1326.6651999999999</v>
      </c>
    </row>
    <row r="64" spans="1:28" s="165" customFormat="1" ht="15" customHeight="1" x14ac:dyDescent="0.2">
      <c r="A64" s="182">
        <v>1966</v>
      </c>
      <c r="B64" s="184">
        <v>57446</v>
      </c>
      <c r="C64" s="177">
        <v>495.24556999999999</v>
      </c>
      <c r="D64" s="177">
        <v>806.90278999999998</v>
      </c>
      <c r="E64" s="177"/>
      <c r="F64" s="178">
        <v>16011</v>
      </c>
      <c r="G64" s="177">
        <v>138.03183999999999</v>
      </c>
      <c r="H64" s="177">
        <v>192.67618999999999</v>
      </c>
      <c r="I64" s="177"/>
      <c r="J64" s="184">
        <v>8241</v>
      </c>
      <c r="K64" s="177">
        <v>71.046177999999998</v>
      </c>
      <c r="L64" s="177">
        <v>113.34316</v>
      </c>
      <c r="M64" s="177"/>
      <c r="N64" s="178">
        <v>961</v>
      </c>
      <c r="O64" s="177">
        <v>8.2848413000000001</v>
      </c>
      <c r="P64" s="177">
        <v>9.9220793999999994</v>
      </c>
      <c r="R64" s="184">
        <v>8030</v>
      </c>
      <c r="S64" s="177">
        <v>69.227134000000007</v>
      </c>
      <c r="T64" s="177">
        <v>82.509219000000002</v>
      </c>
      <c r="U64" s="177"/>
      <c r="V64" s="178">
        <v>13240</v>
      </c>
      <c r="W64" s="177">
        <v>114.14287066560983</v>
      </c>
      <c r="X64" s="177">
        <v>147.65106160000005</v>
      </c>
      <c r="Y64" s="177"/>
      <c r="Z64" s="178">
        <v>103929</v>
      </c>
      <c r="AA64" s="177">
        <v>895.97843</v>
      </c>
      <c r="AB64" s="177">
        <v>1353.0045</v>
      </c>
    </row>
    <row r="65" spans="1:28" s="165" customFormat="1" ht="15" customHeight="1" x14ac:dyDescent="0.2">
      <c r="A65" s="182">
        <v>1967</v>
      </c>
      <c r="B65" s="184">
        <v>56260</v>
      </c>
      <c r="C65" s="177">
        <v>476.81691999999998</v>
      </c>
      <c r="D65" s="177">
        <v>770.37914000000001</v>
      </c>
      <c r="E65" s="177"/>
      <c r="F65" s="178">
        <v>16385</v>
      </c>
      <c r="G65" s="177">
        <v>138.86678000000001</v>
      </c>
      <c r="H65" s="177">
        <v>193.91713999999999</v>
      </c>
      <c r="I65" s="177"/>
      <c r="J65" s="184">
        <v>7284</v>
      </c>
      <c r="K65" s="177">
        <v>61.733637000000002</v>
      </c>
      <c r="L65" s="177">
        <v>98.059270999999995</v>
      </c>
      <c r="M65" s="177"/>
      <c r="N65" s="178">
        <v>977</v>
      </c>
      <c r="O65" s="177">
        <v>8.2803079999999998</v>
      </c>
      <c r="P65" s="177">
        <v>9.5283400999999994</v>
      </c>
      <c r="R65" s="184">
        <v>8560</v>
      </c>
      <c r="S65" s="177">
        <v>72.548040999999998</v>
      </c>
      <c r="T65" s="177">
        <v>87.197675000000004</v>
      </c>
      <c r="U65" s="177"/>
      <c r="V65" s="178">
        <v>13237</v>
      </c>
      <c r="W65" s="177">
        <v>112.18673187854171</v>
      </c>
      <c r="X65" s="177">
        <v>143.40833389999989</v>
      </c>
      <c r="Y65" s="177"/>
      <c r="Z65" s="178">
        <v>102703</v>
      </c>
      <c r="AA65" s="177">
        <v>870.43241999999998</v>
      </c>
      <c r="AB65" s="177">
        <v>1302.4899</v>
      </c>
    </row>
    <row r="66" spans="1:28" s="165" customFormat="1" ht="15" customHeight="1" x14ac:dyDescent="0.2">
      <c r="A66" s="182">
        <v>1968</v>
      </c>
      <c r="B66" s="184">
        <v>60930</v>
      </c>
      <c r="C66" s="177">
        <v>507.38488999999998</v>
      </c>
      <c r="D66" s="177">
        <v>829.99845000000005</v>
      </c>
      <c r="E66" s="177"/>
      <c r="F66" s="178">
        <v>17255</v>
      </c>
      <c r="G66" s="177">
        <v>143.68826999999999</v>
      </c>
      <c r="H66" s="177">
        <v>201.55368999999999</v>
      </c>
      <c r="I66" s="177"/>
      <c r="J66" s="184">
        <v>7674</v>
      </c>
      <c r="K66" s="177">
        <v>63.904015999999999</v>
      </c>
      <c r="L66" s="177">
        <v>101.34601000000001</v>
      </c>
      <c r="M66" s="177"/>
      <c r="N66" s="178">
        <v>969</v>
      </c>
      <c r="O66" s="177">
        <v>8.0691935000000008</v>
      </c>
      <c r="P66" s="177">
        <v>9.6626797</v>
      </c>
      <c r="R66" s="184">
        <v>8432</v>
      </c>
      <c r="S66" s="177">
        <v>70.216139999999996</v>
      </c>
      <c r="T66" s="177">
        <v>83.844894999999994</v>
      </c>
      <c r="U66" s="177"/>
      <c r="V66" s="178">
        <v>14287</v>
      </c>
      <c r="W66" s="177">
        <v>118.97272254506861</v>
      </c>
      <c r="X66" s="177">
        <v>154.40607530000011</v>
      </c>
      <c r="Y66" s="177"/>
      <c r="Z66" s="178">
        <v>109547</v>
      </c>
      <c r="AA66" s="177">
        <v>912.23523999999998</v>
      </c>
      <c r="AB66" s="177">
        <v>1380.8117999999999</v>
      </c>
    </row>
    <row r="67" spans="1:28" s="165" customFormat="1" ht="15" customHeight="1" x14ac:dyDescent="0.2">
      <c r="A67" s="182">
        <v>1969</v>
      </c>
      <c r="B67" s="184">
        <v>58525</v>
      </c>
      <c r="C67" s="177">
        <v>477.24808999999999</v>
      </c>
      <c r="D67" s="177">
        <v>776.73528999999996</v>
      </c>
      <c r="E67" s="177"/>
      <c r="F67" s="178">
        <v>17496</v>
      </c>
      <c r="G67" s="177">
        <v>142.67292</v>
      </c>
      <c r="H67" s="177">
        <v>200.45928000000001</v>
      </c>
      <c r="I67" s="177"/>
      <c r="J67" s="184">
        <v>7366</v>
      </c>
      <c r="K67" s="177">
        <v>60.066799000000003</v>
      </c>
      <c r="L67" s="177">
        <v>91.601806999999994</v>
      </c>
      <c r="M67" s="177"/>
      <c r="N67" s="178">
        <v>919</v>
      </c>
      <c r="O67" s="177">
        <v>7.4940794000000004</v>
      </c>
      <c r="P67" s="177">
        <v>8.7547604999999997</v>
      </c>
      <c r="R67" s="184">
        <v>8340</v>
      </c>
      <c r="S67" s="177">
        <v>68.009382000000002</v>
      </c>
      <c r="T67" s="177">
        <v>79.770591999999994</v>
      </c>
      <c r="U67" s="177"/>
      <c r="V67" s="178">
        <v>13850</v>
      </c>
      <c r="W67" s="177">
        <v>112.94123940492932</v>
      </c>
      <c r="X67" s="177">
        <v>144.25257050000005</v>
      </c>
      <c r="Y67" s="177"/>
      <c r="Z67" s="178">
        <v>106496</v>
      </c>
      <c r="AA67" s="177">
        <v>868.43250999999998</v>
      </c>
      <c r="AB67" s="177">
        <v>1301.5743</v>
      </c>
    </row>
    <row r="68" spans="1:28" s="165" customFormat="1" ht="15" customHeight="1" x14ac:dyDescent="0.2">
      <c r="A68" s="182">
        <v>1970</v>
      </c>
      <c r="B68" s="184">
        <v>61376</v>
      </c>
      <c r="C68" s="177">
        <v>490.71949999999998</v>
      </c>
      <c r="D68" s="177">
        <v>799.07033999999999</v>
      </c>
      <c r="E68" s="177"/>
      <c r="F68" s="178">
        <v>18262</v>
      </c>
      <c r="G68" s="177">
        <v>146.01016000000001</v>
      </c>
      <c r="H68" s="177">
        <v>205.22496000000001</v>
      </c>
      <c r="I68" s="177"/>
      <c r="J68" s="184">
        <v>9080</v>
      </c>
      <c r="K68" s="177">
        <v>72.597318999999999</v>
      </c>
      <c r="L68" s="177">
        <v>110.93098999999999</v>
      </c>
      <c r="M68" s="177"/>
      <c r="N68" s="178">
        <v>942</v>
      </c>
      <c r="O68" s="177">
        <v>7.5315719999999997</v>
      </c>
      <c r="P68" s="177">
        <v>8.9877357999999994</v>
      </c>
      <c r="R68" s="184">
        <v>8876</v>
      </c>
      <c r="S68" s="177">
        <v>70.966278000000003</v>
      </c>
      <c r="T68" s="177">
        <v>83.660528999999997</v>
      </c>
      <c r="U68" s="177"/>
      <c r="V68" s="178">
        <v>14512</v>
      </c>
      <c r="W68" s="177">
        <v>116.02778494467533</v>
      </c>
      <c r="X68" s="177">
        <v>148.88714519999985</v>
      </c>
      <c r="Y68" s="177"/>
      <c r="Z68" s="178">
        <v>113048</v>
      </c>
      <c r="AA68" s="177">
        <v>903.85261000000003</v>
      </c>
      <c r="AB68" s="177">
        <v>1356.7617</v>
      </c>
    </row>
    <row r="69" spans="1:28" s="165" customFormat="1" ht="15" customHeight="1" x14ac:dyDescent="0.2">
      <c r="A69" s="182">
        <v>1971</v>
      </c>
      <c r="B69" s="184">
        <v>60612</v>
      </c>
      <c r="C69" s="177">
        <v>463.84611000000001</v>
      </c>
      <c r="D69" s="177">
        <v>760.94123000000002</v>
      </c>
      <c r="E69" s="177"/>
      <c r="F69" s="178">
        <v>18461</v>
      </c>
      <c r="G69" s="177">
        <v>141.27669</v>
      </c>
      <c r="H69" s="177">
        <v>198.82040000000001</v>
      </c>
      <c r="I69" s="177"/>
      <c r="J69" s="184">
        <v>7674</v>
      </c>
      <c r="K69" s="177">
        <v>58.726903</v>
      </c>
      <c r="L69" s="177">
        <v>90.615273000000002</v>
      </c>
      <c r="M69" s="177"/>
      <c r="N69" s="178">
        <v>914</v>
      </c>
      <c r="O69" s="177">
        <v>6.9945776999999998</v>
      </c>
      <c r="P69" s="177">
        <v>7.9562187</v>
      </c>
      <c r="R69" s="184">
        <v>8944</v>
      </c>
      <c r="S69" s="177">
        <v>68.445845000000006</v>
      </c>
      <c r="T69" s="177">
        <v>79.509252000000004</v>
      </c>
      <c r="U69" s="177"/>
      <c r="V69" s="178">
        <v>14045</v>
      </c>
      <c r="W69" s="177">
        <v>107.48232319463943</v>
      </c>
      <c r="X69" s="177">
        <v>137.11182630000008</v>
      </c>
      <c r="Y69" s="177"/>
      <c r="Z69" s="178">
        <v>110650</v>
      </c>
      <c r="AA69" s="177">
        <v>846.77245000000005</v>
      </c>
      <c r="AB69" s="177">
        <v>1274.9541999999999</v>
      </c>
    </row>
    <row r="70" spans="1:28" s="165" customFormat="1" ht="15" customHeight="1" x14ac:dyDescent="0.2">
      <c r="A70" s="182">
        <v>1972</v>
      </c>
      <c r="B70" s="184">
        <v>59734</v>
      </c>
      <c r="C70" s="177">
        <v>449.00412</v>
      </c>
      <c r="D70" s="177">
        <v>732.00914999999998</v>
      </c>
      <c r="E70" s="177"/>
      <c r="F70" s="178">
        <v>18914</v>
      </c>
      <c r="G70" s="177">
        <v>142.17135999999999</v>
      </c>
      <c r="H70" s="177">
        <v>198.46885</v>
      </c>
      <c r="I70" s="177"/>
      <c r="J70" s="184">
        <v>7701</v>
      </c>
      <c r="K70" s="177">
        <v>57.886308999999997</v>
      </c>
      <c r="L70" s="177">
        <v>88.771563999999998</v>
      </c>
      <c r="M70" s="177"/>
      <c r="N70" s="178">
        <v>805</v>
      </c>
      <c r="O70" s="177">
        <v>6.0509646000000004</v>
      </c>
      <c r="P70" s="177">
        <v>7.1557187999999998</v>
      </c>
      <c r="R70" s="184">
        <v>8669</v>
      </c>
      <c r="S70" s="177">
        <v>65.162499999999994</v>
      </c>
      <c r="T70" s="177">
        <v>76.472520000000003</v>
      </c>
      <c r="U70" s="177"/>
      <c r="V70" s="178">
        <v>13937</v>
      </c>
      <c r="W70" s="177">
        <v>104.76061331675243</v>
      </c>
      <c r="X70" s="177">
        <v>133.28469719999998</v>
      </c>
      <c r="Y70" s="177"/>
      <c r="Z70" s="178">
        <v>109760</v>
      </c>
      <c r="AA70" s="177">
        <v>825.03587000000005</v>
      </c>
      <c r="AB70" s="177">
        <v>1236.1624999999999</v>
      </c>
    </row>
    <row r="71" spans="1:28" s="165" customFormat="1" ht="15" customHeight="1" x14ac:dyDescent="0.2">
      <c r="A71" s="182">
        <v>1973</v>
      </c>
      <c r="B71" s="184">
        <v>60011</v>
      </c>
      <c r="C71" s="177">
        <v>444.37655000000001</v>
      </c>
      <c r="D71" s="177">
        <v>719.60572999999999</v>
      </c>
      <c r="E71" s="177"/>
      <c r="F71" s="178">
        <v>19538</v>
      </c>
      <c r="G71" s="177">
        <v>144.67729</v>
      </c>
      <c r="H71" s="177">
        <v>201.38817</v>
      </c>
      <c r="I71" s="177"/>
      <c r="J71" s="184">
        <v>7637</v>
      </c>
      <c r="K71" s="177">
        <v>56.551361</v>
      </c>
      <c r="L71" s="177">
        <v>87.253725000000003</v>
      </c>
      <c r="M71" s="177"/>
      <c r="N71" s="178">
        <v>786</v>
      </c>
      <c r="O71" s="177">
        <v>5.8202657999999996</v>
      </c>
      <c r="P71" s="177">
        <v>7.0644931</v>
      </c>
      <c r="R71" s="184">
        <v>8776</v>
      </c>
      <c r="S71" s="177">
        <v>64.985562999999999</v>
      </c>
      <c r="T71" s="177">
        <v>75.168965</v>
      </c>
      <c r="U71" s="177"/>
      <c r="V71" s="178">
        <v>14074</v>
      </c>
      <c r="W71" s="177">
        <v>104.21681956095055</v>
      </c>
      <c r="X71" s="177">
        <v>132.85311690000003</v>
      </c>
      <c r="Y71" s="177"/>
      <c r="Z71" s="178">
        <v>110822</v>
      </c>
      <c r="AA71" s="177">
        <v>820.62784999999997</v>
      </c>
      <c r="AB71" s="177">
        <v>1223.3342</v>
      </c>
    </row>
    <row r="72" spans="1:28" s="165" customFormat="1" ht="15" customHeight="1" x14ac:dyDescent="0.2">
      <c r="A72" s="182">
        <v>1974</v>
      </c>
      <c r="B72" s="184">
        <v>62533</v>
      </c>
      <c r="C72" s="177">
        <v>455.69448999999997</v>
      </c>
      <c r="D72" s="177">
        <v>734.48265000000004</v>
      </c>
      <c r="E72" s="177"/>
      <c r="F72" s="178">
        <v>20081</v>
      </c>
      <c r="G72" s="177">
        <v>146.33555000000001</v>
      </c>
      <c r="H72" s="177">
        <v>202.28305</v>
      </c>
      <c r="I72" s="177"/>
      <c r="J72" s="184">
        <v>8799</v>
      </c>
      <c r="K72" s="177">
        <v>64.120637000000002</v>
      </c>
      <c r="L72" s="177">
        <v>98.906840000000003</v>
      </c>
      <c r="M72" s="177"/>
      <c r="N72" s="178">
        <v>767</v>
      </c>
      <c r="O72" s="177">
        <v>5.5893316000000004</v>
      </c>
      <c r="P72" s="177">
        <v>6.7414893999999999</v>
      </c>
      <c r="R72" s="184">
        <v>8888</v>
      </c>
      <c r="S72" s="177">
        <v>64.769204000000002</v>
      </c>
      <c r="T72" s="177">
        <v>74.485607000000002</v>
      </c>
      <c r="U72" s="177"/>
      <c r="V72" s="178">
        <v>14765</v>
      </c>
      <c r="W72" s="177">
        <v>107.59645550385565</v>
      </c>
      <c r="X72" s="177">
        <v>137.38486359999979</v>
      </c>
      <c r="Y72" s="177"/>
      <c r="Z72" s="178">
        <v>115833</v>
      </c>
      <c r="AA72" s="177">
        <v>844.10567000000003</v>
      </c>
      <c r="AB72" s="177">
        <v>1254.2845</v>
      </c>
    </row>
    <row r="73" spans="1:28" s="165" customFormat="1" ht="15" customHeight="1" x14ac:dyDescent="0.2">
      <c r="A73" s="182">
        <v>1975</v>
      </c>
      <c r="B73" s="184">
        <v>58790</v>
      </c>
      <c r="C73" s="177">
        <v>423.16289999999998</v>
      </c>
      <c r="D73" s="177">
        <v>668.31545000000006</v>
      </c>
      <c r="E73" s="177"/>
      <c r="F73" s="178">
        <v>20438</v>
      </c>
      <c r="G73" s="177">
        <v>147.11010999999999</v>
      </c>
      <c r="H73" s="177">
        <v>202.24462</v>
      </c>
      <c r="I73" s="177"/>
      <c r="J73" s="184">
        <v>7034</v>
      </c>
      <c r="K73" s="177">
        <v>50.629832</v>
      </c>
      <c r="L73" s="177">
        <v>77.643431000000007</v>
      </c>
      <c r="M73" s="177"/>
      <c r="N73" s="178">
        <v>707</v>
      </c>
      <c r="O73" s="177">
        <v>5.0888954999999996</v>
      </c>
      <c r="P73" s="177">
        <v>6.3544377000000001</v>
      </c>
      <c r="R73" s="184">
        <v>8713</v>
      </c>
      <c r="S73" s="177">
        <v>62.715058999999997</v>
      </c>
      <c r="T73" s="177">
        <v>71.684528</v>
      </c>
      <c r="U73" s="177"/>
      <c r="V73" s="178">
        <v>13339</v>
      </c>
      <c r="W73" s="177">
        <v>96.012414889662026</v>
      </c>
      <c r="X73" s="177">
        <v>122.68453329999988</v>
      </c>
      <c r="Y73" s="177"/>
      <c r="Z73" s="178">
        <v>109021</v>
      </c>
      <c r="AA73" s="177">
        <v>784.71920999999998</v>
      </c>
      <c r="AB73" s="177">
        <v>1148.9269999999999</v>
      </c>
    </row>
    <row r="74" spans="1:28" s="165" customFormat="1" ht="15" customHeight="1" x14ac:dyDescent="0.2">
      <c r="A74" s="182">
        <v>1976</v>
      </c>
      <c r="B74" s="184">
        <v>60202</v>
      </c>
      <c r="C74" s="177">
        <v>429.00053000000003</v>
      </c>
      <c r="D74" s="177">
        <v>667.45762000000002</v>
      </c>
      <c r="E74" s="177"/>
      <c r="F74" s="178">
        <v>21122</v>
      </c>
      <c r="G74" s="177">
        <v>150.51575</v>
      </c>
      <c r="H74" s="177">
        <v>203.66729000000001</v>
      </c>
      <c r="I74" s="177"/>
      <c r="J74" s="184">
        <v>8789</v>
      </c>
      <c r="K74" s="177">
        <v>62.630571000000003</v>
      </c>
      <c r="L74" s="177">
        <v>95.876904999999994</v>
      </c>
      <c r="M74" s="177"/>
      <c r="N74" s="178">
        <v>652</v>
      </c>
      <c r="O74" s="177">
        <v>4.6461636000000004</v>
      </c>
      <c r="P74" s="177">
        <v>5.8088284000000003</v>
      </c>
      <c r="R74" s="184">
        <v>8484</v>
      </c>
      <c r="S74" s="177">
        <v>60.457135000000001</v>
      </c>
      <c r="T74" s="177">
        <v>69.167126999999994</v>
      </c>
      <c r="U74" s="177"/>
      <c r="V74" s="178">
        <v>13413</v>
      </c>
      <c r="W74" s="177">
        <v>95.581277471244192</v>
      </c>
      <c r="X74" s="177">
        <v>121.79292959999998</v>
      </c>
      <c r="Y74" s="177"/>
      <c r="Z74" s="178">
        <v>112662</v>
      </c>
      <c r="AA74" s="177">
        <v>802.83141999999998</v>
      </c>
      <c r="AB74" s="177">
        <v>1163.7707</v>
      </c>
    </row>
    <row r="75" spans="1:28" s="165" customFormat="1" ht="15" customHeight="1" x14ac:dyDescent="0.2">
      <c r="A75" s="182">
        <v>1977</v>
      </c>
      <c r="B75" s="184">
        <v>57687</v>
      </c>
      <c r="C75" s="177">
        <v>406.46877999999998</v>
      </c>
      <c r="D75" s="177">
        <v>622.60906</v>
      </c>
      <c r="E75" s="177"/>
      <c r="F75" s="178">
        <v>21464</v>
      </c>
      <c r="G75" s="177">
        <v>151.23764</v>
      </c>
      <c r="H75" s="177">
        <v>202.44152</v>
      </c>
      <c r="I75" s="177"/>
      <c r="J75" s="184">
        <v>7297</v>
      </c>
      <c r="K75" s="177">
        <v>51.415443000000003</v>
      </c>
      <c r="L75" s="177">
        <v>77.742649</v>
      </c>
      <c r="M75" s="177"/>
      <c r="N75" s="178">
        <v>613</v>
      </c>
      <c r="O75" s="177">
        <v>4.3192636000000002</v>
      </c>
      <c r="P75" s="177">
        <v>5.3605337000000004</v>
      </c>
      <c r="R75" s="184">
        <v>8713</v>
      </c>
      <c r="S75" s="177">
        <v>61.392730999999998</v>
      </c>
      <c r="T75" s="177">
        <v>68.802892999999997</v>
      </c>
      <c r="U75" s="177"/>
      <c r="V75" s="178">
        <v>13016</v>
      </c>
      <c r="W75" s="177">
        <v>91.712129323685048</v>
      </c>
      <c r="X75" s="177">
        <v>118.18084429999999</v>
      </c>
      <c r="Y75" s="177"/>
      <c r="Z75" s="178">
        <v>108790</v>
      </c>
      <c r="AA75" s="177">
        <v>766.54598999999996</v>
      </c>
      <c r="AB75" s="177">
        <v>1095.1375</v>
      </c>
    </row>
    <row r="76" spans="1:28" s="165" customFormat="1" ht="15" customHeight="1" x14ac:dyDescent="0.2">
      <c r="A76" s="182">
        <v>1978</v>
      </c>
      <c r="B76" s="184">
        <v>56922</v>
      </c>
      <c r="C76" s="177">
        <v>396.41332</v>
      </c>
      <c r="D76" s="177">
        <v>600.27796000000001</v>
      </c>
      <c r="E76" s="177"/>
      <c r="F76" s="178">
        <v>21988</v>
      </c>
      <c r="G76" s="177">
        <v>153.12772000000001</v>
      </c>
      <c r="H76" s="177">
        <v>203.10714999999999</v>
      </c>
      <c r="I76" s="177"/>
      <c r="J76" s="184">
        <v>7491</v>
      </c>
      <c r="K76" s="177">
        <v>52.168444999999998</v>
      </c>
      <c r="L76" s="177">
        <v>78.527248999999998</v>
      </c>
      <c r="M76" s="177"/>
      <c r="N76" s="178">
        <v>591</v>
      </c>
      <c r="O76" s="177">
        <v>4.1158124000000003</v>
      </c>
      <c r="P76" s="177">
        <v>5.1200448999999999</v>
      </c>
      <c r="R76" s="184">
        <v>8595</v>
      </c>
      <c r="S76" s="177">
        <v>59.856865999999997</v>
      </c>
      <c r="T76" s="177">
        <v>66.469716000000005</v>
      </c>
      <c r="U76" s="177"/>
      <c r="V76" s="178">
        <v>12838</v>
      </c>
      <c r="W76" s="177">
        <v>89.405752596496129</v>
      </c>
      <c r="X76" s="177">
        <v>114.88378009999997</v>
      </c>
      <c r="Y76" s="177"/>
      <c r="Z76" s="178">
        <v>108425</v>
      </c>
      <c r="AA76" s="177">
        <v>755.08792000000005</v>
      </c>
      <c r="AB76" s="177">
        <v>1068.3859</v>
      </c>
    </row>
    <row r="77" spans="1:28" s="165" customFormat="1" ht="15" customHeight="1" x14ac:dyDescent="0.2">
      <c r="A77" s="182">
        <v>1979</v>
      </c>
      <c r="B77" s="184">
        <v>55562</v>
      </c>
      <c r="C77" s="177">
        <v>382.77098999999998</v>
      </c>
      <c r="D77" s="177">
        <v>572.85950000000003</v>
      </c>
      <c r="E77" s="177"/>
      <c r="F77" s="178">
        <v>22356</v>
      </c>
      <c r="G77" s="177">
        <v>154.01223999999999</v>
      </c>
      <c r="H77" s="177">
        <v>202.76718</v>
      </c>
      <c r="I77" s="177"/>
      <c r="J77" s="184">
        <v>7174</v>
      </c>
      <c r="K77" s="177">
        <v>49.422251000000003</v>
      </c>
      <c r="L77" s="177">
        <v>73.263765000000006</v>
      </c>
      <c r="M77" s="177"/>
      <c r="N77" s="178">
        <v>503</v>
      </c>
      <c r="O77" s="177">
        <v>3.4652066000000001</v>
      </c>
      <c r="P77" s="177">
        <v>4.3077205999999997</v>
      </c>
      <c r="R77" s="184">
        <v>8472</v>
      </c>
      <c r="S77" s="177">
        <v>58.364274999999999</v>
      </c>
      <c r="T77" s="177">
        <v>64.606480000000005</v>
      </c>
      <c r="U77" s="177"/>
      <c r="V77" s="178">
        <v>12501</v>
      </c>
      <c r="W77" s="177">
        <v>86.120373286109157</v>
      </c>
      <c r="X77" s="177">
        <v>112.24115439999991</v>
      </c>
      <c r="Y77" s="177"/>
      <c r="Z77" s="178">
        <v>106568</v>
      </c>
      <c r="AA77" s="177">
        <v>734.15534000000002</v>
      </c>
      <c r="AB77" s="177">
        <v>1030.0458000000001</v>
      </c>
    </row>
    <row r="78" spans="1:28" s="165" customFormat="1" ht="15" customHeight="1" x14ac:dyDescent="0.2">
      <c r="A78" s="182">
        <v>1980</v>
      </c>
      <c r="B78" s="184">
        <v>55767</v>
      </c>
      <c r="C78" s="177">
        <v>379.48723000000001</v>
      </c>
      <c r="D78" s="177">
        <v>560.43898000000002</v>
      </c>
      <c r="E78" s="177"/>
      <c r="F78" s="178">
        <v>23561</v>
      </c>
      <c r="G78" s="177">
        <v>160.32955999999999</v>
      </c>
      <c r="H78" s="177">
        <v>208.22989000000001</v>
      </c>
      <c r="I78" s="177"/>
      <c r="J78" s="184">
        <v>7429</v>
      </c>
      <c r="K78" s="177">
        <v>50.553386000000003</v>
      </c>
      <c r="L78" s="177">
        <v>73.408466000000004</v>
      </c>
      <c r="M78" s="177"/>
      <c r="N78" s="178">
        <v>527</v>
      </c>
      <c r="O78" s="177">
        <v>3.5861668999999998</v>
      </c>
      <c r="P78" s="177">
        <v>4.6531525</v>
      </c>
      <c r="R78" s="184">
        <v>8252</v>
      </c>
      <c r="S78" s="177">
        <v>56.153793999999998</v>
      </c>
      <c r="T78" s="177">
        <v>61.324399</v>
      </c>
      <c r="U78" s="177"/>
      <c r="V78" s="178">
        <v>13159</v>
      </c>
      <c r="W78" s="177">
        <v>89.545295806375833</v>
      </c>
      <c r="X78" s="177">
        <v>117.32721250000009</v>
      </c>
      <c r="Y78" s="177"/>
      <c r="Z78" s="178">
        <v>108695</v>
      </c>
      <c r="AA78" s="177">
        <v>739.65544</v>
      </c>
      <c r="AB78" s="177">
        <v>1025.3821</v>
      </c>
    </row>
    <row r="79" spans="1:28" s="165" customFormat="1" ht="15" customHeight="1" x14ac:dyDescent="0.2">
      <c r="A79" s="182">
        <v>1981</v>
      </c>
      <c r="B79" s="184">
        <v>56045</v>
      </c>
      <c r="C79" s="177">
        <v>375.55466999999999</v>
      </c>
      <c r="D79" s="177">
        <v>546.75663999999995</v>
      </c>
      <c r="E79" s="177"/>
      <c r="F79" s="178">
        <v>24039</v>
      </c>
      <c r="G79" s="177">
        <v>161.08411000000001</v>
      </c>
      <c r="H79" s="177">
        <v>207.20633000000001</v>
      </c>
      <c r="I79" s="177"/>
      <c r="J79" s="184">
        <v>7335</v>
      </c>
      <c r="K79" s="177">
        <v>49.151459000000003</v>
      </c>
      <c r="L79" s="177">
        <v>70.235062999999997</v>
      </c>
      <c r="M79" s="177"/>
      <c r="N79" s="178">
        <v>545</v>
      </c>
      <c r="O79" s="177">
        <v>3.6520171000000001</v>
      </c>
      <c r="P79" s="177">
        <v>4.6748655000000001</v>
      </c>
      <c r="R79" s="184">
        <v>7887</v>
      </c>
      <c r="S79" s="177">
        <v>52.850383000000001</v>
      </c>
      <c r="T79" s="177">
        <v>57.887298000000001</v>
      </c>
      <c r="U79" s="177"/>
      <c r="V79" s="178">
        <v>13152</v>
      </c>
      <c r="W79" s="177">
        <v>88.130877569646316</v>
      </c>
      <c r="X79" s="177">
        <v>114.48040350000008</v>
      </c>
      <c r="Y79" s="177"/>
      <c r="Z79" s="178">
        <v>109003</v>
      </c>
      <c r="AA79" s="177">
        <v>730.42350999999996</v>
      </c>
      <c r="AB79" s="177">
        <v>1001.2406</v>
      </c>
    </row>
    <row r="80" spans="1:28" s="165" customFormat="1" ht="15" customHeight="1" x14ac:dyDescent="0.2">
      <c r="A80" s="182">
        <v>1982</v>
      </c>
      <c r="B80" s="184">
        <v>57686</v>
      </c>
      <c r="C80" s="177">
        <v>379.90688999999998</v>
      </c>
      <c r="D80" s="177">
        <v>548.08258000000001</v>
      </c>
      <c r="E80" s="177"/>
      <c r="F80" s="178">
        <v>25153</v>
      </c>
      <c r="G80" s="177">
        <v>165.65194</v>
      </c>
      <c r="H80" s="177">
        <v>210.82795999999999</v>
      </c>
      <c r="I80" s="177"/>
      <c r="J80" s="184">
        <v>8910</v>
      </c>
      <c r="K80" s="177">
        <v>58.679234999999998</v>
      </c>
      <c r="L80" s="177">
        <v>83.837661999999995</v>
      </c>
      <c r="M80" s="177"/>
      <c r="N80" s="178">
        <v>537</v>
      </c>
      <c r="O80" s="177">
        <v>3.5365600000000001</v>
      </c>
      <c r="P80" s="177">
        <v>4.5603943999999998</v>
      </c>
      <c r="R80" s="184">
        <v>8294</v>
      </c>
      <c r="S80" s="177">
        <v>54.622399000000001</v>
      </c>
      <c r="T80" s="177">
        <v>59.071466000000001</v>
      </c>
      <c r="U80" s="177"/>
      <c r="V80" s="178">
        <v>14191</v>
      </c>
      <c r="W80" s="177">
        <v>93.458700981352578</v>
      </c>
      <c r="X80" s="177">
        <v>121.05263760000014</v>
      </c>
      <c r="Y80" s="177"/>
      <c r="Z80" s="178">
        <v>114771</v>
      </c>
      <c r="AA80" s="177">
        <v>755.85572000000002</v>
      </c>
      <c r="AB80" s="177">
        <v>1027.4327000000001</v>
      </c>
    </row>
    <row r="81" spans="1:28" s="165" customFormat="1" ht="15" customHeight="1" x14ac:dyDescent="0.2">
      <c r="A81" s="182">
        <v>1983</v>
      </c>
      <c r="B81" s="184">
        <v>54661</v>
      </c>
      <c r="C81" s="177">
        <v>355.09208000000001</v>
      </c>
      <c r="D81" s="177">
        <v>503.01702</v>
      </c>
      <c r="E81" s="177"/>
      <c r="F81" s="178">
        <v>25845</v>
      </c>
      <c r="G81" s="177">
        <v>167.89585</v>
      </c>
      <c r="H81" s="177">
        <v>211.17317</v>
      </c>
      <c r="I81" s="177"/>
      <c r="J81" s="184">
        <v>7776</v>
      </c>
      <c r="K81" s="177">
        <v>50.514919999999996</v>
      </c>
      <c r="L81" s="177">
        <v>70.413162999999997</v>
      </c>
      <c r="M81" s="177"/>
      <c r="N81" s="178">
        <v>575</v>
      </c>
      <c r="O81" s="177">
        <v>3.7353496000000002</v>
      </c>
      <c r="P81" s="177">
        <v>4.8041071999999998</v>
      </c>
      <c r="R81" s="184">
        <v>7590</v>
      </c>
      <c r="S81" s="177">
        <v>49.306615000000001</v>
      </c>
      <c r="T81" s="177">
        <v>52.729761000000003</v>
      </c>
      <c r="U81" s="177"/>
      <c r="V81" s="178">
        <v>13637</v>
      </c>
      <c r="W81" s="177">
        <v>88.589500796181653</v>
      </c>
      <c r="X81" s="177">
        <v>113.89122880000002</v>
      </c>
      <c r="Y81" s="177"/>
      <c r="Z81" s="178">
        <v>110084</v>
      </c>
      <c r="AA81" s="177">
        <v>715.13431000000003</v>
      </c>
      <c r="AB81" s="177">
        <v>956.02845000000002</v>
      </c>
    </row>
    <row r="82" spans="1:28" s="165" customFormat="1" ht="15" customHeight="1" x14ac:dyDescent="0.2">
      <c r="A82" s="182">
        <v>1984</v>
      </c>
      <c r="B82" s="184">
        <v>54289</v>
      </c>
      <c r="C82" s="177">
        <v>348.46677</v>
      </c>
      <c r="D82" s="177">
        <v>484.86052999999998</v>
      </c>
      <c r="E82" s="177"/>
      <c r="F82" s="178">
        <v>26105</v>
      </c>
      <c r="G82" s="177">
        <v>167.56111000000001</v>
      </c>
      <c r="H82" s="177">
        <v>207.80761999999999</v>
      </c>
      <c r="I82" s="177"/>
      <c r="J82" s="184">
        <v>7802</v>
      </c>
      <c r="K82" s="177">
        <v>50.078978999999997</v>
      </c>
      <c r="L82" s="177">
        <v>68.292839000000001</v>
      </c>
      <c r="M82" s="177"/>
      <c r="N82" s="178">
        <v>517</v>
      </c>
      <c r="O82" s="177">
        <v>3.3184866</v>
      </c>
      <c r="P82" s="177">
        <v>4.2056582999999996</v>
      </c>
      <c r="R82" s="184">
        <v>7251</v>
      </c>
      <c r="S82" s="177">
        <v>46.542256000000002</v>
      </c>
      <c r="T82" s="177">
        <v>50.300243999999999</v>
      </c>
      <c r="U82" s="177"/>
      <c r="V82" s="178">
        <v>13950</v>
      </c>
      <c r="W82" s="177">
        <v>89.541369107431734</v>
      </c>
      <c r="X82" s="177">
        <v>114.22767870000007</v>
      </c>
      <c r="Y82" s="177"/>
      <c r="Z82" s="178">
        <v>109914</v>
      </c>
      <c r="AA82" s="177">
        <v>705.50896</v>
      </c>
      <c r="AB82" s="177">
        <v>929.69457</v>
      </c>
    </row>
    <row r="83" spans="1:28" s="165" customFormat="1" ht="15" customHeight="1" x14ac:dyDescent="0.2">
      <c r="A83" s="182">
        <v>1985</v>
      </c>
      <c r="B83" s="184">
        <v>57528</v>
      </c>
      <c r="C83" s="177">
        <v>364.37081000000001</v>
      </c>
      <c r="D83" s="177">
        <v>498.75006999999999</v>
      </c>
      <c r="E83" s="177"/>
      <c r="F83" s="178">
        <v>27948</v>
      </c>
      <c r="G83" s="177">
        <v>177.01702</v>
      </c>
      <c r="H83" s="177">
        <v>217.09456</v>
      </c>
      <c r="I83" s="177"/>
      <c r="J83" s="184">
        <v>9164</v>
      </c>
      <c r="K83" s="177">
        <v>58.042937000000002</v>
      </c>
      <c r="L83" s="177">
        <v>77.652268000000007</v>
      </c>
      <c r="M83" s="177"/>
      <c r="N83" s="178">
        <v>623</v>
      </c>
      <c r="O83" s="177">
        <v>3.9459569999999999</v>
      </c>
      <c r="P83" s="177">
        <v>4.939527</v>
      </c>
      <c r="R83" s="184">
        <v>7819</v>
      </c>
      <c r="S83" s="177">
        <v>49.523977000000002</v>
      </c>
      <c r="T83" s="177">
        <v>52.643692000000001</v>
      </c>
      <c r="U83" s="177"/>
      <c r="V83" s="178">
        <v>15726</v>
      </c>
      <c r="W83" s="177">
        <v>99.605328296020502</v>
      </c>
      <c r="X83" s="177">
        <v>125.86916299999996</v>
      </c>
      <c r="Y83" s="177"/>
      <c r="Z83" s="178">
        <v>118808</v>
      </c>
      <c r="AA83" s="177">
        <v>752.50603000000001</v>
      </c>
      <c r="AB83" s="177">
        <v>976.94928000000004</v>
      </c>
    </row>
    <row r="84" spans="1:28" s="165" customFormat="1" ht="15" customHeight="1" x14ac:dyDescent="0.2">
      <c r="A84" s="182">
        <v>1986</v>
      </c>
      <c r="B84" s="184">
        <v>55265</v>
      </c>
      <c r="C84" s="177">
        <v>345.01056999999997</v>
      </c>
      <c r="D84" s="177">
        <v>459.49364000000003</v>
      </c>
      <c r="E84" s="177"/>
      <c r="F84" s="178">
        <v>28156</v>
      </c>
      <c r="G84" s="177">
        <v>175.77341000000001</v>
      </c>
      <c r="H84" s="177">
        <v>212.20323999999999</v>
      </c>
      <c r="I84" s="177"/>
      <c r="J84" s="184">
        <v>7920</v>
      </c>
      <c r="K84" s="177">
        <v>49.443294999999999</v>
      </c>
      <c r="L84" s="177">
        <v>63.905658000000003</v>
      </c>
      <c r="M84" s="177"/>
      <c r="N84" s="178">
        <v>598</v>
      </c>
      <c r="O84" s="177">
        <v>3.7332185</v>
      </c>
      <c r="P84" s="177">
        <v>4.6575880999999999</v>
      </c>
      <c r="R84" s="184">
        <v>7828</v>
      </c>
      <c r="S84" s="177">
        <v>48.868952999999998</v>
      </c>
      <c r="T84" s="177">
        <v>51.587359999999997</v>
      </c>
      <c r="U84" s="177"/>
      <c r="V84" s="178">
        <v>15214</v>
      </c>
      <c r="W84" s="177">
        <v>94.978571450867292</v>
      </c>
      <c r="X84" s="177">
        <v>117.76989390000006</v>
      </c>
      <c r="Y84" s="177"/>
      <c r="Z84" s="178">
        <v>114981</v>
      </c>
      <c r="AA84" s="177">
        <v>717.80800999999997</v>
      </c>
      <c r="AB84" s="177">
        <v>909.61738000000003</v>
      </c>
    </row>
    <row r="85" spans="1:28" s="165" customFormat="1" ht="15" customHeight="1" x14ac:dyDescent="0.2">
      <c r="A85" s="182">
        <v>1987</v>
      </c>
      <c r="B85" s="184">
        <v>55678</v>
      </c>
      <c r="C85" s="177">
        <v>342.34156000000002</v>
      </c>
      <c r="D85" s="177">
        <v>451.42257999999998</v>
      </c>
      <c r="E85" s="177"/>
      <c r="F85" s="178">
        <v>28557</v>
      </c>
      <c r="G85" s="177">
        <v>175.58546999999999</v>
      </c>
      <c r="H85" s="177">
        <v>210.31976</v>
      </c>
      <c r="I85" s="177"/>
      <c r="J85" s="184">
        <v>8491</v>
      </c>
      <c r="K85" s="177">
        <v>52.207734000000002</v>
      </c>
      <c r="L85" s="177">
        <v>66.785773000000006</v>
      </c>
      <c r="M85" s="177"/>
      <c r="N85" s="178">
        <v>644</v>
      </c>
      <c r="O85" s="177">
        <v>3.9596962000000002</v>
      </c>
      <c r="P85" s="177">
        <v>4.8162326999999996</v>
      </c>
      <c r="R85" s="184">
        <v>8068</v>
      </c>
      <c r="S85" s="177">
        <v>49.606876999999997</v>
      </c>
      <c r="T85" s="177">
        <v>52.444721999999999</v>
      </c>
      <c r="U85" s="177"/>
      <c r="V85" s="178">
        <v>15881</v>
      </c>
      <c r="W85" s="177">
        <v>97.645862234299159</v>
      </c>
      <c r="X85" s="177">
        <v>120.86285229999999</v>
      </c>
      <c r="Y85" s="177"/>
      <c r="Z85" s="178">
        <v>117319</v>
      </c>
      <c r="AA85" s="177">
        <v>721.34720000000004</v>
      </c>
      <c r="AB85" s="177">
        <v>906.65192000000002</v>
      </c>
    </row>
    <row r="86" spans="1:28" s="165" customFormat="1" ht="15" customHeight="1" x14ac:dyDescent="0.2">
      <c r="A86" s="182">
        <v>1988</v>
      </c>
      <c r="B86" s="184">
        <v>55080</v>
      </c>
      <c r="C86" s="177">
        <v>333.16872000000001</v>
      </c>
      <c r="D86" s="177">
        <v>434.20411999999999</v>
      </c>
      <c r="E86" s="177"/>
      <c r="F86" s="178">
        <v>29887</v>
      </c>
      <c r="G86" s="177">
        <v>180.78093000000001</v>
      </c>
      <c r="H86" s="177">
        <v>214.81603000000001</v>
      </c>
      <c r="I86" s="177"/>
      <c r="J86" s="184">
        <v>9036</v>
      </c>
      <c r="K86" s="177">
        <v>54.657091000000001</v>
      </c>
      <c r="L86" s="177">
        <v>69.257718999999994</v>
      </c>
      <c r="M86" s="177"/>
      <c r="N86" s="178">
        <v>733</v>
      </c>
      <c r="O86" s="177">
        <v>4.4337812999999997</v>
      </c>
      <c r="P86" s="177">
        <v>5.4109389999999999</v>
      </c>
      <c r="R86" s="184">
        <v>8476</v>
      </c>
      <c r="S86" s="177">
        <v>51.269755000000004</v>
      </c>
      <c r="T86" s="177">
        <v>53.729269000000002</v>
      </c>
      <c r="U86" s="177"/>
      <c r="V86" s="178">
        <v>16652</v>
      </c>
      <c r="W86" s="177">
        <v>100.72486578284608</v>
      </c>
      <c r="X86" s="177">
        <v>123.761663</v>
      </c>
      <c r="Y86" s="177"/>
      <c r="Z86" s="178">
        <v>119864</v>
      </c>
      <c r="AA86" s="177">
        <v>725.03515000000004</v>
      </c>
      <c r="AB86" s="177">
        <v>901.17974000000004</v>
      </c>
    </row>
    <row r="87" spans="1:28" s="165" customFormat="1" ht="15" customHeight="1" x14ac:dyDescent="0.2">
      <c r="A87" s="182">
        <v>1989</v>
      </c>
      <c r="B87" s="184">
        <v>56829</v>
      </c>
      <c r="C87" s="177">
        <v>337.97784000000001</v>
      </c>
      <c r="D87" s="177">
        <v>436.88574999999997</v>
      </c>
      <c r="E87" s="177"/>
      <c r="F87" s="178">
        <v>30424</v>
      </c>
      <c r="G87" s="177">
        <v>180.93996999999999</v>
      </c>
      <c r="H87" s="177">
        <v>213.46627000000001</v>
      </c>
      <c r="I87" s="177"/>
      <c r="J87" s="184">
        <v>10611</v>
      </c>
      <c r="K87" s="177">
        <v>63.106563000000001</v>
      </c>
      <c r="L87" s="177">
        <v>79.868274</v>
      </c>
      <c r="M87" s="177"/>
      <c r="N87" s="178">
        <v>761</v>
      </c>
      <c r="O87" s="177">
        <v>4.5258782999999996</v>
      </c>
      <c r="P87" s="177">
        <v>5.5162130999999999</v>
      </c>
      <c r="R87" s="184">
        <v>8171</v>
      </c>
      <c r="S87" s="177">
        <v>48.595205</v>
      </c>
      <c r="T87" s="177">
        <v>51.049410000000002</v>
      </c>
      <c r="U87" s="177"/>
      <c r="V87" s="178">
        <v>17436</v>
      </c>
      <c r="W87" s="177">
        <v>103.69673261325283</v>
      </c>
      <c r="X87" s="177">
        <v>126.98539289999997</v>
      </c>
      <c r="Y87" s="177"/>
      <c r="Z87" s="178">
        <v>124232</v>
      </c>
      <c r="AA87" s="177">
        <v>738.84218999999996</v>
      </c>
      <c r="AB87" s="177">
        <v>913.77130999999997</v>
      </c>
    </row>
    <row r="88" spans="1:28" s="165" customFormat="1" ht="15" customHeight="1" x14ac:dyDescent="0.2">
      <c r="A88" s="182">
        <v>1990</v>
      </c>
      <c r="B88" s="184">
        <v>54285</v>
      </c>
      <c r="C88" s="177">
        <v>318.10485</v>
      </c>
      <c r="D88" s="177">
        <v>406.06446999999997</v>
      </c>
      <c r="E88" s="177"/>
      <c r="F88" s="178">
        <v>30744</v>
      </c>
      <c r="G88" s="177">
        <v>180.15687</v>
      </c>
      <c r="H88" s="177">
        <v>210.94152</v>
      </c>
      <c r="I88" s="177"/>
      <c r="J88" s="184">
        <v>9001</v>
      </c>
      <c r="K88" s="177">
        <v>52.744990000000001</v>
      </c>
      <c r="L88" s="177">
        <v>65.661941999999996</v>
      </c>
      <c r="M88" s="177"/>
      <c r="N88" s="178">
        <v>803</v>
      </c>
      <c r="O88" s="177">
        <v>4.7055024000000003</v>
      </c>
      <c r="P88" s="177">
        <v>5.6466792999999997</v>
      </c>
      <c r="R88" s="184">
        <v>7935</v>
      </c>
      <c r="S88" s="177">
        <v>46.498333000000002</v>
      </c>
      <c r="T88" s="177">
        <v>48.664642999999998</v>
      </c>
      <c r="U88" s="177"/>
      <c r="V88" s="178">
        <v>17292</v>
      </c>
      <c r="W88" s="177">
        <v>101.32944798304472</v>
      </c>
      <c r="X88" s="177">
        <v>122.45900570000015</v>
      </c>
      <c r="Y88" s="177"/>
      <c r="Z88" s="178">
        <v>120060</v>
      </c>
      <c r="AA88" s="177">
        <v>703.53998999999999</v>
      </c>
      <c r="AB88" s="177">
        <v>859.43826000000001</v>
      </c>
    </row>
    <row r="89" spans="1:28" s="165" customFormat="1" ht="15" customHeight="1" x14ac:dyDescent="0.2">
      <c r="A89" s="182">
        <v>1991</v>
      </c>
      <c r="B89" s="184">
        <v>53010</v>
      </c>
      <c r="C89" s="177">
        <v>306.69920000000002</v>
      </c>
      <c r="D89" s="177">
        <v>384.29559999999998</v>
      </c>
      <c r="E89" s="177"/>
      <c r="F89" s="178">
        <v>31609</v>
      </c>
      <c r="G89" s="177">
        <v>182.87974</v>
      </c>
      <c r="H89" s="177">
        <v>211.51365999999999</v>
      </c>
      <c r="I89" s="177"/>
      <c r="J89" s="184">
        <v>8906</v>
      </c>
      <c r="K89" s="177">
        <v>51.527316999999996</v>
      </c>
      <c r="L89" s="177">
        <v>62.871395</v>
      </c>
      <c r="M89" s="177"/>
      <c r="N89" s="178">
        <v>830</v>
      </c>
      <c r="O89" s="177">
        <v>4.8021190999999996</v>
      </c>
      <c r="P89" s="177">
        <v>5.6848460999999997</v>
      </c>
      <c r="R89" s="184">
        <v>7703</v>
      </c>
      <c r="S89" s="177">
        <v>44.567137000000002</v>
      </c>
      <c r="T89" s="177">
        <v>46.337569999999999</v>
      </c>
      <c r="U89" s="177"/>
      <c r="V89" s="178">
        <v>17088</v>
      </c>
      <c r="W89" s="177">
        <v>98.865797317246972</v>
      </c>
      <c r="X89" s="177">
        <v>117.96127890000002</v>
      </c>
      <c r="Y89" s="177"/>
      <c r="Z89" s="178">
        <v>119146</v>
      </c>
      <c r="AA89" s="177">
        <v>689.34131000000002</v>
      </c>
      <c r="AB89" s="177">
        <v>828.66435000000001</v>
      </c>
    </row>
    <row r="90" spans="1:28" s="165" customFormat="1" ht="15" customHeight="1" x14ac:dyDescent="0.2">
      <c r="A90" s="182">
        <v>1992</v>
      </c>
      <c r="B90" s="184">
        <v>54912</v>
      </c>
      <c r="C90" s="177">
        <v>314.16640999999998</v>
      </c>
      <c r="D90" s="177">
        <v>386.45814000000001</v>
      </c>
      <c r="E90" s="177"/>
      <c r="F90" s="178">
        <v>32405</v>
      </c>
      <c r="G90" s="177">
        <v>185.39777000000001</v>
      </c>
      <c r="H90" s="177">
        <v>211.96439000000001</v>
      </c>
      <c r="I90" s="177"/>
      <c r="J90" s="184">
        <v>10068</v>
      </c>
      <c r="K90" s="177">
        <v>57.601751999999998</v>
      </c>
      <c r="L90" s="177">
        <v>69.326560999999998</v>
      </c>
      <c r="M90" s="177"/>
      <c r="N90" s="178">
        <v>894</v>
      </c>
      <c r="O90" s="177">
        <v>5.1148159</v>
      </c>
      <c r="P90" s="177">
        <v>6.0032576999999998</v>
      </c>
      <c r="R90" s="184">
        <v>7489</v>
      </c>
      <c r="S90" s="177">
        <v>42.846595000000001</v>
      </c>
      <c r="T90" s="177">
        <v>44.481434</v>
      </c>
      <c r="U90" s="177"/>
      <c r="V90" s="178">
        <v>17892</v>
      </c>
      <c r="W90" s="177">
        <v>102.36497300847579</v>
      </c>
      <c r="X90" s="177">
        <v>120.20146729999999</v>
      </c>
      <c r="Y90" s="177"/>
      <c r="Z90" s="178">
        <v>123660</v>
      </c>
      <c r="AA90" s="177">
        <v>707.49231999999995</v>
      </c>
      <c r="AB90" s="177">
        <v>838.43525</v>
      </c>
    </row>
    <row r="91" spans="1:28" s="165" customFormat="1" ht="15" customHeight="1" x14ac:dyDescent="0.2">
      <c r="A91" s="182">
        <v>1993</v>
      </c>
      <c r="B91" s="184">
        <v>53240</v>
      </c>
      <c r="C91" s="177">
        <v>301.90291999999999</v>
      </c>
      <c r="D91" s="177">
        <v>362.94074000000001</v>
      </c>
      <c r="E91" s="177"/>
      <c r="F91" s="178">
        <v>33176</v>
      </c>
      <c r="G91" s="177">
        <v>188.12792999999999</v>
      </c>
      <c r="H91" s="177">
        <v>212.21686</v>
      </c>
      <c r="I91" s="177"/>
      <c r="J91" s="184">
        <v>9245</v>
      </c>
      <c r="K91" s="177">
        <v>52.424726999999997</v>
      </c>
      <c r="L91" s="177">
        <v>61.515985000000001</v>
      </c>
      <c r="M91" s="177"/>
      <c r="N91" s="178">
        <v>933</v>
      </c>
      <c r="O91" s="177">
        <v>5.2906728999999997</v>
      </c>
      <c r="P91" s="177">
        <v>6.1496626000000001</v>
      </c>
      <c r="R91" s="184">
        <v>7021</v>
      </c>
      <c r="S91" s="177">
        <v>39.813305999999997</v>
      </c>
      <c r="T91" s="177">
        <v>41.000008000000001</v>
      </c>
      <c r="U91" s="177"/>
      <c r="V91" s="178">
        <v>17984</v>
      </c>
      <c r="W91" s="177">
        <v>101.98012929882763</v>
      </c>
      <c r="X91" s="177">
        <v>117.87389439999993</v>
      </c>
      <c r="Y91" s="177"/>
      <c r="Z91" s="178">
        <v>121599</v>
      </c>
      <c r="AA91" s="177">
        <v>689.53968999999995</v>
      </c>
      <c r="AB91" s="177">
        <v>801.69714999999997</v>
      </c>
    </row>
    <row r="92" spans="1:28" s="165" customFormat="1" ht="15" customHeight="1" x14ac:dyDescent="0.2">
      <c r="A92" s="182">
        <v>1994</v>
      </c>
      <c r="B92" s="184">
        <v>54888</v>
      </c>
      <c r="C92" s="177">
        <v>308.26485000000002</v>
      </c>
      <c r="D92" s="177">
        <v>363.70558</v>
      </c>
      <c r="E92" s="177"/>
      <c r="F92" s="178">
        <v>34206</v>
      </c>
      <c r="G92" s="177">
        <v>192.10953000000001</v>
      </c>
      <c r="H92" s="177">
        <v>213.55923999999999</v>
      </c>
      <c r="I92" s="177"/>
      <c r="J92" s="184">
        <v>9958</v>
      </c>
      <c r="K92" s="177">
        <v>55.926639999999999</v>
      </c>
      <c r="L92" s="177">
        <v>64.632887999999994</v>
      </c>
      <c r="M92" s="177"/>
      <c r="N92" s="178">
        <v>1042</v>
      </c>
      <c r="O92" s="177">
        <v>5.8521349000000003</v>
      </c>
      <c r="P92" s="177">
        <v>6.601801</v>
      </c>
      <c r="R92" s="184">
        <v>7189</v>
      </c>
      <c r="S92" s="177">
        <v>40.375238000000003</v>
      </c>
      <c r="T92" s="177">
        <v>41.719976000000003</v>
      </c>
      <c r="U92" s="177"/>
      <c r="V92" s="178">
        <v>19409</v>
      </c>
      <c r="W92" s="177">
        <v>109.00584022840624</v>
      </c>
      <c r="X92" s="177">
        <v>124.49648500000001</v>
      </c>
      <c r="Y92" s="177"/>
      <c r="Z92" s="178">
        <v>126692</v>
      </c>
      <c r="AA92" s="177">
        <v>711.53422999999998</v>
      </c>
      <c r="AB92" s="177">
        <v>814.71596999999997</v>
      </c>
    </row>
    <row r="93" spans="1:28" s="165" customFormat="1" ht="15" customHeight="1" x14ac:dyDescent="0.2">
      <c r="A93" s="182">
        <v>1995</v>
      </c>
      <c r="B93" s="184">
        <v>53407</v>
      </c>
      <c r="C93" s="177">
        <v>296.62509999999997</v>
      </c>
      <c r="D93" s="177">
        <v>342.46005000000002</v>
      </c>
      <c r="E93" s="177"/>
      <c r="F93" s="178">
        <v>34368</v>
      </c>
      <c r="G93" s="177">
        <v>190.88156000000001</v>
      </c>
      <c r="H93" s="177">
        <v>209.56629000000001</v>
      </c>
      <c r="I93" s="177"/>
      <c r="J93" s="184">
        <v>9431</v>
      </c>
      <c r="K93" s="177">
        <v>52.380237999999999</v>
      </c>
      <c r="L93" s="177">
        <v>59.233156000000001</v>
      </c>
      <c r="M93" s="177"/>
      <c r="N93" s="178">
        <v>1070</v>
      </c>
      <c r="O93" s="177">
        <v>5.9428326</v>
      </c>
      <c r="P93" s="177">
        <v>6.6411854999999997</v>
      </c>
      <c r="R93" s="184">
        <v>7414</v>
      </c>
      <c r="S93" s="177">
        <v>41.177720999999998</v>
      </c>
      <c r="T93" s="177">
        <v>42.173515999999999</v>
      </c>
      <c r="U93" s="177"/>
      <c r="V93" s="178">
        <v>19443</v>
      </c>
      <c r="W93" s="177">
        <v>107.98737809000914</v>
      </c>
      <c r="X93" s="177">
        <v>121.13329250000004</v>
      </c>
      <c r="Y93" s="177"/>
      <c r="Z93" s="178">
        <v>125133</v>
      </c>
      <c r="AA93" s="177">
        <v>694.99483999999995</v>
      </c>
      <c r="AB93" s="177">
        <v>781.20749000000001</v>
      </c>
    </row>
    <row r="94" spans="1:28" s="165" customFormat="1" ht="15" customHeight="1" x14ac:dyDescent="0.2">
      <c r="A94" s="182">
        <v>1996</v>
      </c>
      <c r="B94" s="184">
        <v>53990</v>
      </c>
      <c r="C94" s="177">
        <v>296.24520999999999</v>
      </c>
      <c r="D94" s="177">
        <v>334.90377000000001</v>
      </c>
      <c r="E94" s="177"/>
      <c r="F94" s="178">
        <v>35252</v>
      </c>
      <c r="G94" s="177">
        <v>193.42908</v>
      </c>
      <c r="H94" s="177">
        <v>209.80670000000001</v>
      </c>
      <c r="I94" s="177"/>
      <c r="J94" s="184">
        <v>10294</v>
      </c>
      <c r="K94" s="177">
        <v>56.483575000000002</v>
      </c>
      <c r="L94" s="177">
        <v>62.994981000000003</v>
      </c>
      <c r="M94" s="177"/>
      <c r="N94" s="178">
        <v>1638</v>
      </c>
      <c r="O94" s="177">
        <v>8.9877692000000007</v>
      </c>
      <c r="P94" s="177">
        <v>9.6612722000000009</v>
      </c>
      <c r="R94" s="184">
        <v>7557</v>
      </c>
      <c r="S94" s="177">
        <v>41.465550999999998</v>
      </c>
      <c r="T94" s="177">
        <v>42.346742999999996</v>
      </c>
      <c r="U94" s="177"/>
      <c r="V94" s="178">
        <v>19988</v>
      </c>
      <c r="W94" s="177">
        <v>109.67492753130945</v>
      </c>
      <c r="X94" s="177">
        <v>121.45182380000006</v>
      </c>
      <c r="Y94" s="177"/>
      <c r="Z94" s="178">
        <v>128719</v>
      </c>
      <c r="AA94" s="177">
        <v>706.28611999999998</v>
      </c>
      <c r="AB94" s="177">
        <v>781.16529000000003</v>
      </c>
    </row>
    <row r="95" spans="1:28" s="165" customFormat="1" ht="15" customHeight="1" x14ac:dyDescent="0.2">
      <c r="A95" s="182">
        <v>1997</v>
      </c>
      <c r="B95" s="184">
        <v>53636</v>
      </c>
      <c r="C95" s="177">
        <v>291.13549999999998</v>
      </c>
      <c r="D95" s="177">
        <v>321.36299000000002</v>
      </c>
      <c r="E95" s="177"/>
      <c r="F95" s="178">
        <v>35363</v>
      </c>
      <c r="G95" s="177">
        <v>191.94989000000001</v>
      </c>
      <c r="H95" s="177">
        <v>204.64438999999999</v>
      </c>
      <c r="I95" s="177"/>
      <c r="J95" s="184">
        <v>10349</v>
      </c>
      <c r="K95" s="177">
        <v>56.174230000000001</v>
      </c>
      <c r="L95" s="177">
        <v>61.34966</v>
      </c>
      <c r="M95" s="177"/>
      <c r="N95" s="178">
        <v>1522</v>
      </c>
      <c r="O95" s="177">
        <v>8.2614000000000001</v>
      </c>
      <c r="P95" s="177">
        <v>8.8629300000000004</v>
      </c>
      <c r="R95" s="184">
        <v>7864</v>
      </c>
      <c r="S95" s="177">
        <v>42.685690000000001</v>
      </c>
      <c r="T95" s="177">
        <v>43.531660000000002</v>
      </c>
      <c r="U95" s="177"/>
      <c r="V95" s="178">
        <v>20616</v>
      </c>
      <c r="W95" s="177">
        <v>111.90337</v>
      </c>
      <c r="X95" s="177">
        <v>121.0946</v>
      </c>
      <c r="Y95" s="177"/>
      <c r="Z95" s="178">
        <v>129350</v>
      </c>
      <c r="AA95" s="177">
        <v>702.11008000000004</v>
      </c>
      <c r="AB95" s="177">
        <v>760.84622999999999</v>
      </c>
    </row>
    <row r="96" spans="1:28" s="165" customFormat="1" ht="15" customHeight="1" x14ac:dyDescent="0.2">
      <c r="A96" s="182">
        <v>1998</v>
      </c>
      <c r="B96" s="184">
        <v>51787</v>
      </c>
      <c r="C96" s="177">
        <v>278.31124999999997</v>
      </c>
      <c r="D96" s="177">
        <v>300.13896999999997</v>
      </c>
      <c r="E96" s="177"/>
      <c r="F96" s="178">
        <v>35609</v>
      </c>
      <c r="G96" s="177">
        <v>191.36821</v>
      </c>
      <c r="H96" s="177">
        <v>200.85266999999999</v>
      </c>
      <c r="I96" s="177"/>
      <c r="J96" s="184">
        <v>9614</v>
      </c>
      <c r="K96" s="177">
        <v>51.667110000000001</v>
      </c>
      <c r="L96" s="177">
        <v>55.222990000000003</v>
      </c>
      <c r="M96" s="177"/>
      <c r="N96" s="178">
        <v>1454</v>
      </c>
      <c r="O96" s="177">
        <v>7.8140200000000002</v>
      </c>
      <c r="P96" s="177">
        <v>8.2766199999999994</v>
      </c>
      <c r="R96" s="184">
        <v>8215</v>
      </c>
      <c r="S96" s="177">
        <v>44.148670000000003</v>
      </c>
      <c r="T96" s="177">
        <v>44.803510000000003</v>
      </c>
      <c r="U96" s="177"/>
      <c r="V96" s="178">
        <v>20523</v>
      </c>
      <c r="W96" s="177">
        <v>110.29374</v>
      </c>
      <c r="X96" s="177">
        <v>117.23284</v>
      </c>
      <c r="Y96" s="177"/>
      <c r="Z96" s="178">
        <v>127202</v>
      </c>
      <c r="AA96" s="177">
        <v>683.60298999999998</v>
      </c>
      <c r="AB96" s="177">
        <v>726.52760000000001</v>
      </c>
    </row>
    <row r="97" spans="1:28" s="165" customFormat="1" ht="15" customHeight="1" x14ac:dyDescent="0.2">
      <c r="A97" s="182">
        <v>1999</v>
      </c>
      <c r="B97" s="184">
        <v>51304</v>
      </c>
      <c r="C97" s="177">
        <v>272.71571</v>
      </c>
      <c r="D97" s="177">
        <v>287.22955000000002</v>
      </c>
      <c r="E97" s="177"/>
      <c r="F97" s="178">
        <v>35856</v>
      </c>
      <c r="G97" s="177">
        <v>190.59907000000001</v>
      </c>
      <c r="H97" s="177">
        <v>196.90763999999999</v>
      </c>
      <c r="I97" s="177"/>
      <c r="J97" s="184">
        <v>9614</v>
      </c>
      <c r="K97" s="177">
        <v>51.104959999999998</v>
      </c>
      <c r="L97" s="177">
        <v>53.486280000000001</v>
      </c>
      <c r="M97" s="177"/>
      <c r="N97" s="178">
        <v>1603</v>
      </c>
      <c r="O97" s="177">
        <v>8.5210399999999993</v>
      </c>
      <c r="P97" s="177">
        <v>8.8649100000000001</v>
      </c>
      <c r="R97" s="184">
        <v>8362</v>
      </c>
      <c r="S97" s="177">
        <v>44.449730000000002</v>
      </c>
      <c r="T97" s="177">
        <v>44.825220000000002</v>
      </c>
      <c r="U97" s="177"/>
      <c r="V97" s="178">
        <v>21366</v>
      </c>
      <c r="W97" s="177">
        <v>113.57485</v>
      </c>
      <c r="X97" s="177">
        <v>118.36868</v>
      </c>
      <c r="Y97" s="177"/>
      <c r="Z97" s="178">
        <v>128105</v>
      </c>
      <c r="AA97" s="177">
        <v>680.96534999999994</v>
      </c>
      <c r="AB97" s="177">
        <v>709.68227000000002</v>
      </c>
    </row>
    <row r="98" spans="1:28" s="165" customFormat="1" ht="15" customHeight="1" x14ac:dyDescent="0.2">
      <c r="A98" s="182">
        <v>2000</v>
      </c>
      <c r="B98" s="184">
        <v>49688</v>
      </c>
      <c r="C98" s="177">
        <v>261.11995999999999</v>
      </c>
      <c r="D98" s="177">
        <v>267.91494</v>
      </c>
      <c r="E98" s="177"/>
      <c r="F98" s="178">
        <v>36374</v>
      </c>
      <c r="G98" s="177">
        <v>191.15234000000001</v>
      </c>
      <c r="H98" s="177">
        <v>194.38095000000001</v>
      </c>
      <c r="I98" s="177"/>
      <c r="J98" s="184">
        <v>10907</v>
      </c>
      <c r="K98" s="177">
        <v>57.318370000000002</v>
      </c>
      <c r="L98" s="177">
        <v>58.699660000000002</v>
      </c>
      <c r="M98" s="177"/>
      <c r="N98" s="178">
        <v>1646</v>
      </c>
      <c r="O98" s="177">
        <v>8.6500500000000002</v>
      </c>
      <c r="P98" s="177">
        <v>8.8311899999999994</v>
      </c>
      <c r="R98" s="184">
        <v>8098</v>
      </c>
      <c r="S98" s="177">
        <v>42.556539999999998</v>
      </c>
      <c r="T98" s="177">
        <v>42.754240000000003</v>
      </c>
      <c r="U98" s="177"/>
      <c r="V98" s="178">
        <v>21579</v>
      </c>
      <c r="W98" s="177">
        <v>113.40178</v>
      </c>
      <c r="X98" s="177">
        <v>115.72689</v>
      </c>
      <c r="Y98" s="177"/>
      <c r="Z98" s="178">
        <v>128292</v>
      </c>
      <c r="AA98" s="177">
        <v>674.19903999999997</v>
      </c>
      <c r="AB98" s="177">
        <v>688.30787999999995</v>
      </c>
    </row>
    <row r="99" spans="1:28" s="165" customFormat="1" ht="15" customHeight="1" x14ac:dyDescent="0.2">
      <c r="A99" s="182">
        <v>2001</v>
      </c>
      <c r="B99" s="184">
        <v>49328</v>
      </c>
      <c r="C99" s="177">
        <v>255.92096000000001</v>
      </c>
      <c r="D99" s="177">
        <v>255.79011</v>
      </c>
      <c r="E99" s="177"/>
      <c r="F99" s="178">
        <v>37497</v>
      </c>
      <c r="G99" s="177">
        <v>194.53998000000001</v>
      </c>
      <c r="H99" s="177">
        <v>194.45141000000001</v>
      </c>
      <c r="I99" s="177"/>
      <c r="J99" s="184">
        <v>10626</v>
      </c>
      <c r="K99" s="177">
        <v>55.129260000000002</v>
      </c>
      <c r="L99" s="177">
        <v>55.108310000000003</v>
      </c>
      <c r="M99" s="177"/>
      <c r="N99" s="178">
        <v>1675</v>
      </c>
      <c r="O99" s="177">
        <v>8.6901499999999992</v>
      </c>
      <c r="P99" s="177">
        <v>8.6866400000000006</v>
      </c>
      <c r="R99" s="184">
        <v>7878</v>
      </c>
      <c r="S99" s="177">
        <v>40.872230000000002</v>
      </c>
      <c r="T99" s="177">
        <v>40.853450000000002</v>
      </c>
      <c r="U99" s="177"/>
      <c r="V99" s="178">
        <v>21544</v>
      </c>
      <c r="W99" s="177">
        <v>111.77346</v>
      </c>
      <c r="X99" s="177">
        <v>111.71128</v>
      </c>
      <c r="Y99" s="177"/>
      <c r="Z99" s="178">
        <v>128548</v>
      </c>
      <c r="AA99" s="177">
        <v>666.92603999999994</v>
      </c>
      <c r="AB99" s="177">
        <v>666.60119999999995</v>
      </c>
    </row>
    <row r="100" spans="1:28" s="165" customFormat="1" ht="15" customHeight="1" x14ac:dyDescent="0.2">
      <c r="A100" s="182">
        <v>2002</v>
      </c>
      <c r="B100" s="184">
        <v>50301</v>
      </c>
      <c r="C100" s="177">
        <v>258.01722999999998</v>
      </c>
      <c r="D100" s="177">
        <v>253.077</v>
      </c>
      <c r="E100" s="177"/>
      <c r="F100" s="178">
        <v>38426</v>
      </c>
      <c r="G100" s="177">
        <v>197.10482999999999</v>
      </c>
      <c r="H100" s="177">
        <v>194.36485999999999</v>
      </c>
      <c r="I100" s="177"/>
      <c r="J100" s="184">
        <v>11670</v>
      </c>
      <c r="K100" s="177">
        <v>59.860860000000002</v>
      </c>
      <c r="L100" s="177">
        <v>58.819879999999998</v>
      </c>
      <c r="M100" s="177"/>
      <c r="N100" s="178">
        <v>1790</v>
      </c>
      <c r="O100" s="177">
        <v>9.1817399999999996</v>
      </c>
      <c r="P100" s="177">
        <v>9.0373999999999999</v>
      </c>
      <c r="R100" s="184">
        <v>7822</v>
      </c>
      <c r="S100" s="177">
        <v>40.122680000000003</v>
      </c>
      <c r="T100" s="177">
        <v>39.908969999999997</v>
      </c>
      <c r="U100" s="177"/>
      <c r="V100" s="178">
        <v>23709</v>
      </c>
      <c r="W100" s="177">
        <v>121.61449</v>
      </c>
      <c r="X100" s="177">
        <v>119.55956</v>
      </c>
      <c r="Y100" s="177"/>
      <c r="Z100" s="178">
        <v>133718</v>
      </c>
      <c r="AA100" s="177">
        <v>685.90182000000004</v>
      </c>
      <c r="AB100" s="177">
        <v>674.76766999999995</v>
      </c>
    </row>
    <row r="101" spans="1:28" s="165" customFormat="1" ht="15" customHeight="1" x14ac:dyDescent="0.2">
      <c r="A101" s="182">
        <v>2003</v>
      </c>
      <c r="B101" s="184">
        <v>48837</v>
      </c>
      <c r="C101" s="177">
        <v>247.64286999999999</v>
      </c>
      <c r="D101" s="177">
        <v>239.59352000000001</v>
      </c>
      <c r="E101" s="177"/>
      <c r="F101" s="178">
        <v>38392</v>
      </c>
      <c r="G101" s="177">
        <v>194.67832000000001</v>
      </c>
      <c r="H101" s="177">
        <v>189.76891000000001</v>
      </c>
      <c r="I101" s="177"/>
      <c r="J101" s="184">
        <v>11892</v>
      </c>
      <c r="K101" s="177">
        <v>60.302010000000003</v>
      </c>
      <c r="L101" s="177">
        <v>58.455910000000003</v>
      </c>
      <c r="M101" s="177"/>
      <c r="N101" s="178">
        <v>1754</v>
      </c>
      <c r="O101" s="177">
        <v>8.89419</v>
      </c>
      <c r="P101" s="177">
        <v>8.6709800000000001</v>
      </c>
      <c r="R101" s="184">
        <v>7750</v>
      </c>
      <c r="S101" s="177">
        <v>39.298729999999999</v>
      </c>
      <c r="T101" s="177">
        <v>38.910119999999999</v>
      </c>
      <c r="U101" s="177"/>
      <c r="V101" s="178">
        <v>23671</v>
      </c>
      <c r="W101" s="177">
        <v>120.03100999999999</v>
      </c>
      <c r="X101" s="177">
        <v>116.71174000000001</v>
      </c>
      <c r="Y101" s="177"/>
      <c r="Z101" s="178">
        <v>132296</v>
      </c>
      <c r="AA101" s="177">
        <v>670.84713999999997</v>
      </c>
      <c r="AB101" s="177">
        <v>652.11117999999999</v>
      </c>
    </row>
    <row r="102" spans="1:28" s="165" customFormat="1" ht="15" customHeight="1" x14ac:dyDescent="0.2">
      <c r="A102" s="182">
        <v>2004</v>
      </c>
      <c r="B102" s="184">
        <v>47639</v>
      </c>
      <c r="C102" s="177">
        <v>238.99897000000001</v>
      </c>
      <c r="D102" s="177">
        <v>227.88518999999999</v>
      </c>
      <c r="E102" s="177"/>
      <c r="F102" s="178">
        <v>38854</v>
      </c>
      <c r="G102" s="177">
        <v>194.92571000000001</v>
      </c>
      <c r="H102" s="177">
        <v>187.85070999999999</v>
      </c>
      <c r="I102" s="177"/>
      <c r="J102" s="184">
        <v>11641</v>
      </c>
      <c r="K102" s="177">
        <v>58.40146</v>
      </c>
      <c r="L102" s="177">
        <v>55.846679999999999</v>
      </c>
      <c r="M102" s="177"/>
      <c r="N102" s="178">
        <v>1808</v>
      </c>
      <c r="O102" s="177">
        <v>9.0705100000000005</v>
      </c>
      <c r="P102" s="177">
        <v>8.7165099999999995</v>
      </c>
      <c r="R102" s="184">
        <v>7969</v>
      </c>
      <c r="S102" s="177">
        <v>39.979489999999998</v>
      </c>
      <c r="T102" s="177">
        <v>39.353990000000003</v>
      </c>
      <c r="U102" s="177"/>
      <c r="V102" s="178">
        <v>24606</v>
      </c>
      <c r="W102" s="177">
        <v>123.44526</v>
      </c>
      <c r="X102" s="177">
        <v>118.61228</v>
      </c>
      <c r="Y102" s="177"/>
      <c r="Z102" s="178">
        <v>132517</v>
      </c>
      <c r="AA102" s="177">
        <v>664.82138999999995</v>
      </c>
      <c r="AB102" s="177">
        <v>638.26535000000001</v>
      </c>
    </row>
    <row r="103" spans="1:28" s="165" customFormat="1" ht="15" customHeight="1" x14ac:dyDescent="0.2">
      <c r="A103" s="182">
        <v>2005</v>
      </c>
      <c r="B103" s="184">
        <v>46134</v>
      </c>
      <c r="C103" s="177">
        <v>228.64824999999999</v>
      </c>
      <c r="D103" s="177">
        <v>212.96825000000001</v>
      </c>
      <c r="E103" s="177"/>
      <c r="F103" s="178">
        <v>39224</v>
      </c>
      <c r="G103" s="177">
        <v>194.40107</v>
      </c>
      <c r="H103" s="177">
        <v>184.87177</v>
      </c>
      <c r="I103" s="177"/>
      <c r="J103" s="184">
        <v>10816</v>
      </c>
      <c r="K103" s="177">
        <v>53.606000000000002</v>
      </c>
      <c r="L103" s="177">
        <v>50.196820000000002</v>
      </c>
      <c r="M103" s="177"/>
      <c r="N103" s="178">
        <v>1701</v>
      </c>
      <c r="O103" s="177">
        <v>8.4304600000000001</v>
      </c>
      <c r="P103" s="177">
        <v>7.9779299999999997</v>
      </c>
      <c r="R103" s="184">
        <v>8015</v>
      </c>
      <c r="S103" s="177">
        <v>39.723750000000003</v>
      </c>
      <c r="T103" s="177">
        <v>38.806469999999997</v>
      </c>
      <c r="U103" s="177"/>
      <c r="V103" s="178">
        <v>24826</v>
      </c>
      <c r="W103" s="177">
        <v>123.04204</v>
      </c>
      <c r="X103" s="177">
        <v>115.9053</v>
      </c>
      <c r="Y103" s="177"/>
      <c r="Z103" s="178">
        <v>130716</v>
      </c>
      <c r="AA103" s="177">
        <v>647.85157000000004</v>
      </c>
      <c r="AB103" s="177">
        <v>610.72654999999997</v>
      </c>
    </row>
    <row r="104" spans="1:28" s="165" customFormat="1" ht="15" customHeight="1" x14ac:dyDescent="0.2">
      <c r="A104" s="182">
        <v>2006</v>
      </c>
      <c r="B104" s="184">
        <v>45915</v>
      </c>
      <c r="C104" s="177">
        <v>224.51262</v>
      </c>
      <c r="D104" s="177">
        <v>205.01101</v>
      </c>
      <c r="E104" s="177"/>
      <c r="F104" s="178">
        <v>39770</v>
      </c>
      <c r="G104" s="177">
        <v>194.46513999999999</v>
      </c>
      <c r="H104" s="177">
        <v>182.68791999999999</v>
      </c>
      <c r="I104" s="177"/>
      <c r="J104" s="184">
        <v>10877</v>
      </c>
      <c r="K104" s="177">
        <v>53.185749999999999</v>
      </c>
      <c r="L104" s="177">
        <v>48.918219999999998</v>
      </c>
      <c r="M104" s="177"/>
      <c r="N104" s="178">
        <v>1969</v>
      </c>
      <c r="O104" s="177">
        <v>9.62791</v>
      </c>
      <c r="P104" s="177">
        <v>8.9743399999999998</v>
      </c>
      <c r="R104" s="184">
        <v>8100</v>
      </c>
      <c r="S104" s="177">
        <v>39.606929999999998</v>
      </c>
      <c r="T104" s="177">
        <v>38.394770000000001</v>
      </c>
      <c r="U104" s="177"/>
      <c r="V104" s="178">
        <v>27129</v>
      </c>
      <c r="W104" s="177">
        <v>132.65387999999999</v>
      </c>
      <c r="X104" s="177">
        <v>122.50914</v>
      </c>
      <c r="Y104" s="177"/>
      <c r="Z104" s="178">
        <v>133760</v>
      </c>
      <c r="AA104" s="177">
        <v>654.05223000000001</v>
      </c>
      <c r="AB104" s="177">
        <v>606.49540000000002</v>
      </c>
    </row>
    <row r="105" spans="1:28" s="165" customFormat="1" ht="15" customHeight="1" x14ac:dyDescent="0.2">
      <c r="A105" s="182">
        <v>2007</v>
      </c>
      <c r="B105" s="184">
        <v>46944</v>
      </c>
      <c r="C105" s="177">
        <v>225.39299</v>
      </c>
      <c r="D105" s="177">
        <v>201.88697999999999</v>
      </c>
      <c r="E105" s="177"/>
      <c r="F105" s="178">
        <v>40330</v>
      </c>
      <c r="G105" s="177">
        <v>193.63708</v>
      </c>
      <c r="H105" s="177">
        <v>179.89649</v>
      </c>
      <c r="I105" s="177"/>
      <c r="J105" s="184">
        <v>11621</v>
      </c>
      <c r="K105" s="177">
        <v>55.796100000000003</v>
      </c>
      <c r="L105" s="177">
        <v>50.552660000000003</v>
      </c>
      <c r="M105" s="177"/>
      <c r="N105" s="178">
        <v>1858</v>
      </c>
      <c r="O105" s="177">
        <v>8.9208499999999997</v>
      </c>
      <c r="P105" s="177">
        <v>8.1696399999999993</v>
      </c>
      <c r="R105" s="184">
        <v>8225</v>
      </c>
      <c r="S105" s="177">
        <v>39.490830000000003</v>
      </c>
      <c r="T105" s="177">
        <v>38.118589999999998</v>
      </c>
      <c r="U105" s="177"/>
      <c r="V105" s="178">
        <v>28855</v>
      </c>
      <c r="W105" s="177">
        <v>138.54198</v>
      </c>
      <c r="X105" s="177">
        <v>125.67059</v>
      </c>
      <c r="Y105" s="177"/>
      <c r="Z105" s="178">
        <v>137833</v>
      </c>
      <c r="AA105" s="177">
        <v>661.77981999999997</v>
      </c>
      <c r="AB105" s="177">
        <v>604.29494999999997</v>
      </c>
    </row>
    <row r="106" spans="1:28" s="165" customFormat="1" ht="15" customHeight="1" x14ac:dyDescent="0.2">
      <c r="A106" s="182">
        <v>2008</v>
      </c>
      <c r="B106" s="184">
        <v>48696</v>
      </c>
      <c r="C106" s="177">
        <v>229.16629</v>
      </c>
      <c r="D106" s="177">
        <v>202.56679</v>
      </c>
      <c r="E106" s="177"/>
      <c r="F106" s="178">
        <v>42435</v>
      </c>
      <c r="G106" s="177">
        <v>199.70165</v>
      </c>
      <c r="H106" s="177">
        <v>184.25981999999999</v>
      </c>
      <c r="I106" s="177"/>
      <c r="J106" s="184">
        <v>11280</v>
      </c>
      <c r="K106" s="177">
        <v>53.084350000000001</v>
      </c>
      <c r="L106" s="177">
        <v>47.672739999999997</v>
      </c>
      <c r="M106" s="177"/>
      <c r="N106" s="178">
        <v>1969</v>
      </c>
      <c r="O106" s="177">
        <v>9.2662300000000002</v>
      </c>
      <c r="P106" s="177">
        <v>8.4361200000000007</v>
      </c>
      <c r="R106" s="184">
        <v>8922</v>
      </c>
      <c r="S106" s="177">
        <v>41.987470000000002</v>
      </c>
      <c r="T106" s="177">
        <v>40.178350000000002</v>
      </c>
      <c r="U106" s="177"/>
      <c r="V106" s="178">
        <v>30729</v>
      </c>
      <c r="W106" s="177">
        <v>144.61250999999999</v>
      </c>
      <c r="X106" s="177">
        <v>129.56211999999999</v>
      </c>
      <c r="Y106" s="177"/>
      <c r="Z106" s="178">
        <v>144031</v>
      </c>
      <c r="AA106" s="177">
        <v>677.81849</v>
      </c>
      <c r="AB106" s="177">
        <v>612.67593999999997</v>
      </c>
    </row>
    <row r="107" spans="1:28" s="165" customFormat="1" ht="15" customHeight="1" x14ac:dyDescent="0.2">
      <c r="A107" s="182">
        <v>2009</v>
      </c>
      <c r="B107" s="184">
        <v>46193</v>
      </c>
      <c r="C107" s="177">
        <v>212.95287999999999</v>
      </c>
      <c r="D107" s="177">
        <v>186.20318</v>
      </c>
      <c r="E107" s="177"/>
      <c r="F107" s="178">
        <v>41956</v>
      </c>
      <c r="G107" s="177">
        <v>193.42001999999999</v>
      </c>
      <c r="H107" s="177">
        <v>177.35578000000001</v>
      </c>
      <c r="I107" s="177"/>
      <c r="J107" s="184">
        <v>11040</v>
      </c>
      <c r="K107" s="177">
        <v>50.895150000000001</v>
      </c>
      <c r="L107" s="177">
        <v>45.310040000000001</v>
      </c>
      <c r="M107" s="177"/>
      <c r="N107" s="178">
        <v>1825</v>
      </c>
      <c r="O107" s="177">
        <v>8.4133700000000005</v>
      </c>
      <c r="P107" s="177">
        <v>7.6084399999999999</v>
      </c>
      <c r="R107" s="184">
        <v>9094</v>
      </c>
      <c r="S107" s="177">
        <v>41.923960000000001</v>
      </c>
      <c r="T107" s="177">
        <v>40.045769999999997</v>
      </c>
      <c r="U107" s="177"/>
      <c r="V107" s="178">
        <v>30652</v>
      </c>
      <c r="W107" s="177">
        <v>141.30780999999999</v>
      </c>
      <c r="X107" s="177">
        <v>125.43991</v>
      </c>
      <c r="Y107" s="177"/>
      <c r="Z107" s="178">
        <v>140760</v>
      </c>
      <c r="AA107" s="177">
        <v>648.91319999999996</v>
      </c>
      <c r="AB107" s="177">
        <v>581.96312999999998</v>
      </c>
    </row>
    <row r="108" spans="1:28" s="165" customFormat="1" ht="15" customHeight="1" x14ac:dyDescent="0.2">
      <c r="A108" s="182">
        <v>2010</v>
      </c>
      <c r="B108" s="184">
        <v>45467</v>
      </c>
      <c r="C108" s="177">
        <v>206.37035</v>
      </c>
      <c r="D108" s="177">
        <v>176.82126</v>
      </c>
      <c r="E108" s="177"/>
      <c r="F108" s="178">
        <v>43310</v>
      </c>
      <c r="G108" s="177">
        <v>196.57993999999999</v>
      </c>
      <c r="H108" s="177">
        <v>177.89353</v>
      </c>
      <c r="I108" s="177"/>
      <c r="J108" s="184">
        <v>11962</v>
      </c>
      <c r="K108" s="177">
        <v>54.294370000000001</v>
      </c>
      <c r="L108" s="177">
        <v>47.34104</v>
      </c>
      <c r="M108" s="177"/>
      <c r="N108" s="178">
        <v>2153</v>
      </c>
      <c r="O108" s="177">
        <v>9.7722599999999993</v>
      </c>
      <c r="P108" s="177">
        <v>8.6558499999999992</v>
      </c>
      <c r="R108" s="184">
        <v>8994</v>
      </c>
      <c r="S108" s="177">
        <v>40.822899999999997</v>
      </c>
      <c r="T108" s="177">
        <v>38.669089999999997</v>
      </c>
      <c r="U108" s="177"/>
      <c r="V108" s="178">
        <v>31516</v>
      </c>
      <c r="W108" s="177">
        <v>143.04810000000001</v>
      </c>
      <c r="X108" s="177">
        <v>124.47714000000001</v>
      </c>
      <c r="Y108" s="177"/>
      <c r="Z108" s="178">
        <v>143402</v>
      </c>
      <c r="AA108" s="177">
        <v>650.88792000000001</v>
      </c>
      <c r="AB108" s="177">
        <v>573.85792000000004</v>
      </c>
    </row>
    <row r="109" spans="1:28" s="165" customFormat="1" ht="15" customHeight="1" x14ac:dyDescent="0.2">
      <c r="A109" s="182">
        <v>2011</v>
      </c>
      <c r="B109" s="184">
        <v>45637</v>
      </c>
      <c r="C109" s="177">
        <v>204.28358</v>
      </c>
      <c r="D109" s="177">
        <v>171.64263</v>
      </c>
      <c r="E109" s="177"/>
      <c r="F109" s="178">
        <v>43732</v>
      </c>
      <c r="G109" s="177">
        <v>195.75628</v>
      </c>
      <c r="H109" s="177">
        <v>174.50523000000001</v>
      </c>
      <c r="I109" s="177"/>
      <c r="J109" s="184">
        <v>12518</v>
      </c>
      <c r="K109" s="177">
        <v>56.03396</v>
      </c>
      <c r="L109" s="177">
        <v>47.935400000000001</v>
      </c>
      <c r="M109" s="177"/>
      <c r="N109" s="178">
        <v>2399</v>
      </c>
      <c r="O109" s="177">
        <v>10.738569999999999</v>
      </c>
      <c r="P109" s="177">
        <v>9.3834999999999997</v>
      </c>
      <c r="R109" s="184">
        <v>9203</v>
      </c>
      <c r="S109" s="177">
        <v>41.195120000000003</v>
      </c>
      <c r="T109" s="177">
        <v>38.466729999999998</v>
      </c>
      <c r="U109" s="177"/>
      <c r="V109" s="178">
        <v>33482</v>
      </c>
      <c r="W109" s="177">
        <v>149.87450000000001</v>
      </c>
      <c r="X109" s="177">
        <v>128.19083000000001</v>
      </c>
      <c r="Y109" s="177"/>
      <c r="Z109" s="178">
        <v>146971</v>
      </c>
      <c r="AA109" s="177">
        <v>657.88201000000004</v>
      </c>
      <c r="AB109" s="177">
        <v>570.12432000000001</v>
      </c>
    </row>
    <row r="110" spans="1:28" s="165" customFormat="1" ht="15" customHeight="1" x14ac:dyDescent="0.2">
      <c r="A110" s="182">
        <v>2012</v>
      </c>
      <c r="B110" s="184">
        <v>44037</v>
      </c>
      <c r="C110" s="177">
        <v>193.71001999999999</v>
      </c>
      <c r="D110" s="177">
        <v>160.55733000000001</v>
      </c>
      <c r="E110" s="177"/>
      <c r="F110" s="178">
        <v>43502</v>
      </c>
      <c r="G110" s="177">
        <v>191.35666000000001</v>
      </c>
      <c r="H110" s="177">
        <v>168.72111000000001</v>
      </c>
      <c r="I110" s="177"/>
      <c r="J110" s="184">
        <v>13259</v>
      </c>
      <c r="K110" s="177">
        <v>58.323709999999998</v>
      </c>
      <c r="L110" s="177">
        <v>49.13682</v>
      </c>
      <c r="M110" s="177"/>
      <c r="N110" s="178">
        <v>2394</v>
      </c>
      <c r="O110" s="177">
        <v>10.53073</v>
      </c>
      <c r="P110" s="177">
        <v>9.0868900000000004</v>
      </c>
      <c r="R110" s="184">
        <v>9328</v>
      </c>
      <c r="S110" s="177">
        <v>41.032020000000003</v>
      </c>
      <c r="T110" s="177">
        <v>38.172260000000001</v>
      </c>
      <c r="U110" s="177"/>
      <c r="V110" s="178">
        <v>34520</v>
      </c>
      <c r="W110" s="177">
        <v>151.84663</v>
      </c>
      <c r="X110" s="177">
        <v>127.97976</v>
      </c>
      <c r="Y110" s="177"/>
      <c r="Z110" s="178">
        <v>147040</v>
      </c>
      <c r="AA110" s="177">
        <v>646.79976999999997</v>
      </c>
      <c r="AB110" s="177">
        <v>553.65417000000002</v>
      </c>
    </row>
    <row r="111" spans="1:28" s="165" customFormat="1" ht="15" customHeight="1" x14ac:dyDescent="0.2">
      <c r="A111" s="182">
        <v>2013</v>
      </c>
      <c r="B111" s="184">
        <v>43782</v>
      </c>
      <c r="C111" s="177">
        <v>189.30195000000001</v>
      </c>
      <c r="D111" s="177">
        <v>154.87144000000001</v>
      </c>
      <c r="E111" s="177"/>
      <c r="F111" s="178">
        <v>44836</v>
      </c>
      <c r="G111" s="177">
        <v>193.85917000000001</v>
      </c>
      <c r="H111" s="177">
        <v>169.11014</v>
      </c>
      <c r="I111" s="177"/>
      <c r="J111" s="184">
        <v>12515</v>
      </c>
      <c r="K111" s="177">
        <v>54.111600000000003</v>
      </c>
      <c r="L111" s="177">
        <v>45.362780000000001</v>
      </c>
      <c r="M111" s="177"/>
      <c r="N111" s="178">
        <v>2687</v>
      </c>
      <c r="O111" s="177">
        <v>11.617889999999999</v>
      </c>
      <c r="P111" s="177">
        <v>9.8453099999999996</v>
      </c>
      <c r="R111" s="184">
        <v>9240</v>
      </c>
      <c r="S111" s="177">
        <v>39.951349999999998</v>
      </c>
      <c r="T111" s="177">
        <v>37.030589999999997</v>
      </c>
      <c r="U111" s="177"/>
      <c r="V111" s="178">
        <v>35205</v>
      </c>
      <c r="W111" s="177">
        <v>152.21724</v>
      </c>
      <c r="X111" s="177">
        <v>127.01739999999999</v>
      </c>
      <c r="Y111" s="177"/>
      <c r="Z111" s="178">
        <v>148265</v>
      </c>
      <c r="AA111" s="177">
        <v>641.05921000000001</v>
      </c>
      <c r="AB111" s="177">
        <v>543.23766999999998</v>
      </c>
    </row>
    <row r="112" spans="1:28" s="165" customFormat="1" ht="15" customHeight="1" x14ac:dyDescent="0.2">
      <c r="A112" s="182">
        <v>2014</v>
      </c>
      <c r="B112" s="184">
        <v>45197</v>
      </c>
      <c r="C112" s="177">
        <v>192.52686</v>
      </c>
      <c r="D112" s="177">
        <v>155.24459999999999</v>
      </c>
      <c r="E112" s="177"/>
      <c r="F112" s="178">
        <v>44854</v>
      </c>
      <c r="G112" s="177">
        <v>191.06576999999999</v>
      </c>
      <c r="H112" s="177">
        <v>164.87013999999999</v>
      </c>
      <c r="I112" s="177"/>
      <c r="J112" s="184">
        <v>13840</v>
      </c>
      <c r="K112" s="177">
        <v>58.954610000000002</v>
      </c>
      <c r="L112" s="177">
        <v>48.631720000000001</v>
      </c>
      <c r="M112" s="177"/>
      <c r="N112" s="178">
        <v>2739</v>
      </c>
      <c r="O112" s="177">
        <v>11.667389999999999</v>
      </c>
      <c r="P112" s="177">
        <v>9.7730599999999992</v>
      </c>
      <c r="R112" s="184">
        <v>10203</v>
      </c>
      <c r="S112" s="177">
        <v>43.46199</v>
      </c>
      <c r="T112" s="177">
        <v>40.022129999999997</v>
      </c>
      <c r="U112" s="177"/>
      <c r="V112" s="178">
        <v>37207</v>
      </c>
      <c r="W112" s="177">
        <v>158.49163999999999</v>
      </c>
      <c r="X112" s="177">
        <v>130.11712</v>
      </c>
      <c r="Y112" s="177"/>
      <c r="Z112" s="178">
        <v>154040</v>
      </c>
      <c r="AA112" s="177">
        <v>656.16826000000003</v>
      </c>
      <c r="AB112" s="177">
        <v>548.65877</v>
      </c>
    </row>
    <row r="113" spans="1:28" s="165" customFormat="1" ht="15" customHeight="1" x14ac:dyDescent="0.2">
      <c r="A113" s="182">
        <v>2015</v>
      </c>
      <c r="B113" s="184">
        <v>45674</v>
      </c>
      <c r="C113" s="177">
        <v>191.77868000000001</v>
      </c>
      <c r="D113" s="177">
        <v>152.58535000000001</v>
      </c>
      <c r="E113" s="177"/>
      <c r="F113" s="178">
        <v>46640</v>
      </c>
      <c r="G113" s="177">
        <v>195.83476999999999</v>
      </c>
      <c r="H113" s="177">
        <v>167.21587</v>
      </c>
      <c r="I113" s="177"/>
      <c r="J113" s="184">
        <v>14387</v>
      </c>
      <c r="K113" s="177">
        <v>60.40898</v>
      </c>
      <c r="L113" s="177">
        <v>48.947569999999999</v>
      </c>
      <c r="M113" s="177"/>
      <c r="N113" s="178">
        <v>2859</v>
      </c>
      <c r="O113" s="177">
        <v>12.00454</v>
      </c>
      <c r="P113" s="177">
        <v>9.9988299999999999</v>
      </c>
      <c r="R113" s="184">
        <v>10681</v>
      </c>
      <c r="S113" s="177">
        <v>44.848010000000002</v>
      </c>
      <c r="T113" s="177">
        <v>41.191200000000002</v>
      </c>
      <c r="U113" s="177"/>
      <c r="V113" s="178">
        <v>38929</v>
      </c>
      <c r="W113" s="177">
        <v>163.45737</v>
      </c>
      <c r="X113" s="177">
        <v>132.56487000000001</v>
      </c>
      <c r="Y113" s="177"/>
      <c r="Z113" s="178">
        <v>159170</v>
      </c>
      <c r="AA113" s="177">
        <v>668.33235000000002</v>
      </c>
      <c r="AB113" s="177">
        <v>552.50369000000001</v>
      </c>
    </row>
    <row r="114" spans="1:28" s="165" customFormat="1" ht="15" customHeight="1" x14ac:dyDescent="0.2">
      <c r="A114" s="182">
        <v>2016</v>
      </c>
      <c r="B114" s="184">
        <v>44406</v>
      </c>
      <c r="C114" s="177">
        <v>183.56484</v>
      </c>
      <c r="D114" s="177">
        <v>144.62513999999999</v>
      </c>
      <c r="E114" s="177"/>
      <c r="F114" s="178">
        <v>46593</v>
      </c>
      <c r="G114" s="177">
        <v>192.60543000000001</v>
      </c>
      <c r="H114" s="177">
        <v>162.78561999999999</v>
      </c>
      <c r="I114" s="177"/>
      <c r="J114" s="184">
        <v>14545</v>
      </c>
      <c r="K114" s="177">
        <v>60.125900000000001</v>
      </c>
      <c r="L114" s="177">
        <v>48.127940000000002</v>
      </c>
      <c r="M114" s="177"/>
      <c r="N114" s="178">
        <v>2813</v>
      </c>
      <c r="O114" s="177">
        <v>11.62834</v>
      </c>
      <c r="P114" s="177">
        <v>9.4717400000000005</v>
      </c>
      <c r="R114" s="184">
        <v>10803</v>
      </c>
      <c r="S114" s="177">
        <v>44.65728</v>
      </c>
      <c r="T114" s="177">
        <v>40.746699999999997</v>
      </c>
      <c r="U114" s="177"/>
      <c r="V114" s="178">
        <v>40014</v>
      </c>
      <c r="W114" s="177">
        <v>165.40925999999999</v>
      </c>
      <c r="X114" s="177">
        <v>132.6146</v>
      </c>
      <c r="Y114" s="177"/>
      <c r="Z114" s="178">
        <v>159174</v>
      </c>
      <c r="AA114" s="177">
        <v>657.99104</v>
      </c>
      <c r="AB114" s="177">
        <v>538.37172999999996</v>
      </c>
    </row>
    <row r="115" spans="1:28" s="165" customFormat="1" ht="15" customHeight="1" x14ac:dyDescent="0.2">
      <c r="A115" s="182">
        <v>2017</v>
      </c>
      <c r="B115" s="184">
        <v>44201</v>
      </c>
      <c r="C115" s="177">
        <v>179.73302000000001</v>
      </c>
      <c r="D115" s="177">
        <v>140.66436999999999</v>
      </c>
      <c r="E115" s="177"/>
      <c r="F115" s="178">
        <v>46690</v>
      </c>
      <c r="G115" s="177">
        <v>189.85395</v>
      </c>
      <c r="H115" s="177">
        <v>158.01957999999999</v>
      </c>
      <c r="I115" s="177"/>
      <c r="J115" s="184">
        <v>16028</v>
      </c>
      <c r="K115" s="177">
        <v>65.174109999999999</v>
      </c>
      <c r="L115" s="177">
        <v>51.701860000000003</v>
      </c>
      <c r="M115" s="177"/>
      <c r="N115" s="178">
        <v>2628</v>
      </c>
      <c r="O115" s="177">
        <v>10.68615</v>
      </c>
      <c r="P115" s="177">
        <v>8.6217199999999998</v>
      </c>
      <c r="R115" s="184">
        <v>11088</v>
      </c>
      <c r="S115" s="177">
        <v>45.086759999999998</v>
      </c>
      <c r="T115" s="177">
        <v>41.014490000000002</v>
      </c>
      <c r="U115" s="177"/>
      <c r="V115" s="178">
        <v>41409</v>
      </c>
      <c r="W115" s="177">
        <v>168.38</v>
      </c>
      <c r="X115" s="177">
        <v>133.98750000000001</v>
      </c>
      <c r="Y115" s="177"/>
      <c r="Z115" s="178">
        <v>162044</v>
      </c>
      <c r="AA115" s="177">
        <v>658.91398000000004</v>
      </c>
      <c r="AB115" s="177">
        <v>534.00951999999995</v>
      </c>
    </row>
    <row r="116" spans="1:28" s="165" customFormat="1" ht="15" customHeight="1" x14ac:dyDescent="0.2">
      <c r="A116" s="182">
        <v>2018</v>
      </c>
      <c r="B116" s="184">
        <v>42738</v>
      </c>
      <c r="C116" s="177">
        <v>171.20361</v>
      </c>
      <c r="D116" s="177">
        <v>133.00175999999999</v>
      </c>
      <c r="E116" s="177"/>
      <c r="F116" s="178">
        <v>48245</v>
      </c>
      <c r="G116" s="177">
        <v>193.26403999999999</v>
      </c>
      <c r="H116" s="177">
        <v>159.03509</v>
      </c>
      <c r="I116" s="177"/>
      <c r="J116" s="184">
        <v>14409</v>
      </c>
      <c r="K116" s="177">
        <v>57.720829999999999</v>
      </c>
      <c r="L116" s="177">
        <v>45.265819999999998</v>
      </c>
      <c r="M116" s="177"/>
      <c r="N116" s="178">
        <v>2419</v>
      </c>
      <c r="O116" s="177">
        <v>9.6902399999999993</v>
      </c>
      <c r="P116" s="177">
        <v>7.6969599999999998</v>
      </c>
      <c r="R116" s="184">
        <v>11215</v>
      </c>
      <c r="S116" s="177">
        <v>44.926029999999997</v>
      </c>
      <c r="T116" s="177">
        <v>40.728870000000001</v>
      </c>
      <c r="U116" s="177"/>
      <c r="V116" s="178">
        <v>41071</v>
      </c>
      <c r="W116" s="177">
        <v>164.5258</v>
      </c>
      <c r="X116" s="177">
        <v>129.70667</v>
      </c>
      <c r="Y116" s="177"/>
      <c r="Z116" s="178">
        <v>160097</v>
      </c>
      <c r="AA116" s="177">
        <v>641.33055000000002</v>
      </c>
      <c r="AB116" s="177">
        <v>515.43516999999997</v>
      </c>
    </row>
    <row r="117" spans="1:28" s="165" customFormat="1" ht="15" customHeight="1" x14ac:dyDescent="0.2">
      <c r="A117" s="182">
        <v>2019</v>
      </c>
      <c r="B117" s="184">
        <v>42703</v>
      </c>
      <c r="C117" s="177">
        <v>168.55454</v>
      </c>
      <c r="D117" s="177">
        <v>129.50613000000001</v>
      </c>
      <c r="E117" s="177"/>
      <c r="F117" s="178">
        <v>49722</v>
      </c>
      <c r="G117" s="177">
        <v>196.25949</v>
      </c>
      <c r="H117" s="177">
        <v>159.16373999999999</v>
      </c>
      <c r="I117" s="177"/>
      <c r="J117" s="184">
        <v>15829</v>
      </c>
      <c r="K117" s="177">
        <v>62.479210000000002</v>
      </c>
      <c r="L117" s="177">
        <v>48.305720000000001</v>
      </c>
      <c r="M117" s="177"/>
      <c r="N117" s="178">
        <v>2520</v>
      </c>
      <c r="O117" s="177">
        <v>9.9467800000000004</v>
      </c>
      <c r="P117" s="177">
        <v>7.7433899999999998</v>
      </c>
      <c r="R117" s="184">
        <v>11602</v>
      </c>
      <c r="S117" s="177">
        <v>45.794670000000004</v>
      </c>
      <c r="T117" s="177">
        <v>41.258870000000002</v>
      </c>
      <c r="U117" s="177"/>
      <c r="V117" s="178">
        <v>44184</v>
      </c>
      <c r="W117" s="177">
        <v>174.40025</v>
      </c>
      <c r="X117" s="177">
        <v>136.04522</v>
      </c>
      <c r="Y117" s="177"/>
      <c r="Z117" s="178">
        <v>166560</v>
      </c>
      <c r="AA117" s="177">
        <v>657.43494999999996</v>
      </c>
      <c r="AB117" s="177">
        <v>522.02308000000005</v>
      </c>
    </row>
    <row r="118" spans="1:28" s="165" customFormat="1" ht="15" customHeight="1" x14ac:dyDescent="0.2">
      <c r="A118" s="182">
        <v>2020</v>
      </c>
      <c r="B118" s="184">
        <v>40688</v>
      </c>
      <c r="C118" s="177">
        <v>158.63233</v>
      </c>
      <c r="D118" s="177">
        <v>119.93074</v>
      </c>
      <c r="E118" s="177"/>
      <c r="F118" s="178">
        <v>48973</v>
      </c>
      <c r="G118" s="177">
        <v>190.93347</v>
      </c>
      <c r="H118" s="177">
        <v>151.55614</v>
      </c>
      <c r="I118" s="177"/>
      <c r="J118" s="184">
        <v>12532</v>
      </c>
      <c r="K118" s="177">
        <v>48.85913</v>
      </c>
      <c r="L118" s="177">
        <v>37.189590000000003</v>
      </c>
      <c r="M118" s="177"/>
      <c r="N118" s="178">
        <v>2307</v>
      </c>
      <c r="O118" s="177">
        <v>8.9944199999999999</v>
      </c>
      <c r="P118" s="177">
        <v>6.9096299999999999</v>
      </c>
      <c r="R118" s="184">
        <v>11603</v>
      </c>
      <c r="S118" s="177">
        <v>45.237189999999998</v>
      </c>
      <c r="T118" s="177">
        <v>40.401850000000003</v>
      </c>
      <c r="U118" s="177"/>
      <c r="V118" s="178">
        <v>45197</v>
      </c>
      <c r="W118" s="177">
        <v>176.21179000000001</v>
      </c>
      <c r="X118" s="177">
        <v>135.15011999999999</v>
      </c>
      <c r="Y118" s="177"/>
      <c r="Z118" s="178">
        <v>161300</v>
      </c>
      <c r="AA118" s="177">
        <v>628.86833999999999</v>
      </c>
      <c r="AB118" s="177">
        <v>491.13808</v>
      </c>
    </row>
    <row r="119" spans="1:28" s="165" customFormat="1" ht="15" customHeight="1" x14ac:dyDescent="0.2">
      <c r="A119" s="182">
        <v>2021</v>
      </c>
      <c r="B119" s="184">
        <v>42909</v>
      </c>
      <c r="C119" s="177">
        <v>167.05591000000001</v>
      </c>
      <c r="D119" s="177">
        <v>122.666</v>
      </c>
      <c r="E119" s="177"/>
      <c r="F119" s="178">
        <v>50694</v>
      </c>
      <c r="G119" s="177">
        <v>197.36494999999999</v>
      </c>
      <c r="H119" s="177">
        <v>152.36659</v>
      </c>
      <c r="I119" s="177"/>
      <c r="J119" s="184">
        <v>13638</v>
      </c>
      <c r="K119" s="177">
        <v>53.096290000000003</v>
      </c>
      <c r="L119" s="177">
        <v>39.221080000000001</v>
      </c>
      <c r="M119" s="177"/>
      <c r="N119" s="178">
        <v>2585</v>
      </c>
      <c r="O119" s="177">
        <v>10.064080000000001</v>
      </c>
      <c r="P119" s="177">
        <v>7.5240200000000002</v>
      </c>
      <c r="R119" s="184">
        <v>11886</v>
      </c>
      <c r="S119" s="177">
        <v>46.275289999999998</v>
      </c>
      <c r="T119" s="177">
        <v>40.397309999999997</v>
      </c>
      <c r="U119" s="177"/>
      <c r="V119" s="178">
        <v>49757</v>
      </c>
      <c r="W119" s="177">
        <v>193.71696</v>
      </c>
      <c r="X119" s="177">
        <v>144.97654</v>
      </c>
      <c r="Y119" s="177"/>
      <c r="Z119" s="178">
        <v>171469</v>
      </c>
      <c r="AA119" s="177">
        <v>667.57348000000002</v>
      </c>
      <c r="AB119" s="177">
        <v>507.15154000000001</v>
      </c>
    </row>
    <row r="120" spans="1:28" s="165" customFormat="1" ht="15" customHeight="1" x14ac:dyDescent="0.2">
      <c r="A120" s="182">
        <v>2022</v>
      </c>
      <c r="B120" s="184">
        <v>45208</v>
      </c>
      <c r="C120" s="177">
        <v>173.78067999999999</v>
      </c>
      <c r="D120" s="177">
        <v>125.79597</v>
      </c>
      <c r="E120" s="177"/>
      <c r="F120" s="178">
        <v>51951</v>
      </c>
      <c r="G120" s="177">
        <v>199.70094</v>
      </c>
      <c r="H120" s="177">
        <v>152.03129000000001</v>
      </c>
      <c r="I120" s="177"/>
      <c r="J120" s="184">
        <v>15248</v>
      </c>
      <c r="K120" s="177">
        <v>58.613689999999998</v>
      </c>
      <c r="L120" s="177">
        <v>42.683500000000002</v>
      </c>
      <c r="M120" s="177"/>
      <c r="N120" s="178">
        <v>2920</v>
      </c>
      <c r="O120" s="177">
        <v>11.224550000000001</v>
      </c>
      <c r="P120" s="177">
        <v>8.2056100000000001</v>
      </c>
      <c r="R120" s="184">
        <v>12781</v>
      </c>
      <c r="S120" s="177">
        <v>49.130479999999999</v>
      </c>
      <c r="T120" s="177">
        <v>42.374789999999997</v>
      </c>
      <c r="U120" s="177"/>
      <c r="V120" s="178">
        <v>62831</v>
      </c>
      <c r="W120" s="177">
        <v>241.52393000000001</v>
      </c>
      <c r="X120" s="177">
        <v>177.27812</v>
      </c>
      <c r="Y120" s="177"/>
      <c r="Z120" s="178">
        <v>190939</v>
      </c>
      <c r="AA120" s="177">
        <v>733.97429</v>
      </c>
      <c r="AB120" s="177">
        <v>548.36928</v>
      </c>
    </row>
    <row r="121" spans="1:28" s="165" customFormat="1" ht="15" customHeight="1" x14ac:dyDescent="0.2">
      <c r="A121" s="492">
        <v>2023</v>
      </c>
      <c r="B121" s="493">
        <v>42597</v>
      </c>
      <c r="C121" s="198">
        <v>159.822</v>
      </c>
      <c r="D121" s="198">
        <v>115.38424000000001</v>
      </c>
      <c r="E121" s="198"/>
      <c r="F121" s="494">
        <v>52348</v>
      </c>
      <c r="G121" s="198">
        <v>196.40729999999999</v>
      </c>
      <c r="H121" s="198">
        <v>149.16359</v>
      </c>
      <c r="I121" s="198"/>
      <c r="J121" s="493">
        <v>15196</v>
      </c>
      <c r="K121" s="198">
        <v>57.014699999999998</v>
      </c>
      <c r="L121" s="198">
        <v>41.380020000000002</v>
      </c>
      <c r="M121" s="198"/>
      <c r="N121" s="494">
        <v>3099</v>
      </c>
      <c r="O121" s="198">
        <v>11.62731</v>
      </c>
      <c r="P121" s="198">
        <v>8.4882100000000005</v>
      </c>
      <c r="Q121" s="491"/>
      <c r="R121" s="493">
        <v>12441</v>
      </c>
      <c r="S121" s="198">
        <v>46.678060000000002</v>
      </c>
      <c r="T121" s="198">
        <v>40.0486</v>
      </c>
      <c r="U121" s="198"/>
      <c r="V121" s="494">
        <v>57450</v>
      </c>
      <c r="W121" s="198">
        <v>215.54977</v>
      </c>
      <c r="X121" s="198">
        <v>158.27462</v>
      </c>
      <c r="Y121" s="198"/>
      <c r="Z121" s="494">
        <v>183131</v>
      </c>
      <c r="AA121" s="198">
        <v>687.09912999999995</v>
      </c>
      <c r="AB121" s="198">
        <v>512.73928000000001</v>
      </c>
    </row>
    <row r="122" spans="1:28" s="199" customFormat="1" ht="15" customHeight="1" x14ac:dyDescent="0.2">
      <c r="A122" s="300" t="s">
        <v>68</v>
      </c>
      <c r="B122" s="300" t="s">
        <v>69</v>
      </c>
      <c r="C122" s="301"/>
      <c r="D122" s="301"/>
      <c r="E122" s="214"/>
      <c r="F122" s="214"/>
      <c r="G122" s="463"/>
      <c r="H122" s="463"/>
      <c r="I122" s="214"/>
      <c r="J122" s="246"/>
      <c r="K122" s="214"/>
      <c r="L122" s="214"/>
      <c r="M122" s="463"/>
      <c r="N122" s="463"/>
      <c r="O122" s="214"/>
      <c r="P122" s="246"/>
      <c r="Q122" s="214"/>
    </row>
    <row r="123" spans="1:28" s="199" customFormat="1" ht="15" customHeight="1" x14ac:dyDescent="0.2">
      <c r="A123" s="212" t="s">
        <v>4</v>
      </c>
      <c r="B123" s="484"/>
      <c r="C123" s="214"/>
      <c r="D123" s="214"/>
      <c r="E123" s="20"/>
      <c r="F123" s="86"/>
      <c r="G123" s="20"/>
      <c r="H123" s="20"/>
      <c r="I123" s="20"/>
      <c r="J123" s="86"/>
      <c r="K123" s="88"/>
    </row>
    <row r="124" spans="1:28" s="473" customFormat="1" ht="30" customHeight="1" x14ac:dyDescent="0.2">
      <c r="A124" s="602" t="s">
        <v>35</v>
      </c>
      <c r="B124" s="605"/>
      <c r="C124" s="605"/>
      <c r="D124" s="605"/>
      <c r="E124" s="605"/>
      <c r="F124" s="605"/>
      <c r="G124" s="605"/>
      <c r="H124" s="605"/>
      <c r="I124" s="605"/>
      <c r="J124" s="605"/>
      <c r="K124" s="605"/>
      <c r="L124" s="605"/>
      <c r="M124" s="605"/>
      <c r="N124" s="605"/>
      <c r="O124" s="605"/>
      <c r="P124" s="605"/>
      <c r="Q124" s="605"/>
      <c r="R124" s="605"/>
      <c r="S124" s="605"/>
      <c r="T124" s="605"/>
      <c r="U124" s="605"/>
      <c r="V124" s="605"/>
      <c r="W124" s="605"/>
      <c r="X124" s="605"/>
      <c r="Y124" s="605"/>
      <c r="Z124" s="605"/>
      <c r="AA124" s="605"/>
      <c r="AB124" s="605"/>
    </row>
    <row r="125" spans="1:28" s="473" customFormat="1" ht="30" customHeight="1" x14ac:dyDescent="0.2">
      <c r="A125" s="602" t="s">
        <v>36</v>
      </c>
      <c r="B125" s="605"/>
      <c r="C125" s="605"/>
      <c r="D125" s="605"/>
      <c r="E125" s="605"/>
      <c r="F125" s="605"/>
      <c r="G125" s="605"/>
      <c r="H125" s="605"/>
      <c r="I125" s="605"/>
      <c r="J125" s="605"/>
      <c r="K125" s="605"/>
      <c r="L125" s="605"/>
      <c r="M125" s="605"/>
      <c r="N125" s="605"/>
      <c r="O125" s="605"/>
      <c r="P125" s="605"/>
      <c r="Q125" s="605"/>
      <c r="R125" s="605"/>
      <c r="S125" s="605"/>
      <c r="T125" s="605"/>
      <c r="U125" s="605"/>
      <c r="V125" s="605"/>
      <c r="W125" s="605"/>
      <c r="X125" s="605"/>
      <c r="Y125" s="605"/>
      <c r="Z125" s="605"/>
      <c r="AA125" s="605"/>
      <c r="AB125" s="605"/>
    </row>
    <row r="126" spans="1:28" s="473" customFormat="1" ht="41.25" customHeight="1" x14ac:dyDescent="0.2">
      <c r="A126" s="602" t="s">
        <v>608</v>
      </c>
      <c r="B126" s="605"/>
      <c r="C126" s="605"/>
      <c r="D126" s="605"/>
      <c r="E126" s="605"/>
      <c r="F126" s="605"/>
      <c r="G126" s="605"/>
      <c r="H126" s="605"/>
      <c r="I126" s="605"/>
      <c r="J126" s="605"/>
      <c r="K126" s="605"/>
      <c r="L126" s="605"/>
      <c r="M126" s="605"/>
      <c r="N126" s="605"/>
      <c r="O126" s="605"/>
      <c r="P126" s="605"/>
      <c r="Q126" s="605"/>
      <c r="R126" s="605"/>
      <c r="S126" s="605"/>
      <c r="T126" s="605"/>
      <c r="U126" s="605"/>
      <c r="V126" s="605"/>
      <c r="W126" s="605"/>
      <c r="X126" s="605"/>
      <c r="Y126" s="605"/>
      <c r="Z126" s="605"/>
      <c r="AA126" s="605"/>
      <c r="AB126" s="605"/>
    </row>
    <row r="127" spans="1:28" s="473" customFormat="1" ht="15" customHeight="1" x14ac:dyDescent="0.2">
      <c r="A127" s="617" t="s">
        <v>631</v>
      </c>
      <c r="B127" s="617"/>
      <c r="C127" s="617"/>
      <c r="D127" s="617"/>
      <c r="E127" s="617"/>
      <c r="F127" s="617"/>
      <c r="G127" s="617"/>
      <c r="H127" s="617"/>
      <c r="I127" s="617"/>
      <c r="J127" s="617"/>
      <c r="K127" s="617"/>
      <c r="L127" s="617"/>
      <c r="M127" s="617"/>
      <c r="N127" s="617"/>
      <c r="O127" s="617"/>
      <c r="P127" s="617"/>
      <c r="Q127" s="617"/>
      <c r="R127" s="617"/>
      <c r="S127" s="617"/>
      <c r="T127" s="617"/>
      <c r="U127" s="617"/>
      <c r="V127" s="617"/>
      <c r="W127" s="617"/>
      <c r="X127" s="617"/>
      <c r="Y127" s="617"/>
      <c r="Z127" s="617"/>
      <c r="AA127" s="617"/>
      <c r="AB127" s="617"/>
    </row>
    <row r="128" spans="1:28" s="473" customFormat="1" ht="15" customHeight="1" x14ac:dyDescent="0.2">
      <c r="A128" s="12" t="s">
        <v>610</v>
      </c>
      <c r="B128" s="90"/>
      <c r="C128" s="379"/>
      <c r="D128" s="379"/>
      <c r="E128" s="12"/>
      <c r="F128" s="90"/>
      <c r="G128" s="12"/>
      <c r="H128" s="12"/>
      <c r="I128" s="12"/>
      <c r="J128" s="90"/>
      <c r="K128" s="28"/>
    </row>
    <row r="129" spans="1:11" s="473" customFormat="1" ht="15" customHeight="1" x14ac:dyDescent="0.2">
      <c r="A129" s="498" t="s">
        <v>609</v>
      </c>
      <c r="B129" s="499"/>
      <c r="C129" s="379"/>
      <c r="D129" s="379"/>
      <c r="E129" s="12"/>
      <c r="F129" s="90"/>
      <c r="G129" s="12"/>
      <c r="H129" s="12"/>
      <c r="I129" s="12"/>
      <c r="J129" s="90"/>
      <c r="K129" s="28"/>
    </row>
  </sheetData>
  <mergeCells count="11">
    <mergeCell ref="A127:AB127"/>
    <mergeCell ref="A124:AB124"/>
    <mergeCell ref="A125:AB125"/>
    <mergeCell ref="A126:AB126"/>
    <mergeCell ref="Z3:AB3"/>
    <mergeCell ref="B3:D3"/>
    <mergeCell ref="F3:H3"/>
    <mergeCell ref="J3:L3"/>
    <mergeCell ref="N3:P3"/>
    <mergeCell ref="R3:T3"/>
    <mergeCell ref="V3:X3"/>
  </mergeCells>
  <hyperlinks>
    <hyperlink ref="A2" location="Contents!A1" display="Back to contents" xr:uid="{2A54816B-DBB8-4190-810C-5976717FE294}"/>
  </hyperlinks>
  <pageMargins left="0.7" right="0.7" top="0.75" bottom="0.75" header="0.3" footer="0.3"/>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90EF3-9B59-4B87-80D3-1D927F795F42}">
  <dimension ref="A1:T33"/>
  <sheetViews>
    <sheetView workbookViewId="0"/>
  </sheetViews>
  <sheetFormatPr defaultRowHeight="15" customHeight="1" x14ac:dyDescent="0.2"/>
  <cols>
    <col min="1" max="1" width="5.125" style="191" customWidth="1"/>
    <col min="2" max="2" width="37.625" style="191" customWidth="1"/>
    <col min="3" max="4" width="8.625" style="191" customWidth="1"/>
    <col min="5" max="5" width="9.625" style="191" customWidth="1"/>
    <col min="6" max="6" width="2.625" style="191" customWidth="1"/>
    <col min="7" max="7" width="5.125" style="222" customWidth="1"/>
    <col min="8" max="8" width="37.625" style="222" customWidth="1"/>
    <col min="9" max="10" width="8.625" style="191" customWidth="1"/>
    <col min="11" max="11" width="9.625" style="191" customWidth="1"/>
    <col min="12" max="12" width="2.625" style="191" customWidth="1"/>
    <col min="13" max="13" width="5.125" style="222" customWidth="1"/>
    <col min="14" max="14" width="37.625" style="222" customWidth="1"/>
    <col min="15" max="16" width="8.625" style="191" customWidth="1"/>
    <col min="17" max="17" width="9.625" style="191" customWidth="1"/>
    <col min="18" max="16384" width="9" style="191"/>
  </cols>
  <sheetData>
    <row r="1" spans="1:20" ht="15" customHeight="1" x14ac:dyDescent="0.25">
      <c r="A1" s="151" t="s">
        <v>587</v>
      </c>
      <c r="B1" s="151"/>
      <c r="C1" s="152"/>
      <c r="D1" s="152"/>
      <c r="E1" s="154"/>
      <c r="F1" s="154"/>
      <c r="G1" s="203"/>
      <c r="H1" s="203"/>
      <c r="I1" s="154"/>
      <c r="J1" s="155"/>
      <c r="K1" s="154"/>
      <c r="L1" s="154"/>
      <c r="M1" s="203"/>
      <c r="N1" s="203"/>
      <c r="O1" s="154"/>
      <c r="P1" s="155"/>
      <c r="Q1" s="154"/>
    </row>
    <row r="2" spans="1:20" s="199" customFormat="1" ht="15" customHeight="1" x14ac:dyDescent="0.2">
      <c r="A2" s="500" t="s">
        <v>585</v>
      </c>
    </row>
    <row r="3" spans="1:20" s="165" customFormat="1" ht="15" customHeight="1" x14ac:dyDescent="0.2">
      <c r="A3" s="606" t="s">
        <v>0</v>
      </c>
      <c r="B3" s="606"/>
      <c r="C3" s="606"/>
      <c r="D3" s="606"/>
      <c r="E3" s="606"/>
      <c r="F3" s="159"/>
      <c r="G3" s="606" t="s">
        <v>1</v>
      </c>
      <c r="H3" s="606"/>
      <c r="I3" s="606"/>
      <c r="J3" s="606"/>
      <c r="K3" s="606"/>
      <c r="L3" s="159"/>
      <c r="M3" s="606" t="s">
        <v>2</v>
      </c>
      <c r="N3" s="606"/>
      <c r="O3" s="606"/>
      <c r="P3" s="606"/>
      <c r="Q3" s="606"/>
    </row>
    <row r="4" spans="1:20" s="165" customFormat="1" ht="39.950000000000003" customHeight="1" x14ac:dyDescent="0.2">
      <c r="A4" s="160" t="s">
        <v>39</v>
      </c>
      <c r="B4" s="160" t="s">
        <v>40</v>
      </c>
      <c r="C4" s="161" t="s">
        <v>41</v>
      </c>
      <c r="D4" s="161" t="s">
        <v>38</v>
      </c>
      <c r="E4" s="161" t="s">
        <v>560</v>
      </c>
      <c r="F4" s="161"/>
      <c r="G4" s="413" t="s">
        <v>39</v>
      </c>
      <c r="H4" s="413" t="s">
        <v>40</v>
      </c>
      <c r="I4" s="161" t="s">
        <v>41</v>
      </c>
      <c r="J4" s="161" t="s">
        <v>38</v>
      </c>
      <c r="K4" s="161" t="s">
        <v>560</v>
      </c>
      <c r="L4" s="161"/>
      <c r="M4" s="413" t="s">
        <v>39</v>
      </c>
      <c r="N4" s="413" t="s">
        <v>40</v>
      </c>
      <c r="O4" s="161" t="s">
        <v>41</v>
      </c>
      <c r="P4" s="161" t="s">
        <v>38</v>
      </c>
      <c r="Q4" s="161" t="s">
        <v>560</v>
      </c>
    </row>
    <row r="5" spans="1:20" s="265" customFormat="1" ht="15" customHeight="1" x14ac:dyDescent="0.2">
      <c r="A5" s="183">
        <v>1</v>
      </c>
      <c r="B5" s="183" t="s">
        <v>42</v>
      </c>
      <c r="C5" s="455">
        <v>11083</v>
      </c>
      <c r="D5" s="456">
        <v>14.6</v>
      </c>
      <c r="E5" s="436">
        <v>94.4</v>
      </c>
      <c r="F5" s="436"/>
      <c r="G5" s="480">
        <v>1</v>
      </c>
      <c r="H5" s="185" t="s">
        <v>42</v>
      </c>
      <c r="I5" s="437">
        <v>8775</v>
      </c>
      <c r="J5" s="436">
        <v>12.2</v>
      </c>
      <c r="K5" s="436">
        <v>50.3</v>
      </c>
      <c r="L5" s="436"/>
      <c r="M5" s="480">
        <v>1</v>
      </c>
      <c r="N5" s="185" t="s">
        <v>42</v>
      </c>
      <c r="O5" s="437">
        <v>19858</v>
      </c>
      <c r="P5" s="436">
        <v>13.4</v>
      </c>
      <c r="Q5" s="436">
        <v>70.5</v>
      </c>
      <c r="S5" s="478"/>
    </row>
    <row r="6" spans="1:20" s="265" customFormat="1" ht="25.5" x14ac:dyDescent="0.2">
      <c r="A6" s="183">
        <v>2</v>
      </c>
      <c r="B6" s="183" t="s">
        <v>44</v>
      </c>
      <c r="C6" s="455">
        <v>5000</v>
      </c>
      <c r="D6" s="456">
        <v>6.6</v>
      </c>
      <c r="E6" s="436">
        <v>41.4</v>
      </c>
      <c r="F6" s="436"/>
      <c r="G6" s="480">
        <v>2</v>
      </c>
      <c r="H6" s="185" t="s">
        <v>43</v>
      </c>
      <c r="I6" s="437">
        <v>7298</v>
      </c>
      <c r="J6" s="436">
        <v>10.1</v>
      </c>
      <c r="K6" s="436">
        <v>40</v>
      </c>
      <c r="L6" s="436"/>
      <c r="M6" s="480">
        <v>2</v>
      </c>
      <c r="N6" s="185" t="s">
        <v>43</v>
      </c>
      <c r="O6" s="437">
        <v>10965</v>
      </c>
      <c r="P6" s="436">
        <v>7.4</v>
      </c>
      <c r="Q6" s="436">
        <v>37.299999999999997</v>
      </c>
    </row>
    <row r="7" spans="1:20" s="265" customFormat="1" ht="15" customHeight="1" x14ac:dyDescent="0.2">
      <c r="A7" s="183">
        <v>3</v>
      </c>
      <c r="B7" s="183" t="s">
        <v>45</v>
      </c>
      <c r="C7" s="455">
        <v>4184</v>
      </c>
      <c r="D7" s="456">
        <v>5.5</v>
      </c>
      <c r="E7" s="436">
        <v>36.299999999999997</v>
      </c>
      <c r="F7" s="436"/>
      <c r="G7" s="480">
        <v>3</v>
      </c>
      <c r="H7" s="185" t="s">
        <v>45</v>
      </c>
      <c r="I7" s="437">
        <v>6386</v>
      </c>
      <c r="J7" s="436">
        <v>8.9</v>
      </c>
      <c r="K7" s="436">
        <v>37</v>
      </c>
      <c r="L7" s="436"/>
      <c r="M7" s="480">
        <v>3</v>
      </c>
      <c r="N7" s="185" t="s">
        <v>45</v>
      </c>
      <c r="O7" s="437">
        <v>10570</v>
      </c>
      <c r="P7" s="436">
        <v>7.1</v>
      </c>
      <c r="Q7" s="436">
        <v>37.1</v>
      </c>
      <c r="T7" s="481"/>
    </row>
    <row r="8" spans="1:20" s="265" customFormat="1" ht="25.5" x14ac:dyDescent="0.2">
      <c r="A8" s="183">
        <v>4</v>
      </c>
      <c r="B8" s="183" t="s">
        <v>43</v>
      </c>
      <c r="C8" s="455">
        <v>3667</v>
      </c>
      <c r="D8" s="456">
        <v>4.8</v>
      </c>
      <c r="E8" s="436">
        <v>32.4</v>
      </c>
      <c r="F8" s="436"/>
      <c r="G8" s="480">
        <v>4</v>
      </c>
      <c r="H8" s="185" t="s">
        <v>44</v>
      </c>
      <c r="I8" s="437">
        <v>3230</v>
      </c>
      <c r="J8" s="436">
        <v>4.5</v>
      </c>
      <c r="K8" s="436">
        <v>23</v>
      </c>
      <c r="L8" s="436"/>
      <c r="M8" s="480">
        <v>4</v>
      </c>
      <c r="N8" s="185" t="s">
        <v>44</v>
      </c>
      <c r="O8" s="437">
        <v>8230</v>
      </c>
      <c r="P8" s="436">
        <v>5.6</v>
      </c>
      <c r="Q8" s="436">
        <v>31.3</v>
      </c>
    </row>
    <row r="9" spans="1:20" s="265" customFormat="1" ht="15" customHeight="1" x14ac:dyDescent="0.2">
      <c r="A9" s="183">
        <v>5</v>
      </c>
      <c r="B9" s="62" t="s">
        <v>570</v>
      </c>
      <c r="C9" s="455">
        <v>3589</v>
      </c>
      <c r="D9" s="456">
        <v>4.7</v>
      </c>
      <c r="E9" s="436">
        <v>30.9</v>
      </c>
      <c r="F9" s="436"/>
      <c r="G9" s="480">
        <v>5</v>
      </c>
      <c r="H9" s="62" t="s">
        <v>570</v>
      </c>
      <c r="I9" s="437">
        <v>2896</v>
      </c>
      <c r="J9" s="436">
        <v>4</v>
      </c>
      <c r="K9" s="436">
        <v>18.899999999999999</v>
      </c>
      <c r="L9" s="436"/>
      <c r="M9" s="480">
        <v>5</v>
      </c>
      <c r="N9" s="62" t="s">
        <v>570</v>
      </c>
      <c r="O9" s="437">
        <v>6485</v>
      </c>
      <c r="P9" s="436">
        <v>4.4000000000000004</v>
      </c>
      <c r="Q9" s="436">
        <v>23.9</v>
      </c>
    </row>
    <row r="10" spans="1:20" s="265" customFormat="1" ht="15" customHeight="1" x14ac:dyDescent="0.2">
      <c r="A10" s="183">
        <v>6</v>
      </c>
      <c r="B10" s="183" t="s">
        <v>47</v>
      </c>
      <c r="C10" s="455">
        <v>3127</v>
      </c>
      <c r="D10" s="456">
        <v>4.0999999999999996</v>
      </c>
      <c r="E10" s="436">
        <v>26.9</v>
      </c>
      <c r="F10" s="436"/>
      <c r="G10" s="480">
        <v>6</v>
      </c>
      <c r="H10" s="185" t="s">
        <v>48</v>
      </c>
      <c r="I10" s="437">
        <v>2871</v>
      </c>
      <c r="J10" s="436">
        <v>4</v>
      </c>
      <c r="K10" s="436">
        <v>20.5</v>
      </c>
      <c r="L10" s="436"/>
      <c r="M10" s="480">
        <v>6</v>
      </c>
      <c r="N10" s="185" t="s">
        <v>50</v>
      </c>
      <c r="O10" s="437">
        <v>5326</v>
      </c>
      <c r="P10" s="436">
        <v>3.6</v>
      </c>
      <c r="Q10" s="436">
        <v>20</v>
      </c>
    </row>
    <row r="11" spans="1:20" s="265" customFormat="1" ht="15" customHeight="1" x14ac:dyDescent="0.2">
      <c r="A11" s="183">
        <v>7</v>
      </c>
      <c r="B11" s="183" t="s">
        <v>50</v>
      </c>
      <c r="C11" s="455">
        <v>2877</v>
      </c>
      <c r="D11" s="456">
        <v>3.8</v>
      </c>
      <c r="E11" s="436">
        <v>24.2</v>
      </c>
      <c r="F11" s="436"/>
      <c r="G11" s="480">
        <v>7</v>
      </c>
      <c r="H11" s="185" t="s">
        <v>50</v>
      </c>
      <c r="I11" s="437">
        <v>2449</v>
      </c>
      <c r="J11" s="436">
        <v>3.4</v>
      </c>
      <c r="K11" s="436">
        <v>16.5</v>
      </c>
      <c r="L11" s="436"/>
      <c r="M11" s="480">
        <v>7</v>
      </c>
      <c r="N11" s="185" t="s">
        <v>49</v>
      </c>
      <c r="O11" s="437">
        <v>4356</v>
      </c>
      <c r="P11" s="436">
        <v>2.9</v>
      </c>
      <c r="Q11" s="436">
        <v>16</v>
      </c>
    </row>
    <row r="12" spans="1:20" s="265" customFormat="1" ht="25.5" x14ac:dyDescent="0.2">
      <c r="A12" s="183">
        <v>8</v>
      </c>
      <c r="B12" s="183" t="s">
        <v>49</v>
      </c>
      <c r="C12" s="455">
        <v>2318</v>
      </c>
      <c r="D12" s="456">
        <v>3</v>
      </c>
      <c r="E12" s="436">
        <v>19.8</v>
      </c>
      <c r="F12" s="436"/>
      <c r="G12" s="480">
        <v>8</v>
      </c>
      <c r="H12" s="185" t="s">
        <v>49</v>
      </c>
      <c r="I12" s="437">
        <v>2038</v>
      </c>
      <c r="J12" s="436">
        <v>2.8</v>
      </c>
      <c r="K12" s="436">
        <v>12.8</v>
      </c>
      <c r="L12" s="436"/>
      <c r="M12" s="480">
        <v>8</v>
      </c>
      <c r="N12" s="185" t="s">
        <v>54</v>
      </c>
      <c r="O12" s="437">
        <v>3256</v>
      </c>
      <c r="P12" s="436">
        <v>2.2000000000000002</v>
      </c>
      <c r="Q12" s="436">
        <v>11.3</v>
      </c>
      <c r="R12" s="482"/>
    </row>
    <row r="13" spans="1:20" s="265" customFormat="1" ht="25.5" x14ac:dyDescent="0.2">
      <c r="A13" s="183">
        <v>9</v>
      </c>
      <c r="B13" s="183" t="s">
        <v>53</v>
      </c>
      <c r="C13" s="455">
        <v>1958</v>
      </c>
      <c r="D13" s="456">
        <v>2.6</v>
      </c>
      <c r="E13" s="436">
        <v>16.899999999999999</v>
      </c>
      <c r="F13" s="436"/>
      <c r="G13" s="480">
        <v>9</v>
      </c>
      <c r="H13" s="185" t="s">
        <v>54</v>
      </c>
      <c r="I13" s="437">
        <v>1831</v>
      </c>
      <c r="J13" s="436">
        <v>2.5</v>
      </c>
      <c r="K13" s="436">
        <v>10.199999999999999</v>
      </c>
      <c r="L13" s="436"/>
      <c r="M13" s="480">
        <v>9</v>
      </c>
      <c r="N13" s="185" t="s">
        <v>47</v>
      </c>
      <c r="O13" s="437">
        <v>3127</v>
      </c>
      <c r="P13" s="436">
        <v>2.1</v>
      </c>
      <c r="Q13" s="436">
        <v>11.4</v>
      </c>
    </row>
    <row r="14" spans="1:20" s="265" customFormat="1" ht="25.5" x14ac:dyDescent="0.2">
      <c r="A14" s="183">
        <v>10</v>
      </c>
      <c r="B14" s="183" t="s">
        <v>58</v>
      </c>
      <c r="C14" s="455">
        <v>1505</v>
      </c>
      <c r="D14" s="456">
        <v>2</v>
      </c>
      <c r="E14" s="436">
        <v>12.7</v>
      </c>
      <c r="F14" s="436"/>
      <c r="G14" s="480">
        <v>10</v>
      </c>
      <c r="H14" s="185" t="s">
        <v>59</v>
      </c>
      <c r="I14" s="437">
        <v>1393</v>
      </c>
      <c r="J14" s="436">
        <v>1.9</v>
      </c>
      <c r="K14" s="436">
        <v>7.7</v>
      </c>
      <c r="L14" s="436"/>
      <c r="M14" s="480">
        <v>10</v>
      </c>
      <c r="N14" s="185" t="s">
        <v>48</v>
      </c>
      <c r="O14" s="437">
        <v>2902</v>
      </c>
      <c r="P14" s="436">
        <v>2</v>
      </c>
      <c r="Q14" s="436">
        <v>11</v>
      </c>
    </row>
    <row r="15" spans="1:20" s="265" customFormat="1" ht="25.5" x14ac:dyDescent="0.2">
      <c r="A15" s="183">
        <v>11</v>
      </c>
      <c r="B15" s="183" t="s">
        <v>54</v>
      </c>
      <c r="C15" s="455">
        <v>1425</v>
      </c>
      <c r="D15" s="456">
        <v>1.9</v>
      </c>
      <c r="E15" s="436">
        <v>12.4</v>
      </c>
      <c r="F15" s="436"/>
      <c r="G15" s="480">
        <v>11</v>
      </c>
      <c r="H15" s="185" t="s">
        <v>61</v>
      </c>
      <c r="I15" s="437">
        <v>1370</v>
      </c>
      <c r="J15" s="436">
        <v>1.9</v>
      </c>
      <c r="K15" s="436">
        <v>7.8</v>
      </c>
      <c r="L15" s="436"/>
      <c r="M15" s="480">
        <v>11</v>
      </c>
      <c r="N15" s="185" t="s">
        <v>58</v>
      </c>
      <c r="O15" s="437">
        <v>2864</v>
      </c>
      <c r="P15" s="436">
        <v>1.9</v>
      </c>
      <c r="Q15" s="436">
        <v>10.6</v>
      </c>
    </row>
    <row r="16" spans="1:20" s="265" customFormat="1" ht="25.5" x14ac:dyDescent="0.2">
      <c r="A16" s="183">
        <v>12</v>
      </c>
      <c r="B16" s="183" t="s">
        <v>56</v>
      </c>
      <c r="C16" s="455">
        <v>1345</v>
      </c>
      <c r="D16" s="456">
        <v>1.8</v>
      </c>
      <c r="E16" s="436">
        <v>11.1</v>
      </c>
      <c r="F16" s="436"/>
      <c r="G16" s="480">
        <v>12</v>
      </c>
      <c r="H16" s="185" t="s">
        <v>58</v>
      </c>
      <c r="I16" s="437">
        <v>1359</v>
      </c>
      <c r="J16" s="436">
        <v>1.9</v>
      </c>
      <c r="K16" s="436">
        <v>8.9</v>
      </c>
      <c r="L16" s="436"/>
      <c r="M16" s="480">
        <v>12</v>
      </c>
      <c r="N16" s="185" t="s">
        <v>53</v>
      </c>
      <c r="O16" s="437">
        <v>2629</v>
      </c>
      <c r="P16" s="436">
        <v>1.8</v>
      </c>
      <c r="Q16" s="436">
        <v>11.2</v>
      </c>
    </row>
    <row r="17" spans="1:17" s="265" customFormat="1" ht="15" customHeight="1" x14ac:dyDescent="0.2">
      <c r="A17" s="183">
        <v>13</v>
      </c>
      <c r="B17" s="183" t="s">
        <v>60</v>
      </c>
      <c r="C17" s="455">
        <v>1185</v>
      </c>
      <c r="D17" s="456">
        <v>1.6</v>
      </c>
      <c r="E17" s="436">
        <v>9.6999999999999993</v>
      </c>
      <c r="F17" s="436"/>
      <c r="G17" s="480">
        <v>13</v>
      </c>
      <c r="H17" s="185" t="s">
        <v>56</v>
      </c>
      <c r="I17" s="437">
        <v>1227</v>
      </c>
      <c r="J17" s="436">
        <v>1.7</v>
      </c>
      <c r="K17" s="436">
        <v>8.4</v>
      </c>
      <c r="L17" s="436"/>
      <c r="M17" s="480">
        <v>13</v>
      </c>
      <c r="N17" s="185" t="s">
        <v>56</v>
      </c>
      <c r="O17" s="437">
        <v>2572</v>
      </c>
      <c r="P17" s="436">
        <v>1.7</v>
      </c>
      <c r="Q17" s="436">
        <v>9.6999999999999993</v>
      </c>
    </row>
    <row r="18" spans="1:17" s="265" customFormat="1" ht="15" customHeight="1" x14ac:dyDescent="0.2">
      <c r="A18" s="183">
        <v>14</v>
      </c>
      <c r="B18" s="183" t="s">
        <v>61</v>
      </c>
      <c r="C18" s="455">
        <v>1139</v>
      </c>
      <c r="D18" s="456">
        <v>1.5</v>
      </c>
      <c r="E18" s="436">
        <v>9.9</v>
      </c>
      <c r="F18" s="436"/>
      <c r="G18" s="480">
        <v>14</v>
      </c>
      <c r="H18" s="185" t="s">
        <v>57</v>
      </c>
      <c r="I18" s="437">
        <v>1214</v>
      </c>
      <c r="J18" s="436">
        <v>1.7</v>
      </c>
      <c r="K18" s="436">
        <v>6.8</v>
      </c>
      <c r="L18" s="436"/>
      <c r="M18" s="480">
        <v>14</v>
      </c>
      <c r="N18" s="185" t="s">
        <v>61</v>
      </c>
      <c r="O18" s="437">
        <v>2509</v>
      </c>
      <c r="P18" s="436">
        <v>1.7</v>
      </c>
      <c r="Q18" s="436">
        <v>8.6999999999999993</v>
      </c>
    </row>
    <row r="19" spans="1:17" s="265" customFormat="1" ht="15" customHeight="1" x14ac:dyDescent="0.2">
      <c r="A19" s="183">
        <v>15</v>
      </c>
      <c r="B19" s="183" t="s">
        <v>246</v>
      </c>
      <c r="C19" s="455">
        <v>1115</v>
      </c>
      <c r="D19" s="456">
        <v>1.5</v>
      </c>
      <c r="E19" s="436">
        <v>9.3000000000000007</v>
      </c>
      <c r="F19" s="436"/>
      <c r="G19" s="480">
        <v>15</v>
      </c>
      <c r="H19" s="185" t="s">
        <v>63</v>
      </c>
      <c r="I19" s="437">
        <v>1064</v>
      </c>
      <c r="J19" s="436">
        <v>1.5</v>
      </c>
      <c r="K19" s="436">
        <v>6.2</v>
      </c>
      <c r="L19" s="436"/>
      <c r="M19" s="480">
        <v>15</v>
      </c>
      <c r="N19" s="185" t="s">
        <v>59</v>
      </c>
      <c r="O19" s="437">
        <v>2164</v>
      </c>
      <c r="P19" s="436">
        <v>1.5</v>
      </c>
      <c r="Q19" s="436">
        <v>7.4</v>
      </c>
    </row>
    <row r="20" spans="1:17" s="265" customFormat="1" ht="15" customHeight="1" x14ac:dyDescent="0.2">
      <c r="A20" s="183">
        <v>16</v>
      </c>
      <c r="B20" s="183" t="s">
        <v>64</v>
      </c>
      <c r="C20" s="455">
        <v>1041</v>
      </c>
      <c r="D20" s="456">
        <v>1.4</v>
      </c>
      <c r="E20" s="436">
        <v>8.6</v>
      </c>
      <c r="F20" s="436"/>
      <c r="G20" s="480">
        <v>16</v>
      </c>
      <c r="H20" s="185" t="s">
        <v>52</v>
      </c>
      <c r="I20" s="437">
        <v>1053</v>
      </c>
      <c r="J20" s="436">
        <v>1.5</v>
      </c>
      <c r="K20" s="436">
        <v>6</v>
      </c>
      <c r="L20" s="436"/>
      <c r="M20" s="480">
        <v>16</v>
      </c>
      <c r="N20" s="185" t="s">
        <v>52</v>
      </c>
      <c r="O20" s="437">
        <v>2014</v>
      </c>
      <c r="P20" s="436">
        <v>1.4</v>
      </c>
      <c r="Q20" s="436">
        <v>7</v>
      </c>
    </row>
    <row r="21" spans="1:17" s="265" customFormat="1" ht="15" customHeight="1" x14ac:dyDescent="0.2">
      <c r="A21" s="183">
        <v>17</v>
      </c>
      <c r="B21" s="183" t="s">
        <v>100</v>
      </c>
      <c r="C21" s="455">
        <v>1002</v>
      </c>
      <c r="D21" s="456">
        <v>1.3</v>
      </c>
      <c r="E21" s="436">
        <v>8.6</v>
      </c>
      <c r="F21" s="436"/>
      <c r="G21" s="480">
        <v>17</v>
      </c>
      <c r="H21" s="185" t="s">
        <v>66</v>
      </c>
      <c r="I21" s="437">
        <v>951</v>
      </c>
      <c r="J21" s="436">
        <v>1.3</v>
      </c>
      <c r="K21" s="436">
        <v>6.8</v>
      </c>
      <c r="L21" s="436"/>
      <c r="M21" s="480">
        <v>17</v>
      </c>
      <c r="N21" s="185" t="s">
        <v>63</v>
      </c>
      <c r="O21" s="437">
        <v>2011</v>
      </c>
      <c r="P21" s="436">
        <v>1.4</v>
      </c>
      <c r="Q21" s="436">
        <v>7</v>
      </c>
    </row>
    <row r="22" spans="1:17" s="265" customFormat="1" ht="15" customHeight="1" x14ac:dyDescent="0.2">
      <c r="A22" s="183">
        <v>18</v>
      </c>
      <c r="B22" s="183" t="s">
        <v>83</v>
      </c>
      <c r="C22" s="455">
        <v>975</v>
      </c>
      <c r="D22" s="456">
        <v>1.3</v>
      </c>
      <c r="E22" s="436">
        <v>8.3000000000000007</v>
      </c>
      <c r="F22" s="436"/>
      <c r="G22" s="480">
        <v>18</v>
      </c>
      <c r="H22" s="185" t="s">
        <v>247</v>
      </c>
      <c r="I22" s="437">
        <v>843</v>
      </c>
      <c r="J22" s="436">
        <v>1.2</v>
      </c>
      <c r="K22" s="436">
        <v>5.0999999999999996</v>
      </c>
      <c r="L22" s="436"/>
      <c r="M22" s="480">
        <v>18</v>
      </c>
      <c r="N22" s="185" t="s">
        <v>57</v>
      </c>
      <c r="O22" s="437">
        <v>1896</v>
      </c>
      <c r="P22" s="436">
        <v>1.3</v>
      </c>
      <c r="Q22" s="436">
        <v>6.5</v>
      </c>
    </row>
    <row r="23" spans="1:17" s="265" customFormat="1" ht="25.5" x14ac:dyDescent="0.2">
      <c r="A23" s="183">
        <v>19</v>
      </c>
      <c r="B23" s="183" t="s">
        <v>52</v>
      </c>
      <c r="C23" s="455">
        <v>961</v>
      </c>
      <c r="D23" s="456">
        <v>1.3</v>
      </c>
      <c r="E23" s="436">
        <v>8.3000000000000007</v>
      </c>
      <c r="F23" s="436"/>
      <c r="G23" s="480">
        <v>19</v>
      </c>
      <c r="H23" s="185" t="s">
        <v>65</v>
      </c>
      <c r="I23" s="437">
        <v>809</v>
      </c>
      <c r="J23" s="436">
        <v>1.1000000000000001</v>
      </c>
      <c r="K23" s="436">
        <v>4.9000000000000004</v>
      </c>
      <c r="L23" s="436"/>
      <c r="M23" s="480">
        <v>19</v>
      </c>
      <c r="N23" s="185" t="s">
        <v>60</v>
      </c>
      <c r="O23" s="437">
        <v>1779</v>
      </c>
      <c r="P23" s="436">
        <v>1.2</v>
      </c>
      <c r="Q23" s="436">
        <v>7</v>
      </c>
    </row>
    <row r="24" spans="1:17" s="265" customFormat="1" ht="25.5" x14ac:dyDescent="0.2">
      <c r="A24" s="183">
        <v>20</v>
      </c>
      <c r="B24" s="183" t="s">
        <v>63</v>
      </c>
      <c r="C24" s="455">
        <v>947</v>
      </c>
      <c r="D24" s="456">
        <v>1.2</v>
      </c>
      <c r="E24" s="436">
        <v>8.1999999999999993</v>
      </c>
      <c r="F24" s="436"/>
      <c r="G24" s="480">
        <v>20</v>
      </c>
      <c r="H24" s="185" t="s">
        <v>55</v>
      </c>
      <c r="I24" s="437">
        <v>807</v>
      </c>
      <c r="J24" s="436">
        <v>1.1000000000000001</v>
      </c>
      <c r="K24" s="436">
        <v>5</v>
      </c>
      <c r="L24" s="436"/>
      <c r="M24" s="480">
        <v>20</v>
      </c>
      <c r="N24" s="185" t="s">
        <v>83</v>
      </c>
      <c r="O24" s="437">
        <v>1657</v>
      </c>
      <c r="P24" s="436">
        <v>1.1000000000000001</v>
      </c>
      <c r="Q24" s="436">
        <v>6.3</v>
      </c>
    </row>
    <row r="25" spans="1:17" s="166" customFormat="1" ht="15" customHeight="1" x14ac:dyDescent="0.2">
      <c r="A25" s="460"/>
      <c r="B25" s="460" t="s">
        <v>569</v>
      </c>
      <c r="C25" s="167">
        <v>50443</v>
      </c>
      <c r="D25" s="168">
        <v>66.3</v>
      </c>
      <c r="E25" s="169">
        <v>430.6</v>
      </c>
      <c r="F25" s="169"/>
      <c r="G25" s="411"/>
      <c r="H25" s="460" t="s">
        <v>569</v>
      </c>
      <c r="I25" s="170">
        <v>49864</v>
      </c>
      <c r="J25" s="169">
        <v>69.099999999999994</v>
      </c>
      <c r="K25" s="169">
        <v>302.7</v>
      </c>
      <c r="L25" s="169"/>
      <c r="M25" s="411"/>
      <c r="N25" s="460" t="s">
        <v>569</v>
      </c>
      <c r="O25" s="170">
        <v>97170</v>
      </c>
      <c r="P25" s="169">
        <v>65.5</v>
      </c>
      <c r="Q25" s="169">
        <v>351.3</v>
      </c>
    </row>
    <row r="26" spans="1:17" s="181" customFormat="1" ht="15" customHeight="1" x14ac:dyDescent="0.2">
      <c r="A26" s="483"/>
      <c r="B26" s="483" t="s">
        <v>67</v>
      </c>
      <c r="C26" s="171">
        <v>76134</v>
      </c>
      <c r="D26" s="172">
        <v>100</v>
      </c>
      <c r="E26" s="173">
        <v>649.6</v>
      </c>
      <c r="F26" s="173"/>
      <c r="G26" s="412"/>
      <c r="H26" s="412" t="s">
        <v>67</v>
      </c>
      <c r="I26" s="174">
        <v>72131</v>
      </c>
      <c r="J26" s="173">
        <v>100</v>
      </c>
      <c r="K26" s="173">
        <v>452.4</v>
      </c>
      <c r="L26" s="173"/>
      <c r="M26" s="412"/>
      <c r="N26" s="412" t="s">
        <v>67</v>
      </c>
      <c r="O26" s="174">
        <v>148265</v>
      </c>
      <c r="P26" s="173">
        <v>100</v>
      </c>
      <c r="Q26" s="173">
        <v>543.20000000000005</v>
      </c>
    </row>
    <row r="27" spans="1:17" s="199" customFormat="1" ht="15" customHeight="1" x14ac:dyDescent="0.2">
      <c r="A27" s="300" t="s">
        <v>68</v>
      </c>
      <c r="B27" s="300" t="s">
        <v>69</v>
      </c>
      <c r="C27" s="301"/>
      <c r="D27" s="301"/>
      <c r="E27" s="214"/>
      <c r="F27" s="214"/>
      <c r="G27" s="463"/>
      <c r="H27" s="463"/>
      <c r="I27" s="214"/>
      <c r="J27" s="246"/>
      <c r="K27" s="214"/>
      <c r="L27" s="214"/>
      <c r="M27" s="463"/>
      <c r="N27" s="463"/>
      <c r="O27" s="214"/>
      <c r="P27" s="246"/>
      <c r="Q27" s="214"/>
    </row>
    <row r="28" spans="1:17" s="199" customFormat="1" ht="15" customHeight="1" x14ac:dyDescent="0.2">
      <c r="A28" s="461" t="s">
        <v>70</v>
      </c>
      <c r="B28" s="345" t="s">
        <v>71</v>
      </c>
      <c r="C28" s="301"/>
      <c r="D28" s="462"/>
      <c r="E28" s="214"/>
      <c r="F28" s="214"/>
      <c r="G28" s="463"/>
      <c r="H28" s="463"/>
      <c r="I28" s="214"/>
      <c r="J28" s="246"/>
      <c r="K28" s="214"/>
      <c r="L28" s="214"/>
      <c r="M28" s="463"/>
      <c r="N28" s="463"/>
      <c r="O28" s="214"/>
      <c r="P28" s="246"/>
      <c r="Q28" s="214"/>
    </row>
    <row r="29" spans="1:17" s="199" customFormat="1" ht="15" customHeight="1" x14ac:dyDescent="0.2">
      <c r="A29" s="212" t="s">
        <v>4</v>
      </c>
      <c r="B29" s="212"/>
      <c r="C29" s="484"/>
      <c r="D29" s="484"/>
      <c r="E29" s="20"/>
      <c r="F29" s="20"/>
      <c r="G29" s="95"/>
      <c r="H29" s="95"/>
      <c r="I29" s="20"/>
      <c r="J29" s="86"/>
      <c r="K29" s="20"/>
      <c r="L29" s="20"/>
      <c r="M29" s="95"/>
      <c r="N29" s="95"/>
      <c r="O29" s="20"/>
      <c r="P29" s="86"/>
      <c r="Q29" s="88"/>
    </row>
    <row r="30" spans="1:17" s="199" customFormat="1" ht="15" customHeight="1" x14ac:dyDescent="0.2">
      <c r="A30" s="20" t="s">
        <v>248</v>
      </c>
      <c r="B30" s="20"/>
      <c r="C30" s="86"/>
      <c r="D30" s="86"/>
      <c r="E30" s="20"/>
      <c r="F30" s="20"/>
      <c r="G30" s="95"/>
      <c r="H30" s="95"/>
      <c r="I30" s="20"/>
      <c r="J30" s="86"/>
      <c r="K30" s="20"/>
      <c r="L30" s="20"/>
      <c r="M30" s="95"/>
      <c r="N30" s="95"/>
      <c r="O30" s="20"/>
      <c r="P30" s="86"/>
      <c r="Q30" s="88"/>
    </row>
    <row r="31" spans="1:17" s="199" customFormat="1" ht="30" customHeight="1" x14ac:dyDescent="0.2">
      <c r="A31" s="599" t="s">
        <v>72</v>
      </c>
      <c r="B31" s="600"/>
      <c r="C31" s="600"/>
      <c r="D31" s="600"/>
      <c r="E31" s="600"/>
      <c r="F31" s="600"/>
      <c r="G31" s="600"/>
      <c r="H31" s="600"/>
      <c r="I31" s="600"/>
      <c r="J31" s="600"/>
      <c r="K31" s="600"/>
      <c r="L31" s="600"/>
      <c r="M31" s="600"/>
      <c r="N31" s="600"/>
      <c r="O31" s="600"/>
      <c r="P31" s="600"/>
      <c r="Q31" s="600"/>
    </row>
    <row r="32" spans="1:17" s="199" customFormat="1" ht="15" customHeight="1" x14ac:dyDescent="0.2">
      <c r="A32" s="20" t="s">
        <v>73</v>
      </c>
      <c r="B32" s="20"/>
      <c r="C32" s="86"/>
      <c r="D32" s="86"/>
      <c r="E32" s="20"/>
      <c r="F32" s="20"/>
      <c r="G32" s="95"/>
      <c r="H32" s="95"/>
      <c r="I32" s="20"/>
      <c r="J32" s="86"/>
      <c r="K32" s="20"/>
      <c r="L32" s="20"/>
      <c r="M32" s="95"/>
      <c r="N32" s="95"/>
      <c r="O32" s="20"/>
      <c r="P32" s="86"/>
      <c r="Q32" s="88"/>
    </row>
    <row r="33" spans="1:17" ht="15" customHeight="1" x14ac:dyDescent="0.2">
      <c r="A33" s="175" t="s">
        <v>37</v>
      </c>
      <c r="B33" s="175"/>
      <c r="C33" s="485"/>
      <c r="D33" s="485"/>
      <c r="E33" s="486"/>
      <c r="F33" s="486"/>
      <c r="G33" s="487"/>
      <c r="H33" s="487"/>
      <c r="I33" s="486"/>
      <c r="J33" s="488"/>
      <c r="K33" s="486"/>
      <c r="L33" s="486"/>
      <c r="M33" s="487"/>
      <c r="N33" s="487"/>
      <c r="O33" s="486"/>
      <c r="P33" s="488"/>
      <c r="Q33" s="489"/>
    </row>
  </sheetData>
  <mergeCells count="4">
    <mergeCell ref="A3:E3"/>
    <mergeCell ref="G3:K3"/>
    <mergeCell ref="M3:Q3"/>
    <mergeCell ref="A31:Q31"/>
  </mergeCells>
  <hyperlinks>
    <hyperlink ref="A2" location="Contents!A1" display="Back to contents" xr:uid="{24AEC61A-6950-4C41-8C72-6C430421927D}"/>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86847-DE70-4546-9E9A-C80F2BD798A8}">
  <dimension ref="A1:Q72"/>
  <sheetViews>
    <sheetView showGridLines="0" zoomScaleNormal="100" workbookViewId="0">
      <pane ySplit="4" topLeftCell="A5" activePane="bottomLeft" state="frozen"/>
      <selection activeCell="M33" sqref="M33:N33"/>
      <selection pane="bottomLeft" activeCell="A5" sqref="A5"/>
    </sheetView>
  </sheetViews>
  <sheetFormatPr defaultRowHeight="15" customHeight="1" x14ac:dyDescent="0.2"/>
  <cols>
    <col min="1" max="1" width="37" style="92" customWidth="1"/>
    <col min="2" max="2" width="8.625" style="90" customWidth="1"/>
    <col min="3" max="3" width="9.625" style="29" customWidth="1"/>
    <col min="4" max="4" width="2.625" style="12" customWidth="1"/>
    <col min="5" max="5" width="37" style="92" customWidth="1"/>
    <col min="6" max="6" width="8.625" style="90" customWidth="1"/>
    <col min="7" max="7" width="9.625" style="29" customWidth="1"/>
    <col min="8" max="8" width="2.625" style="12" customWidth="1"/>
    <col min="9" max="9" width="37" style="92" customWidth="1"/>
    <col min="10" max="10" width="8.625" style="90" customWidth="1"/>
    <col min="11" max="11" width="9.625" style="29" customWidth="1"/>
    <col min="12" max="250" width="9" style="12"/>
    <col min="251" max="251" width="8.5" style="12" customWidth="1"/>
    <col min="252" max="252" width="40" style="12" customWidth="1"/>
    <col min="253" max="253" width="6.375" style="12" bestFit="1" customWidth="1"/>
    <col min="254" max="254" width="6.625" style="12" bestFit="1" customWidth="1"/>
    <col min="255" max="255" width="8.25" style="12" bestFit="1" customWidth="1"/>
    <col min="256" max="256" width="4.125" style="12" customWidth="1"/>
    <col min="257" max="257" width="8.5" style="12" customWidth="1"/>
    <col min="258" max="258" width="40" style="12" customWidth="1"/>
    <col min="259" max="259" width="6.375" style="12" customWidth="1"/>
    <col min="260" max="260" width="6.625" style="12" bestFit="1" customWidth="1"/>
    <col min="261" max="261" width="8.25" style="12" bestFit="1" customWidth="1"/>
    <col min="262" max="262" width="4.125" style="12" customWidth="1"/>
    <col min="263" max="263" width="8.5" style="12" customWidth="1"/>
    <col min="264" max="264" width="40" style="12" customWidth="1"/>
    <col min="265" max="265" width="6.375" style="12" customWidth="1"/>
    <col min="266" max="266" width="6.625" style="12" bestFit="1" customWidth="1"/>
    <col min="267" max="267" width="8.25" style="12" bestFit="1" customWidth="1"/>
    <col min="268" max="506" width="9" style="12"/>
    <col min="507" max="507" width="8.5" style="12" customWidth="1"/>
    <col min="508" max="508" width="40" style="12" customWidth="1"/>
    <col min="509" max="509" width="6.375" style="12" bestFit="1" customWidth="1"/>
    <col min="510" max="510" width="6.625" style="12" bestFit="1" customWidth="1"/>
    <col min="511" max="511" width="8.25" style="12" bestFit="1" customWidth="1"/>
    <col min="512" max="512" width="4.125" style="12" customWidth="1"/>
    <col min="513" max="513" width="8.5" style="12" customWidth="1"/>
    <col min="514" max="514" width="40" style="12" customWidth="1"/>
    <col min="515" max="515" width="6.375" style="12" customWidth="1"/>
    <col min="516" max="516" width="6.625" style="12" bestFit="1" customWidth="1"/>
    <col min="517" max="517" width="8.25" style="12" bestFit="1" customWidth="1"/>
    <col min="518" max="518" width="4.125" style="12" customWidth="1"/>
    <col min="519" max="519" width="8.5" style="12" customWidth="1"/>
    <col min="520" max="520" width="40" style="12" customWidth="1"/>
    <col min="521" max="521" width="6.375" style="12" customWidth="1"/>
    <col min="522" max="522" width="6.625" style="12" bestFit="1" customWidth="1"/>
    <col min="523" max="523" width="8.25" style="12" bestFit="1" customWidth="1"/>
    <col min="524" max="762" width="9" style="12"/>
    <col min="763" max="763" width="8.5" style="12" customWidth="1"/>
    <col min="764" max="764" width="40" style="12" customWidth="1"/>
    <col min="765" max="765" width="6.375" style="12" bestFit="1" customWidth="1"/>
    <col min="766" max="766" width="6.625" style="12" bestFit="1" customWidth="1"/>
    <col min="767" max="767" width="8.25" style="12" bestFit="1" customWidth="1"/>
    <col min="768" max="768" width="4.125" style="12" customWidth="1"/>
    <col min="769" max="769" width="8.5" style="12" customWidth="1"/>
    <col min="770" max="770" width="40" style="12" customWidth="1"/>
    <col min="771" max="771" width="6.375" style="12" customWidth="1"/>
    <col min="772" max="772" width="6.625" style="12" bestFit="1" customWidth="1"/>
    <col min="773" max="773" width="8.25" style="12" bestFit="1" customWidth="1"/>
    <col min="774" max="774" width="4.125" style="12" customWidth="1"/>
    <col min="775" max="775" width="8.5" style="12" customWidth="1"/>
    <col min="776" max="776" width="40" style="12" customWidth="1"/>
    <col min="777" max="777" width="6.375" style="12" customWidth="1"/>
    <col min="778" max="778" width="6.625" style="12" bestFit="1" customWidth="1"/>
    <col min="779" max="779" width="8.25" style="12" bestFit="1" customWidth="1"/>
    <col min="780" max="1018" width="9" style="12"/>
    <col min="1019" max="1019" width="8.5" style="12" customWidth="1"/>
    <col min="1020" max="1020" width="40" style="12" customWidth="1"/>
    <col min="1021" max="1021" width="6.375" style="12" bestFit="1" customWidth="1"/>
    <col min="1022" max="1022" width="6.625" style="12" bestFit="1" customWidth="1"/>
    <col min="1023" max="1023" width="8.25" style="12" bestFit="1" customWidth="1"/>
    <col min="1024" max="1024" width="4.125" style="12" customWidth="1"/>
    <col min="1025" max="1025" width="8.5" style="12" customWidth="1"/>
    <col min="1026" max="1026" width="40" style="12" customWidth="1"/>
    <col min="1027" max="1027" width="6.375" style="12" customWidth="1"/>
    <col min="1028" max="1028" width="6.625" style="12" bestFit="1" customWidth="1"/>
    <col min="1029" max="1029" width="8.25" style="12" bestFit="1" customWidth="1"/>
    <col min="1030" max="1030" width="4.125" style="12" customWidth="1"/>
    <col min="1031" max="1031" width="8.5" style="12" customWidth="1"/>
    <col min="1032" max="1032" width="40" style="12" customWidth="1"/>
    <col min="1033" max="1033" width="6.375" style="12" customWidth="1"/>
    <col min="1034" max="1034" width="6.625" style="12" bestFit="1" customWidth="1"/>
    <col min="1035" max="1035" width="8.25" style="12" bestFit="1" customWidth="1"/>
    <col min="1036" max="1274" width="9" style="12"/>
    <col min="1275" max="1275" width="8.5" style="12" customWidth="1"/>
    <col min="1276" max="1276" width="40" style="12" customWidth="1"/>
    <col min="1277" max="1277" width="6.375" style="12" bestFit="1" customWidth="1"/>
    <col min="1278" max="1278" width="6.625" style="12" bestFit="1" customWidth="1"/>
    <col min="1279" max="1279" width="8.25" style="12" bestFit="1" customWidth="1"/>
    <col min="1280" max="1280" width="4.125" style="12" customWidth="1"/>
    <col min="1281" max="1281" width="8.5" style="12" customWidth="1"/>
    <col min="1282" max="1282" width="40" style="12" customWidth="1"/>
    <col min="1283" max="1283" width="6.375" style="12" customWidth="1"/>
    <col min="1284" max="1284" width="6.625" style="12" bestFit="1" customWidth="1"/>
    <col min="1285" max="1285" width="8.25" style="12" bestFit="1" customWidth="1"/>
    <col min="1286" max="1286" width="4.125" style="12" customWidth="1"/>
    <col min="1287" max="1287" width="8.5" style="12" customWidth="1"/>
    <col min="1288" max="1288" width="40" style="12" customWidth="1"/>
    <col min="1289" max="1289" width="6.375" style="12" customWidth="1"/>
    <col min="1290" max="1290" width="6.625" style="12" bestFit="1" customWidth="1"/>
    <col min="1291" max="1291" width="8.25" style="12" bestFit="1" customWidth="1"/>
    <col min="1292" max="1530" width="9" style="12"/>
    <col min="1531" max="1531" width="8.5" style="12" customWidth="1"/>
    <col min="1532" max="1532" width="40" style="12" customWidth="1"/>
    <col min="1533" max="1533" width="6.375" style="12" bestFit="1" customWidth="1"/>
    <col min="1534" max="1534" width="6.625" style="12" bestFit="1" customWidth="1"/>
    <col min="1535" max="1535" width="8.25" style="12" bestFit="1" customWidth="1"/>
    <col min="1536" max="1536" width="4.125" style="12" customWidth="1"/>
    <col min="1537" max="1537" width="8.5" style="12" customWidth="1"/>
    <col min="1538" max="1538" width="40" style="12" customWidth="1"/>
    <col min="1539" max="1539" width="6.375" style="12" customWidth="1"/>
    <col min="1540" max="1540" width="6.625" style="12" bestFit="1" customWidth="1"/>
    <col min="1541" max="1541" width="8.25" style="12" bestFit="1" customWidth="1"/>
    <col min="1542" max="1542" width="4.125" style="12" customWidth="1"/>
    <col min="1543" max="1543" width="8.5" style="12" customWidth="1"/>
    <col min="1544" max="1544" width="40" style="12" customWidth="1"/>
    <col min="1545" max="1545" width="6.375" style="12" customWidth="1"/>
    <col min="1546" max="1546" width="6.625" style="12" bestFit="1" customWidth="1"/>
    <col min="1547" max="1547" width="8.25" style="12" bestFit="1" customWidth="1"/>
    <col min="1548" max="1786" width="9" style="12"/>
    <col min="1787" max="1787" width="8.5" style="12" customWidth="1"/>
    <col min="1788" max="1788" width="40" style="12" customWidth="1"/>
    <col min="1789" max="1789" width="6.375" style="12" bestFit="1" customWidth="1"/>
    <col min="1790" max="1790" width="6.625" style="12" bestFit="1" customWidth="1"/>
    <col min="1791" max="1791" width="8.25" style="12" bestFit="1" customWidth="1"/>
    <col min="1792" max="1792" width="4.125" style="12" customWidth="1"/>
    <col min="1793" max="1793" width="8.5" style="12" customWidth="1"/>
    <col min="1794" max="1794" width="40" style="12" customWidth="1"/>
    <col min="1795" max="1795" width="6.375" style="12" customWidth="1"/>
    <col min="1796" max="1796" width="6.625" style="12" bestFit="1" customWidth="1"/>
    <col min="1797" max="1797" width="8.25" style="12" bestFit="1" customWidth="1"/>
    <col min="1798" max="1798" width="4.125" style="12" customWidth="1"/>
    <col min="1799" max="1799" width="8.5" style="12" customWidth="1"/>
    <col min="1800" max="1800" width="40" style="12" customWidth="1"/>
    <col min="1801" max="1801" width="6.375" style="12" customWidth="1"/>
    <col min="1802" max="1802" width="6.625" style="12" bestFit="1" customWidth="1"/>
    <col min="1803" max="1803" width="8.25" style="12" bestFit="1" customWidth="1"/>
    <col min="1804" max="2042" width="9" style="12"/>
    <col min="2043" max="2043" width="8.5" style="12" customWidth="1"/>
    <col min="2044" max="2044" width="40" style="12" customWidth="1"/>
    <col min="2045" max="2045" width="6.375" style="12" bestFit="1" customWidth="1"/>
    <col min="2046" max="2046" width="6.625" style="12" bestFit="1" customWidth="1"/>
    <col min="2047" max="2047" width="8.25" style="12" bestFit="1" customWidth="1"/>
    <col min="2048" max="2048" width="4.125" style="12" customWidth="1"/>
    <col min="2049" max="2049" width="8.5" style="12" customWidth="1"/>
    <col min="2050" max="2050" width="40" style="12" customWidth="1"/>
    <col min="2051" max="2051" width="6.375" style="12" customWidth="1"/>
    <col min="2052" max="2052" width="6.625" style="12" bestFit="1" customWidth="1"/>
    <col min="2053" max="2053" width="8.25" style="12" bestFit="1" customWidth="1"/>
    <col min="2054" max="2054" width="4.125" style="12" customWidth="1"/>
    <col min="2055" max="2055" width="8.5" style="12" customWidth="1"/>
    <col min="2056" max="2056" width="40" style="12" customWidth="1"/>
    <col min="2057" max="2057" width="6.375" style="12" customWidth="1"/>
    <col min="2058" max="2058" width="6.625" style="12" bestFit="1" customWidth="1"/>
    <col min="2059" max="2059" width="8.25" style="12" bestFit="1" customWidth="1"/>
    <col min="2060" max="2298" width="9" style="12"/>
    <col min="2299" max="2299" width="8.5" style="12" customWidth="1"/>
    <col min="2300" max="2300" width="40" style="12" customWidth="1"/>
    <col min="2301" max="2301" width="6.375" style="12" bestFit="1" customWidth="1"/>
    <col min="2302" max="2302" width="6.625" style="12" bestFit="1" customWidth="1"/>
    <col min="2303" max="2303" width="8.25" style="12" bestFit="1" customWidth="1"/>
    <col min="2304" max="2304" width="4.125" style="12" customWidth="1"/>
    <col min="2305" max="2305" width="8.5" style="12" customWidth="1"/>
    <col min="2306" max="2306" width="40" style="12" customWidth="1"/>
    <col min="2307" max="2307" width="6.375" style="12" customWidth="1"/>
    <col min="2308" max="2308" width="6.625" style="12" bestFit="1" customWidth="1"/>
    <col min="2309" max="2309" width="8.25" style="12" bestFit="1" customWidth="1"/>
    <col min="2310" max="2310" width="4.125" style="12" customWidth="1"/>
    <col min="2311" max="2311" width="8.5" style="12" customWidth="1"/>
    <col min="2312" max="2312" width="40" style="12" customWidth="1"/>
    <col min="2313" max="2313" width="6.375" style="12" customWidth="1"/>
    <col min="2314" max="2314" width="6.625" style="12" bestFit="1" customWidth="1"/>
    <col min="2315" max="2315" width="8.25" style="12" bestFit="1" customWidth="1"/>
    <col min="2316" max="2554" width="9" style="12"/>
    <col min="2555" max="2555" width="8.5" style="12" customWidth="1"/>
    <col min="2556" max="2556" width="40" style="12" customWidth="1"/>
    <col min="2557" max="2557" width="6.375" style="12" bestFit="1" customWidth="1"/>
    <col min="2558" max="2558" width="6.625" style="12" bestFit="1" customWidth="1"/>
    <col min="2559" max="2559" width="8.25" style="12" bestFit="1" customWidth="1"/>
    <col min="2560" max="2560" width="4.125" style="12" customWidth="1"/>
    <col min="2561" max="2561" width="8.5" style="12" customWidth="1"/>
    <col min="2562" max="2562" width="40" style="12" customWidth="1"/>
    <col min="2563" max="2563" width="6.375" style="12" customWidth="1"/>
    <col min="2564" max="2564" width="6.625" style="12" bestFit="1" customWidth="1"/>
    <col min="2565" max="2565" width="8.25" style="12" bestFit="1" customWidth="1"/>
    <col min="2566" max="2566" width="4.125" style="12" customWidth="1"/>
    <col min="2567" max="2567" width="8.5" style="12" customWidth="1"/>
    <col min="2568" max="2568" width="40" style="12" customWidth="1"/>
    <col min="2569" max="2569" width="6.375" style="12" customWidth="1"/>
    <col min="2570" max="2570" width="6.625" style="12" bestFit="1" customWidth="1"/>
    <col min="2571" max="2571" width="8.25" style="12" bestFit="1" customWidth="1"/>
    <col min="2572" max="2810" width="9" style="12"/>
    <col min="2811" max="2811" width="8.5" style="12" customWidth="1"/>
    <col min="2812" max="2812" width="40" style="12" customWidth="1"/>
    <col min="2813" max="2813" width="6.375" style="12" bestFit="1" customWidth="1"/>
    <col min="2814" max="2814" width="6.625" style="12" bestFit="1" customWidth="1"/>
    <col min="2815" max="2815" width="8.25" style="12" bestFit="1" customWidth="1"/>
    <col min="2816" max="2816" width="4.125" style="12" customWidth="1"/>
    <col min="2817" max="2817" width="8.5" style="12" customWidth="1"/>
    <col min="2818" max="2818" width="40" style="12" customWidth="1"/>
    <col min="2819" max="2819" width="6.375" style="12" customWidth="1"/>
    <col min="2820" max="2820" width="6.625" style="12" bestFit="1" customWidth="1"/>
    <col min="2821" max="2821" width="8.25" style="12" bestFit="1" customWidth="1"/>
    <col min="2822" max="2822" width="4.125" style="12" customWidth="1"/>
    <col min="2823" max="2823" width="8.5" style="12" customWidth="1"/>
    <col min="2824" max="2824" width="40" style="12" customWidth="1"/>
    <col min="2825" max="2825" width="6.375" style="12" customWidth="1"/>
    <col min="2826" max="2826" width="6.625" style="12" bestFit="1" customWidth="1"/>
    <col min="2827" max="2827" width="8.25" style="12" bestFit="1" customWidth="1"/>
    <col min="2828" max="3066" width="9" style="12"/>
    <col min="3067" max="3067" width="8.5" style="12" customWidth="1"/>
    <col min="3068" max="3068" width="40" style="12" customWidth="1"/>
    <col min="3069" max="3069" width="6.375" style="12" bestFit="1" customWidth="1"/>
    <col min="3070" max="3070" width="6.625" style="12" bestFit="1" customWidth="1"/>
    <col min="3071" max="3071" width="8.25" style="12" bestFit="1" customWidth="1"/>
    <col min="3072" max="3072" width="4.125" style="12" customWidth="1"/>
    <col min="3073" max="3073" width="8.5" style="12" customWidth="1"/>
    <col min="3074" max="3074" width="40" style="12" customWidth="1"/>
    <col min="3075" max="3075" width="6.375" style="12" customWidth="1"/>
    <col min="3076" max="3076" width="6.625" style="12" bestFit="1" customWidth="1"/>
    <col min="3077" max="3077" width="8.25" style="12" bestFit="1" customWidth="1"/>
    <col min="3078" max="3078" width="4.125" style="12" customWidth="1"/>
    <col min="3079" max="3079" width="8.5" style="12" customWidth="1"/>
    <col min="3080" max="3080" width="40" style="12" customWidth="1"/>
    <col min="3081" max="3081" width="6.375" style="12" customWidth="1"/>
    <col min="3082" max="3082" width="6.625" style="12" bestFit="1" customWidth="1"/>
    <col min="3083" max="3083" width="8.25" style="12" bestFit="1" customWidth="1"/>
    <col min="3084" max="3322" width="9" style="12"/>
    <col min="3323" max="3323" width="8.5" style="12" customWidth="1"/>
    <col min="3324" max="3324" width="40" style="12" customWidth="1"/>
    <col min="3325" max="3325" width="6.375" style="12" bestFit="1" customWidth="1"/>
    <col min="3326" max="3326" width="6.625" style="12" bestFit="1" customWidth="1"/>
    <col min="3327" max="3327" width="8.25" style="12" bestFit="1" customWidth="1"/>
    <col min="3328" max="3328" width="4.125" style="12" customWidth="1"/>
    <col min="3329" max="3329" width="8.5" style="12" customWidth="1"/>
    <col min="3330" max="3330" width="40" style="12" customWidth="1"/>
    <col min="3331" max="3331" width="6.375" style="12" customWidth="1"/>
    <col min="3332" max="3332" width="6.625" style="12" bestFit="1" customWidth="1"/>
    <col min="3333" max="3333" width="8.25" style="12" bestFit="1" customWidth="1"/>
    <col min="3334" max="3334" width="4.125" style="12" customWidth="1"/>
    <col min="3335" max="3335" width="8.5" style="12" customWidth="1"/>
    <col min="3336" max="3336" width="40" style="12" customWidth="1"/>
    <col min="3337" max="3337" width="6.375" style="12" customWidth="1"/>
    <col min="3338" max="3338" width="6.625" style="12" bestFit="1" customWidth="1"/>
    <col min="3339" max="3339" width="8.25" style="12" bestFit="1" customWidth="1"/>
    <col min="3340" max="3578" width="9" style="12"/>
    <col min="3579" max="3579" width="8.5" style="12" customWidth="1"/>
    <col min="3580" max="3580" width="40" style="12" customWidth="1"/>
    <col min="3581" max="3581" width="6.375" style="12" bestFit="1" customWidth="1"/>
    <col min="3582" max="3582" width="6.625" style="12" bestFit="1" customWidth="1"/>
    <col min="3583" max="3583" width="8.25" style="12" bestFit="1" customWidth="1"/>
    <col min="3584" max="3584" width="4.125" style="12" customWidth="1"/>
    <col min="3585" max="3585" width="8.5" style="12" customWidth="1"/>
    <col min="3586" max="3586" width="40" style="12" customWidth="1"/>
    <col min="3587" max="3587" width="6.375" style="12" customWidth="1"/>
    <col min="3588" max="3588" width="6.625" style="12" bestFit="1" customWidth="1"/>
    <col min="3589" max="3589" width="8.25" style="12" bestFit="1" customWidth="1"/>
    <col min="3590" max="3590" width="4.125" style="12" customWidth="1"/>
    <col min="3591" max="3591" width="8.5" style="12" customWidth="1"/>
    <col min="3592" max="3592" width="40" style="12" customWidth="1"/>
    <col min="3593" max="3593" width="6.375" style="12" customWidth="1"/>
    <col min="3594" max="3594" width="6.625" style="12" bestFit="1" customWidth="1"/>
    <col min="3595" max="3595" width="8.25" style="12" bestFit="1" customWidth="1"/>
    <col min="3596" max="3834" width="9" style="12"/>
    <col min="3835" max="3835" width="8.5" style="12" customWidth="1"/>
    <col min="3836" max="3836" width="40" style="12" customWidth="1"/>
    <col min="3837" max="3837" width="6.375" style="12" bestFit="1" customWidth="1"/>
    <col min="3838" max="3838" width="6.625" style="12" bestFit="1" customWidth="1"/>
    <col min="3839" max="3839" width="8.25" style="12" bestFit="1" customWidth="1"/>
    <col min="3840" max="3840" width="4.125" style="12" customWidth="1"/>
    <col min="3841" max="3841" width="8.5" style="12" customWidth="1"/>
    <col min="3842" max="3842" width="40" style="12" customWidth="1"/>
    <col min="3843" max="3843" width="6.375" style="12" customWidth="1"/>
    <col min="3844" max="3844" width="6.625" style="12" bestFit="1" customWidth="1"/>
    <col min="3845" max="3845" width="8.25" style="12" bestFit="1" customWidth="1"/>
    <col min="3846" max="3846" width="4.125" style="12" customWidth="1"/>
    <col min="3847" max="3847" width="8.5" style="12" customWidth="1"/>
    <col min="3848" max="3848" width="40" style="12" customWidth="1"/>
    <col min="3849" max="3849" width="6.375" style="12" customWidth="1"/>
    <col min="3850" max="3850" width="6.625" style="12" bestFit="1" customWidth="1"/>
    <col min="3851" max="3851" width="8.25" style="12" bestFit="1" customWidth="1"/>
    <col min="3852" max="4090" width="9" style="12"/>
    <col min="4091" max="4091" width="8.5" style="12" customWidth="1"/>
    <col min="4092" max="4092" width="40" style="12" customWidth="1"/>
    <col min="4093" max="4093" width="6.375" style="12" bestFit="1" customWidth="1"/>
    <col min="4094" max="4094" width="6.625" style="12" bestFit="1" customWidth="1"/>
    <col min="4095" max="4095" width="8.25" style="12" bestFit="1" customWidth="1"/>
    <col min="4096" max="4096" width="4.125" style="12" customWidth="1"/>
    <col min="4097" max="4097" width="8.5" style="12" customWidth="1"/>
    <col min="4098" max="4098" width="40" style="12" customWidth="1"/>
    <col min="4099" max="4099" width="6.375" style="12" customWidth="1"/>
    <col min="4100" max="4100" width="6.625" style="12" bestFit="1" customWidth="1"/>
    <col min="4101" max="4101" width="8.25" style="12" bestFit="1" customWidth="1"/>
    <col min="4102" max="4102" width="4.125" style="12" customWidth="1"/>
    <col min="4103" max="4103" width="8.5" style="12" customWidth="1"/>
    <col min="4104" max="4104" width="40" style="12" customWidth="1"/>
    <col min="4105" max="4105" width="6.375" style="12" customWidth="1"/>
    <col min="4106" max="4106" width="6.625" style="12" bestFit="1" customWidth="1"/>
    <col min="4107" max="4107" width="8.25" style="12" bestFit="1" customWidth="1"/>
    <col min="4108" max="4346" width="9" style="12"/>
    <col min="4347" max="4347" width="8.5" style="12" customWidth="1"/>
    <col min="4348" max="4348" width="40" style="12" customWidth="1"/>
    <col min="4349" max="4349" width="6.375" style="12" bestFit="1" customWidth="1"/>
    <col min="4350" max="4350" width="6.625" style="12" bestFit="1" customWidth="1"/>
    <col min="4351" max="4351" width="8.25" style="12" bestFit="1" customWidth="1"/>
    <col min="4352" max="4352" width="4.125" style="12" customWidth="1"/>
    <col min="4353" max="4353" width="8.5" style="12" customWidth="1"/>
    <col min="4354" max="4354" width="40" style="12" customWidth="1"/>
    <col min="4355" max="4355" width="6.375" style="12" customWidth="1"/>
    <col min="4356" max="4356" width="6.625" style="12" bestFit="1" customWidth="1"/>
    <col min="4357" max="4357" width="8.25" style="12" bestFit="1" customWidth="1"/>
    <col min="4358" max="4358" width="4.125" style="12" customWidth="1"/>
    <col min="4359" max="4359" width="8.5" style="12" customWidth="1"/>
    <col min="4360" max="4360" width="40" style="12" customWidth="1"/>
    <col min="4361" max="4361" width="6.375" style="12" customWidth="1"/>
    <col min="4362" max="4362" width="6.625" style="12" bestFit="1" customWidth="1"/>
    <col min="4363" max="4363" width="8.25" style="12" bestFit="1" customWidth="1"/>
    <col min="4364" max="4602" width="9" style="12"/>
    <col min="4603" max="4603" width="8.5" style="12" customWidth="1"/>
    <col min="4604" max="4604" width="40" style="12" customWidth="1"/>
    <col min="4605" max="4605" width="6.375" style="12" bestFit="1" customWidth="1"/>
    <col min="4606" max="4606" width="6.625" style="12" bestFit="1" customWidth="1"/>
    <col min="4607" max="4607" width="8.25" style="12" bestFit="1" customWidth="1"/>
    <col min="4608" max="4608" width="4.125" style="12" customWidth="1"/>
    <col min="4609" max="4609" width="8.5" style="12" customWidth="1"/>
    <col min="4610" max="4610" width="40" style="12" customWidth="1"/>
    <col min="4611" max="4611" width="6.375" style="12" customWidth="1"/>
    <col min="4612" max="4612" width="6.625" style="12" bestFit="1" customWidth="1"/>
    <col min="4613" max="4613" width="8.25" style="12" bestFit="1" customWidth="1"/>
    <col min="4614" max="4614" width="4.125" style="12" customWidth="1"/>
    <col min="4615" max="4615" width="8.5" style="12" customWidth="1"/>
    <col min="4616" max="4616" width="40" style="12" customWidth="1"/>
    <col min="4617" max="4617" width="6.375" style="12" customWidth="1"/>
    <col min="4618" max="4618" width="6.625" style="12" bestFit="1" customWidth="1"/>
    <col min="4619" max="4619" width="8.25" style="12" bestFit="1" customWidth="1"/>
    <col min="4620" max="4858" width="9" style="12"/>
    <col min="4859" max="4859" width="8.5" style="12" customWidth="1"/>
    <col min="4860" max="4860" width="40" style="12" customWidth="1"/>
    <col min="4861" max="4861" width="6.375" style="12" bestFit="1" customWidth="1"/>
    <col min="4862" max="4862" width="6.625" style="12" bestFit="1" customWidth="1"/>
    <col min="4863" max="4863" width="8.25" style="12" bestFit="1" customWidth="1"/>
    <col min="4864" max="4864" width="4.125" style="12" customWidth="1"/>
    <col min="4865" max="4865" width="8.5" style="12" customWidth="1"/>
    <col min="4866" max="4866" width="40" style="12" customWidth="1"/>
    <col min="4867" max="4867" width="6.375" style="12" customWidth="1"/>
    <col min="4868" max="4868" width="6.625" style="12" bestFit="1" customWidth="1"/>
    <col min="4869" max="4869" width="8.25" style="12" bestFit="1" customWidth="1"/>
    <col min="4870" max="4870" width="4.125" style="12" customWidth="1"/>
    <col min="4871" max="4871" width="8.5" style="12" customWidth="1"/>
    <col min="4872" max="4872" width="40" style="12" customWidth="1"/>
    <col min="4873" max="4873" width="6.375" style="12" customWidth="1"/>
    <col min="4874" max="4874" width="6.625" style="12" bestFit="1" customWidth="1"/>
    <col min="4875" max="4875" width="8.25" style="12" bestFit="1" customWidth="1"/>
    <col min="4876" max="5114" width="9" style="12"/>
    <col min="5115" max="5115" width="8.5" style="12" customWidth="1"/>
    <col min="5116" max="5116" width="40" style="12" customWidth="1"/>
    <col min="5117" max="5117" width="6.375" style="12" bestFit="1" customWidth="1"/>
    <col min="5118" max="5118" width="6.625" style="12" bestFit="1" customWidth="1"/>
    <col min="5119" max="5119" width="8.25" style="12" bestFit="1" customWidth="1"/>
    <col min="5120" max="5120" width="4.125" style="12" customWidth="1"/>
    <col min="5121" max="5121" width="8.5" style="12" customWidth="1"/>
    <col min="5122" max="5122" width="40" style="12" customWidth="1"/>
    <col min="5123" max="5123" width="6.375" style="12" customWidth="1"/>
    <col min="5124" max="5124" width="6.625" style="12" bestFit="1" customWidth="1"/>
    <col min="5125" max="5125" width="8.25" style="12" bestFit="1" customWidth="1"/>
    <col min="5126" max="5126" width="4.125" style="12" customWidth="1"/>
    <col min="5127" max="5127" width="8.5" style="12" customWidth="1"/>
    <col min="5128" max="5128" width="40" style="12" customWidth="1"/>
    <col min="5129" max="5129" width="6.375" style="12" customWidth="1"/>
    <col min="5130" max="5130" width="6.625" style="12" bestFit="1" customWidth="1"/>
    <col min="5131" max="5131" width="8.25" style="12" bestFit="1" customWidth="1"/>
    <col min="5132" max="5370" width="9" style="12"/>
    <col min="5371" max="5371" width="8.5" style="12" customWidth="1"/>
    <col min="5372" max="5372" width="40" style="12" customWidth="1"/>
    <col min="5373" max="5373" width="6.375" style="12" bestFit="1" customWidth="1"/>
    <col min="5374" max="5374" width="6.625" style="12" bestFit="1" customWidth="1"/>
    <col min="5375" max="5375" width="8.25" style="12" bestFit="1" customWidth="1"/>
    <col min="5376" max="5376" width="4.125" style="12" customWidth="1"/>
    <col min="5377" max="5377" width="8.5" style="12" customWidth="1"/>
    <col min="5378" max="5378" width="40" style="12" customWidth="1"/>
    <col min="5379" max="5379" width="6.375" style="12" customWidth="1"/>
    <col min="5380" max="5380" width="6.625" style="12" bestFit="1" customWidth="1"/>
    <col min="5381" max="5381" width="8.25" style="12" bestFit="1" customWidth="1"/>
    <col min="5382" max="5382" width="4.125" style="12" customWidth="1"/>
    <col min="5383" max="5383" width="8.5" style="12" customWidth="1"/>
    <col min="5384" max="5384" width="40" style="12" customWidth="1"/>
    <col min="5385" max="5385" width="6.375" style="12" customWidth="1"/>
    <col min="5386" max="5386" width="6.625" style="12" bestFit="1" customWidth="1"/>
    <col min="5387" max="5387" width="8.25" style="12" bestFit="1" customWidth="1"/>
    <col min="5388" max="5626" width="9" style="12"/>
    <col min="5627" max="5627" width="8.5" style="12" customWidth="1"/>
    <col min="5628" max="5628" width="40" style="12" customWidth="1"/>
    <col min="5629" max="5629" width="6.375" style="12" bestFit="1" customWidth="1"/>
    <col min="5630" max="5630" width="6.625" style="12" bestFit="1" customWidth="1"/>
    <col min="5631" max="5631" width="8.25" style="12" bestFit="1" customWidth="1"/>
    <col min="5632" max="5632" width="4.125" style="12" customWidth="1"/>
    <col min="5633" max="5633" width="8.5" style="12" customWidth="1"/>
    <col min="5634" max="5634" width="40" style="12" customWidth="1"/>
    <col min="5635" max="5635" width="6.375" style="12" customWidth="1"/>
    <col min="5636" max="5636" width="6.625" style="12" bestFit="1" customWidth="1"/>
    <col min="5637" max="5637" width="8.25" style="12" bestFit="1" customWidth="1"/>
    <col min="5638" max="5638" width="4.125" style="12" customWidth="1"/>
    <col min="5639" max="5639" width="8.5" style="12" customWidth="1"/>
    <col min="5640" max="5640" width="40" style="12" customWidth="1"/>
    <col min="5641" max="5641" width="6.375" style="12" customWidth="1"/>
    <col min="5642" max="5642" width="6.625" style="12" bestFit="1" customWidth="1"/>
    <col min="5643" max="5643" width="8.25" style="12" bestFit="1" customWidth="1"/>
    <col min="5644" max="5882" width="9" style="12"/>
    <col min="5883" max="5883" width="8.5" style="12" customWidth="1"/>
    <col min="5884" max="5884" width="40" style="12" customWidth="1"/>
    <col min="5885" max="5885" width="6.375" style="12" bestFit="1" customWidth="1"/>
    <col min="5886" max="5886" width="6.625" style="12" bestFit="1" customWidth="1"/>
    <col min="5887" max="5887" width="8.25" style="12" bestFit="1" customWidth="1"/>
    <col min="5888" max="5888" width="4.125" style="12" customWidth="1"/>
    <col min="5889" max="5889" width="8.5" style="12" customWidth="1"/>
    <col min="5890" max="5890" width="40" style="12" customWidth="1"/>
    <col min="5891" max="5891" width="6.375" style="12" customWidth="1"/>
    <col min="5892" max="5892" width="6.625" style="12" bestFit="1" customWidth="1"/>
    <col min="5893" max="5893" width="8.25" style="12" bestFit="1" customWidth="1"/>
    <col min="5894" max="5894" width="4.125" style="12" customWidth="1"/>
    <col min="5895" max="5895" width="8.5" style="12" customWidth="1"/>
    <col min="5896" max="5896" width="40" style="12" customWidth="1"/>
    <col min="5897" max="5897" width="6.375" style="12" customWidth="1"/>
    <col min="5898" max="5898" width="6.625" style="12" bestFit="1" customWidth="1"/>
    <col min="5899" max="5899" width="8.25" style="12" bestFit="1" customWidth="1"/>
    <col min="5900" max="6138" width="9" style="12"/>
    <col min="6139" max="6139" width="8.5" style="12" customWidth="1"/>
    <col min="6140" max="6140" width="40" style="12" customWidth="1"/>
    <col min="6141" max="6141" width="6.375" style="12" bestFit="1" customWidth="1"/>
    <col min="6142" max="6142" width="6.625" style="12" bestFit="1" customWidth="1"/>
    <col min="6143" max="6143" width="8.25" style="12" bestFit="1" customWidth="1"/>
    <col min="6144" max="6144" width="4.125" style="12" customWidth="1"/>
    <col min="6145" max="6145" width="8.5" style="12" customWidth="1"/>
    <col min="6146" max="6146" width="40" style="12" customWidth="1"/>
    <col min="6147" max="6147" width="6.375" style="12" customWidth="1"/>
    <col min="6148" max="6148" width="6.625" style="12" bestFit="1" customWidth="1"/>
    <col min="6149" max="6149" width="8.25" style="12" bestFit="1" customWidth="1"/>
    <col min="6150" max="6150" width="4.125" style="12" customWidth="1"/>
    <col min="6151" max="6151" width="8.5" style="12" customWidth="1"/>
    <col min="6152" max="6152" width="40" style="12" customWidth="1"/>
    <col min="6153" max="6153" width="6.375" style="12" customWidth="1"/>
    <col min="6154" max="6154" width="6.625" style="12" bestFit="1" customWidth="1"/>
    <col min="6155" max="6155" width="8.25" style="12" bestFit="1" customWidth="1"/>
    <col min="6156" max="6394" width="9" style="12"/>
    <col min="6395" max="6395" width="8.5" style="12" customWidth="1"/>
    <col min="6396" max="6396" width="40" style="12" customWidth="1"/>
    <col min="6397" max="6397" width="6.375" style="12" bestFit="1" customWidth="1"/>
    <col min="6398" max="6398" width="6.625" style="12" bestFit="1" customWidth="1"/>
    <col min="6399" max="6399" width="8.25" style="12" bestFit="1" customWidth="1"/>
    <col min="6400" max="6400" width="4.125" style="12" customWidth="1"/>
    <col min="6401" max="6401" width="8.5" style="12" customWidth="1"/>
    <col min="6402" max="6402" width="40" style="12" customWidth="1"/>
    <col min="6403" max="6403" width="6.375" style="12" customWidth="1"/>
    <col min="6404" max="6404" width="6.625" style="12" bestFit="1" customWidth="1"/>
    <col min="6405" max="6405" width="8.25" style="12" bestFit="1" customWidth="1"/>
    <col min="6406" max="6406" width="4.125" style="12" customWidth="1"/>
    <col min="6407" max="6407" width="8.5" style="12" customWidth="1"/>
    <col min="6408" max="6408" width="40" style="12" customWidth="1"/>
    <col min="6409" max="6409" width="6.375" style="12" customWidth="1"/>
    <col min="6410" max="6410" width="6.625" style="12" bestFit="1" customWidth="1"/>
    <col min="6411" max="6411" width="8.25" style="12" bestFit="1" customWidth="1"/>
    <col min="6412" max="6650" width="9" style="12"/>
    <col min="6651" max="6651" width="8.5" style="12" customWidth="1"/>
    <col min="6652" max="6652" width="40" style="12" customWidth="1"/>
    <col min="6653" max="6653" width="6.375" style="12" bestFit="1" customWidth="1"/>
    <col min="6654" max="6654" width="6.625" style="12" bestFit="1" customWidth="1"/>
    <col min="6655" max="6655" width="8.25" style="12" bestFit="1" customWidth="1"/>
    <col min="6656" max="6656" width="4.125" style="12" customWidth="1"/>
    <col min="6657" max="6657" width="8.5" style="12" customWidth="1"/>
    <col min="6658" max="6658" width="40" style="12" customWidth="1"/>
    <col min="6659" max="6659" width="6.375" style="12" customWidth="1"/>
    <col min="6660" max="6660" width="6.625" style="12" bestFit="1" customWidth="1"/>
    <col min="6661" max="6661" width="8.25" style="12" bestFit="1" customWidth="1"/>
    <col min="6662" max="6662" width="4.125" style="12" customWidth="1"/>
    <col min="6663" max="6663" width="8.5" style="12" customWidth="1"/>
    <col min="6664" max="6664" width="40" style="12" customWidth="1"/>
    <col min="6665" max="6665" width="6.375" style="12" customWidth="1"/>
    <col min="6666" max="6666" width="6.625" style="12" bestFit="1" customWidth="1"/>
    <col min="6667" max="6667" width="8.25" style="12" bestFit="1" customWidth="1"/>
    <col min="6668" max="6906" width="9" style="12"/>
    <col min="6907" max="6907" width="8.5" style="12" customWidth="1"/>
    <col min="6908" max="6908" width="40" style="12" customWidth="1"/>
    <col min="6909" max="6909" width="6.375" style="12" bestFit="1" customWidth="1"/>
    <col min="6910" max="6910" width="6.625" style="12" bestFit="1" customWidth="1"/>
    <col min="6911" max="6911" width="8.25" style="12" bestFit="1" customWidth="1"/>
    <col min="6912" max="6912" width="4.125" style="12" customWidth="1"/>
    <col min="6913" max="6913" width="8.5" style="12" customWidth="1"/>
    <col min="6914" max="6914" width="40" style="12" customWidth="1"/>
    <col min="6915" max="6915" width="6.375" style="12" customWidth="1"/>
    <col min="6916" max="6916" width="6.625" style="12" bestFit="1" customWidth="1"/>
    <col min="6917" max="6917" width="8.25" style="12" bestFit="1" customWidth="1"/>
    <col min="6918" max="6918" width="4.125" style="12" customWidth="1"/>
    <col min="6919" max="6919" width="8.5" style="12" customWidth="1"/>
    <col min="6920" max="6920" width="40" style="12" customWidth="1"/>
    <col min="6921" max="6921" width="6.375" style="12" customWidth="1"/>
    <col min="6922" max="6922" width="6.625" style="12" bestFit="1" customWidth="1"/>
    <col min="6923" max="6923" width="8.25" style="12" bestFit="1" customWidth="1"/>
    <col min="6924" max="7162" width="9" style="12"/>
    <col min="7163" max="7163" width="8.5" style="12" customWidth="1"/>
    <col min="7164" max="7164" width="40" style="12" customWidth="1"/>
    <col min="7165" max="7165" width="6.375" style="12" bestFit="1" customWidth="1"/>
    <col min="7166" max="7166" width="6.625" style="12" bestFit="1" customWidth="1"/>
    <col min="7167" max="7167" width="8.25" style="12" bestFit="1" customWidth="1"/>
    <col min="7168" max="7168" width="4.125" style="12" customWidth="1"/>
    <col min="7169" max="7169" width="8.5" style="12" customWidth="1"/>
    <col min="7170" max="7170" width="40" style="12" customWidth="1"/>
    <col min="7171" max="7171" width="6.375" style="12" customWidth="1"/>
    <col min="7172" max="7172" width="6.625" style="12" bestFit="1" customWidth="1"/>
    <col min="7173" max="7173" width="8.25" style="12" bestFit="1" customWidth="1"/>
    <col min="7174" max="7174" width="4.125" style="12" customWidth="1"/>
    <col min="7175" max="7175" width="8.5" style="12" customWidth="1"/>
    <col min="7176" max="7176" width="40" style="12" customWidth="1"/>
    <col min="7177" max="7177" width="6.375" style="12" customWidth="1"/>
    <col min="7178" max="7178" width="6.625" style="12" bestFit="1" customWidth="1"/>
    <col min="7179" max="7179" width="8.25" style="12" bestFit="1" customWidth="1"/>
    <col min="7180" max="7418" width="9" style="12"/>
    <col min="7419" max="7419" width="8.5" style="12" customWidth="1"/>
    <col min="7420" max="7420" width="40" style="12" customWidth="1"/>
    <col min="7421" max="7421" width="6.375" style="12" bestFit="1" customWidth="1"/>
    <col min="7422" max="7422" width="6.625" style="12" bestFit="1" customWidth="1"/>
    <col min="7423" max="7423" width="8.25" style="12" bestFit="1" customWidth="1"/>
    <col min="7424" max="7424" width="4.125" style="12" customWidth="1"/>
    <col min="7425" max="7425" width="8.5" style="12" customWidth="1"/>
    <col min="7426" max="7426" width="40" style="12" customWidth="1"/>
    <col min="7427" max="7427" width="6.375" style="12" customWidth="1"/>
    <col min="7428" max="7428" width="6.625" style="12" bestFit="1" customWidth="1"/>
    <col min="7429" max="7429" width="8.25" style="12" bestFit="1" customWidth="1"/>
    <col min="7430" max="7430" width="4.125" style="12" customWidth="1"/>
    <col min="7431" max="7431" width="8.5" style="12" customWidth="1"/>
    <col min="7432" max="7432" width="40" style="12" customWidth="1"/>
    <col min="7433" max="7433" width="6.375" style="12" customWidth="1"/>
    <col min="7434" max="7434" width="6.625" style="12" bestFit="1" customWidth="1"/>
    <col min="7435" max="7435" width="8.25" style="12" bestFit="1" customWidth="1"/>
    <col min="7436" max="7674" width="9" style="12"/>
    <col min="7675" max="7675" width="8.5" style="12" customWidth="1"/>
    <col min="7676" max="7676" width="40" style="12" customWidth="1"/>
    <col min="7677" max="7677" width="6.375" style="12" bestFit="1" customWidth="1"/>
    <col min="7678" max="7678" width="6.625" style="12" bestFit="1" customWidth="1"/>
    <col min="7679" max="7679" width="8.25" style="12" bestFit="1" customWidth="1"/>
    <col min="7680" max="7680" width="4.125" style="12" customWidth="1"/>
    <col min="7681" max="7681" width="8.5" style="12" customWidth="1"/>
    <col min="7682" max="7682" width="40" style="12" customWidth="1"/>
    <col min="7683" max="7683" width="6.375" style="12" customWidth="1"/>
    <col min="7684" max="7684" width="6.625" style="12" bestFit="1" customWidth="1"/>
    <col min="7685" max="7685" width="8.25" style="12" bestFit="1" customWidth="1"/>
    <col min="7686" max="7686" width="4.125" style="12" customWidth="1"/>
    <col min="7687" max="7687" width="8.5" style="12" customWidth="1"/>
    <col min="7688" max="7688" width="40" style="12" customWidth="1"/>
    <col min="7689" max="7689" width="6.375" style="12" customWidth="1"/>
    <col min="7690" max="7690" width="6.625" style="12" bestFit="1" customWidth="1"/>
    <col min="7691" max="7691" width="8.25" style="12" bestFit="1" customWidth="1"/>
    <col min="7692" max="7930" width="9" style="12"/>
    <col min="7931" max="7931" width="8.5" style="12" customWidth="1"/>
    <col min="7932" max="7932" width="40" style="12" customWidth="1"/>
    <col min="7933" max="7933" width="6.375" style="12" bestFit="1" customWidth="1"/>
    <col min="7934" max="7934" width="6.625" style="12" bestFit="1" customWidth="1"/>
    <col min="7935" max="7935" width="8.25" style="12" bestFit="1" customWidth="1"/>
    <col min="7936" max="7936" width="4.125" style="12" customWidth="1"/>
    <col min="7937" max="7937" width="8.5" style="12" customWidth="1"/>
    <col min="7938" max="7938" width="40" style="12" customWidth="1"/>
    <col min="7939" max="7939" width="6.375" style="12" customWidth="1"/>
    <col min="7940" max="7940" width="6.625" style="12" bestFit="1" customWidth="1"/>
    <col min="7941" max="7941" width="8.25" style="12" bestFit="1" customWidth="1"/>
    <col min="7942" max="7942" width="4.125" style="12" customWidth="1"/>
    <col min="7943" max="7943" width="8.5" style="12" customWidth="1"/>
    <col min="7944" max="7944" width="40" style="12" customWidth="1"/>
    <col min="7945" max="7945" width="6.375" style="12" customWidth="1"/>
    <col min="7946" max="7946" width="6.625" style="12" bestFit="1" customWidth="1"/>
    <col min="7947" max="7947" width="8.25" style="12" bestFit="1" customWidth="1"/>
    <col min="7948" max="8186" width="9" style="12"/>
    <col min="8187" max="8187" width="8.5" style="12" customWidth="1"/>
    <col min="8188" max="8188" width="40" style="12" customWidth="1"/>
    <col min="8189" max="8189" width="6.375" style="12" bestFit="1" customWidth="1"/>
    <col min="8190" max="8190" width="6.625" style="12" bestFit="1" customWidth="1"/>
    <col min="8191" max="8191" width="8.25" style="12" bestFit="1" customWidth="1"/>
    <col min="8192" max="8192" width="4.125" style="12" customWidth="1"/>
    <col min="8193" max="8193" width="8.5" style="12" customWidth="1"/>
    <col min="8194" max="8194" width="40" style="12" customWidth="1"/>
    <col min="8195" max="8195" width="6.375" style="12" customWidth="1"/>
    <col min="8196" max="8196" width="6.625" style="12" bestFit="1" customWidth="1"/>
    <col min="8197" max="8197" width="8.25" style="12" bestFit="1" customWidth="1"/>
    <col min="8198" max="8198" width="4.125" style="12" customWidth="1"/>
    <col min="8199" max="8199" width="8.5" style="12" customWidth="1"/>
    <col min="8200" max="8200" width="40" style="12" customWidth="1"/>
    <col min="8201" max="8201" width="6.375" style="12" customWidth="1"/>
    <col min="8202" max="8202" width="6.625" style="12" bestFit="1" customWidth="1"/>
    <col min="8203" max="8203" width="8.25" style="12" bestFit="1" customWidth="1"/>
    <col min="8204" max="8442" width="9" style="12"/>
    <col min="8443" max="8443" width="8.5" style="12" customWidth="1"/>
    <col min="8444" max="8444" width="40" style="12" customWidth="1"/>
    <col min="8445" max="8445" width="6.375" style="12" bestFit="1" customWidth="1"/>
    <col min="8446" max="8446" width="6.625" style="12" bestFit="1" customWidth="1"/>
    <col min="8447" max="8447" width="8.25" style="12" bestFit="1" customWidth="1"/>
    <col min="8448" max="8448" width="4.125" style="12" customWidth="1"/>
    <col min="8449" max="8449" width="8.5" style="12" customWidth="1"/>
    <col min="8450" max="8450" width="40" style="12" customWidth="1"/>
    <col min="8451" max="8451" width="6.375" style="12" customWidth="1"/>
    <col min="8452" max="8452" width="6.625" style="12" bestFit="1" customWidth="1"/>
    <col min="8453" max="8453" width="8.25" style="12" bestFit="1" customWidth="1"/>
    <col min="8454" max="8454" width="4.125" style="12" customWidth="1"/>
    <col min="8455" max="8455" width="8.5" style="12" customWidth="1"/>
    <col min="8456" max="8456" width="40" style="12" customWidth="1"/>
    <col min="8457" max="8457" width="6.375" style="12" customWidth="1"/>
    <col min="8458" max="8458" width="6.625" style="12" bestFit="1" customWidth="1"/>
    <col min="8459" max="8459" width="8.25" style="12" bestFit="1" customWidth="1"/>
    <col min="8460" max="8698" width="9" style="12"/>
    <col min="8699" max="8699" width="8.5" style="12" customWidth="1"/>
    <col min="8700" max="8700" width="40" style="12" customWidth="1"/>
    <col min="8701" max="8701" width="6.375" style="12" bestFit="1" customWidth="1"/>
    <col min="8702" max="8702" width="6.625" style="12" bestFit="1" customWidth="1"/>
    <col min="8703" max="8703" width="8.25" style="12" bestFit="1" customWidth="1"/>
    <col min="8704" max="8704" width="4.125" style="12" customWidth="1"/>
    <col min="8705" max="8705" width="8.5" style="12" customWidth="1"/>
    <col min="8706" max="8706" width="40" style="12" customWidth="1"/>
    <col min="8707" max="8707" width="6.375" style="12" customWidth="1"/>
    <col min="8708" max="8708" width="6.625" style="12" bestFit="1" customWidth="1"/>
    <col min="8709" max="8709" width="8.25" style="12" bestFit="1" customWidth="1"/>
    <col min="8710" max="8710" width="4.125" style="12" customWidth="1"/>
    <col min="8711" max="8711" width="8.5" style="12" customWidth="1"/>
    <col min="8712" max="8712" width="40" style="12" customWidth="1"/>
    <col min="8713" max="8713" width="6.375" style="12" customWidth="1"/>
    <col min="8714" max="8714" width="6.625" style="12" bestFit="1" customWidth="1"/>
    <col min="8715" max="8715" width="8.25" style="12" bestFit="1" customWidth="1"/>
    <col min="8716" max="8954" width="9" style="12"/>
    <col min="8955" max="8955" width="8.5" style="12" customWidth="1"/>
    <col min="8956" max="8956" width="40" style="12" customWidth="1"/>
    <col min="8957" max="8957" width="6.375" style="12" bestFit="1" customWidth="1"/>
    <col min="8958" max="8958" width="6.625" style="12" bestFit="1" customWidth="1"/>
    <col min="8959" max="8959" width="8.25" style="12" bestFit="1" customWidth="1"/>
    <col min="8960" max="8960" width="4.125" style="12" customWidth="1"/>
    <col min="8961" max="8961" width="8.5" style="12" customWidth="1"/>
    <col min="8962" max="8962" width="40" style="12" customWidth="1"/>
    <col min="8963" max="8963" width="6.375" style="12" customWidth="1"/>
    <col min="8964" max="8964" width="6.625" style="12" bestFit="1" customWidth="1"/>
    <col min="8965" max="8965" width="8.25" style="12" bestFit="1" customWidth="1"/>
    <col min="8966" max="8966" width="4.125" style="12" customWidth="1"/>
    <col min="8967" max="8967" width="8.5" style="12" customWidth="1"/>
    <col min="8968" max="8968" width="40" style="12" customWidth="1"/>
    <col min="8969" max="8969" width="6.375" style="12" customWidth="1"/>
    <col min="8970" max="8970" width="6.625" style="12" bestFit="1" customWidth="1"/>
    <col min="8971" max="8971" width="8.25" style="12" bestFit="1" customWidth="1"/>
    <col min="8972" max="9210" width="9" style="12"/>
    <col min="9211" max="9211" width="8.5" style="12" customWidth="1"/>
    <col min="9212" max="9212" width="40" style="12" customWidth="1"/>
    <col min="9213" max="9213" width="6.375" style="12" bestFit="1" customWidth="1"/>
    <col min="9214" max="9214" width="6.625" style="12" bestFit="1" customWidth="1"/>
    <col min="9215" max="9215" width="8.25" style="12" bestFit="1" customWidth="1"/>
    <col min="9216" max="9216" width="4.125" style="12" customWidth="1"/>
    <col min="9217" max="9217" width="8.5" style="12" customWidth="1"/>
    <col min="9218" max="9218" width="40" style="12" customWidth="1"/>
    <col min="9219" max="9219" width="6.375" style="12" customWidth="1"/>
    <col min="9220" max="9220" width="6.625" style="12" bestFit="1" customWidth="1"/>
    <col min="9221" max="9221" width="8.25" style="12" bestFit="1" customWidth="1"/>
    <col min="9222" max="9222" width="4.125" style="12" customWidth="1"/>
    <col min="9223" max="9223" width="8.5" style="12" customWidth="1"/>
    <col min="9224" max="9224" width="40" style="12" customWidth="1"/>
    <col min="9225" max="9225" width="6.375" style="12" customWidth="1"/>
    <col min="9226" max="9226" width="6.625" style="12" bestFit="1" customWidth="1"/>
    <col min="9227" max="9227" width="8.25" style="12" bestFit="1" customWidth="1"/>
    <col min="9228" max="9466" width="9" style="12"/>
    <col min="9467" max="9467" width="8.5" style="12" customWidth="1"/>
    <col min="9468" max="9468" width="40" style="12" customWidth="1"/>
    <col min="9469" max="9469" width="6.375" style="12" bestFit="1" customWidth="1"/>
    <col min="9470" max="9470" width="6.625" style="12" bestFit="1" customWidth="1"/>
    <col min="9471" max="9471" width="8.25" style="12" bestFit="1" customWidth="1"/>
    <col min="9472" max="9472" width="4.125" style="12" customWidth="1"/>
    <col min="9473" max="9473" width="8.5" style="12" customWidth="1"/>
    <col min="9474" max="9474" width="40" style="12" customWidth="1"/>
    <col min="9475" max="9475" width="6.375" style="12" customWidth="1"/>
    <col min="9476" max="9476" width="6.625" style="12" bestFit="1" customWidth="1"/>
    <col min="9477" max="9477" width="8.25" style="12" bestFit="1" customWidth="1"/>
    <col min="9478" max="9478" width="4.125" style="12" customWidth="1"/>
    <col min="9479" max="9479" width="8.5" style="12" customWidth="1"/>
    <col min="9480" max="9480" width="40" style="12" customWidth="1"/>
    <col min="9481" max="9481" width="6.375" style="12" customWidth="1"/>
    <col min="9482" max="9482" width="6.625" style="12" bestFit="1" customWidth="1"/>
    <col min="9483" max="9483" width="8.25" style="12" bestFit="1" customWidth="1"/>
    <col min="9484" max="9722" width="9" style="12"/>
    <col min="9723" max="9723" width="8.5" style="12" customWidth="1"/>
    <col min="9724" max="9724" width="40" style="12" customWidth="1"/>
    <col min="9725" max="9725" width="6.375" style="12" bestFit="1" customWidth="1"/>
    <col min="9726" max="9726" width="6.625" style="12" bestFit="1" customWidth="1"/>
    <col min="9727" max="9727" width="8.25" style="12" bestFit="1" customWidth="1"/>
    <col min="9728" max="9728" width="4.125" style="12" customWidth="1"/>
    <col min="9729" max="9729" width="8.5" style="12" customWidth="1"/>
    <col min="9730" max="9730" width="40" style="12" customWidth="1"/>
    <col min="9731" max="9731" width="6.375" style="12" customWidth="1"/>
    <col min="9732" max="9732" width="6.625" style="12" bestFit="1" customWidth="1"/>
    <col min="9733" max="9733" width="8.25" style="12" bestFit="1" customWidth="1"/>
    <col min="9734" max="9734" width="4.125" style="12" customWidth="1"/>
    <col min="9735" max="9735" width="8.5" style="12" customWidth="1"/>
    <col min="9736" max="9736" width="40" style="12" customWidth="1"/>
    <col min="9737" max="9737" width="6.375" style="12" customWidth="1"/>
    <col min="9738" max="9738" width="6.625" style="12" bestFit="1" customWidth="1"/>
    <col min="9739" max="9739" width="8.25" style="12" bestFit="1" customWidth="1"/>
    <col min="9740" max="9978" width="9" style="12"/>
    <col min="9979" max="9979" width="8.5" style="12" customWidth="1"/>
    <col min="9980" max="9980" width="40" style="12" customWidth="1"/>
    <col min="9981" max="9981" width="6.375" style="12" bestFit="1" customWidth="1"/>
    <col min="9982" max="9982" width="6.625" style="12" bestFit="1" customWidth="1"/>
    <col min="9983" max="9983" width="8.25" style="12" bestFit="1" customWidth="1"/>
    <col min="9984" max="9984" width="4.125" style="12" customWidth="1"/>
    <col min="9985" max="9985" width="8.5" style="12" customWidth="1"/>
    <col min="9986" max="9986" width="40" style="12" customWidth="1"/>
    <col min="9987" max="9987" width="6.375" style="12" customWidth="1"/>
    <col min="9988" max="9988" width="6.625" style="12" bestFit="1" customWidth="1"/>
    <col min="9989" max="9989" width="8.25" style="12" bestFit="1" customWidth="1"/>
    <col min="9990" max="9990" width="4.125" style="12" customWidth="1"/>
    <col min="9991" max="9991" width="8.5" style="12" customWidth="1"/>
    <col min="9992" max="9992" width="40" style="12" customWidth="1"/>
    <col min="9993" max="9993" width="6.375" style="12" customWidth="1"/>
    <col min="9994" max="9994" width="6.625" style="12" bestFit="1" customWidth="1"/>
    <col min="9995" max="9995" width="8.25" style="12" bestFit="1" customWidth="1"/>
    <col min="9996" max="10234" width="9" style="12"/>
    <col min="10235" max="10235" width="8.5" style="12" customWidth="1"/>
    <col min="10236" max="10236" width="40" style="12" customWidth="1"/>
    <col min="10237" max="10237" width="6.375" style="12" bestFit="1" customWidth="1"/>
    <col min="10238" max="10238" width="6.625" style="12" bestFit="1" customWidth="1"/>
    <col min="10239" max="10239" width="8.25" style="12" bestFit="1" customWidth="1"/>
    <col min="10240" max="10240" width="4.125" style="12" customWidth="1"/>
    <col min="10241" max="10241" width="8.5" style="12" customWidth="1"/>
    <col min="10242" max="10242" width="40" style="12" customWidth="1"/>
    <col min="10243" max="10243" width="6.375" style="12" customWidth="1"/>
    <col min="10244" max="10244" width="6.625" style="12" bestFit="1" customWidth="1"/>
    <col min="10245" max="10245" width="8.25" style="12" bestFit="1" customWidth="1"/>
    <col min="10246" max="10246" width="4.125" style="12" customWidth="1"/>
    <col min="10247" max="10247" width="8.5" style="12" customWidth="1"/>
    <col min="10248" max="10248" width="40" style="12" customWidth="1"/>
    <col min="10249" max="10249" width="6.375" style="12" customWidth="1"/>
    <col min="10250" max="10250" width="6.625" style="12" bestFit="1" customWidth="1"/>
    <col min="10251" max="10251" width="8.25" style="12" bestFit="1" customWidth="1"/>
    <col min="10252" max="10490" width="9" style="12"/>
    <col min="10491" max="10491" width="8.5" style="12" customWidth="1"/>
    <col min="10492" max="10492" width="40" style="12" customWidth="1"/>
    <col min="10493" max="10493" width="6.375" style="12" bestFit="1" customWidth="1"/>
    <col min="10494" max="10494" width="6.625" style="12" bestFit="1" customWidth="1"/>
    <col min="10495" max="10495" width="8.25" style="12" bestFit="1" customWidth="1"/>
    <col min="10496" max="10496" width="4.125" style="12" customWidth="1"/>
    <col min="10497" max="10497" width="8.5" style="12" customWidth="1"/>
    <col min="10498" max="10498" width="40" style="12" customWidth="1"/>
    <col min="10499" max="10499" width="6.375" style="12" customWidth="1"/>
    <col min="10500" max="10500" width="6.625" style="12" bestFit="1" customWidth="1"/>
    <col min="10501" max="10501" width="8.25" style="12" bestFit="1" customWidth="1"/>
    <col min="10502" max="10502" width="4.125" style="12" customWidth="1"/>
    <col min="10503" max="10503" width="8.5" style="12" customWidth="1"/>
    <col min="10504" max="10504" width="40" style="12" customWidth="1"/>
    <col min="10505" max="10505" width="6.375" style="12" customWidth="1"/>
    <col min="10506" max="10506" width="6.625" style="12" bestFit="1" customWidth="1"/>
    <col min="10507" max="10507" width="8.25" style="12" bestFit="1" customWidth="1"/>
    <col min="10508" max="10746" width="9" style="12"/>
    <col min="10747" max="10747" width="8.5" style="12" customWidth="1"/>
    <col min="10748" max="10748" width="40" style="12" customWidth="1"/>
    <col min="10749" max="10749" width="6.375" style="12" bestFit="1" customWidth="1"/>
    <col min="10750" max="10750" width="6.625" style="12" bestFit="1" customWidth="1"/>
    <col min="10751" max="10751" width="8.25" style="12" bestFit="1" customWidth="1"/>
    <col min="10752" max="10752" width="4.125" style="12" customWidth="1"/>
    <col min="10753" max="10753" width="8.5" style="12" customWidth="1"/>
    <col min="10754" max="10754" width="40" style="12" customWidth="1"/>
    <col min="10755" max="10755" width="6.375" style="12" customWidth="1"/>
    <col min="10756" max="10756" width="6.625" style="12" bestFit="1" customWidth="1"/>
    <col min="10757" max="10757" width="8.25" style="12" bestFit="1" customWidth="1"/>
    <col min="10758" max="10758" width="4.125" style="12" customWidth="1"/>
    <col min="10759" max="10759" width="8.5" style="12" customWidth="1"/>
    <col min="10760" max="10760" width="40" style="12" customWidth="1"/>
    <col min="10761" max="10761" width="6.375" style="12" customWidth="1"/>
    <col min="10762" max="10762" width="6.625" style="12" bestFit="1" customWidth="1"/>
    <col min="10763" max="10763" width="8.25" style="12" bestFit="1" customWidth="1"/>
    <col min="10764" max="11002" width="9" style="12"/>
    <col min="11003" max="11003" width="8.5" style="12" customWidth="1"/>
    <col min="11004" max="11004" width="40" style="12" customWidth="1"/>
    <col min="11005" max="11005" width="6.375" style="12" bestFit="1" customWidth="1"/>
    <col min="11006" max="11006" width="6.625" style="12" bestFit="1" customWidth="1"/>
    <col min="11007" max="11007" width="8.25" style="12" bestFit="1" customWidth="1"/>
    <col min="11008" max="11008" width="4.125" style="12" customWidth="1"/>
    <col min="11009" max="11009" width="8.5" style="12" customWidth="1"/>
    <col min="11010" max="11010" width="40" style="12" customWidth="1"/>
    <col min="11011" max="11011" width="6.375" style="12" customWidth="1"/>
    <col min="11012" max="11012" width="6.625" style="12" bestFit="1" customWidth="1"/>
    <col min="11013" max="11013" width="8.25" style="12" bestFit="1" customWidth="1"/>
    <col min="11014" max="11014" width="4.125" style="12" customWidth="1"/>
    <col min="11015" max="11015" width="8.5" style="12" customWidth="1"/>
    <col min="11016" max="11016" width="40" style="12" customWidth="1"/>
    <col min="11017" max="11017" width="6.375" style="12" customWidth="1"/>
    <col min="11018" max="11018" width="6.625" style="12" bestFit="1" customWidth="1"/>
    <col min="11019" max="11019" width="8.25" style="12" bestFit="1" customWidth="1"/>
    <col min="11020" max="11258" width="9" style="12"/>
    <col min="11259" max="11259" width="8.5" style="12" customWidth="1"/>
    <col min="11260" max="11260" width="40" style="12" customWidth="1"/>
    <col min="11261" max="11261" width="6.375" style="12" bestFit="1" customWidth="1"/>
    <col min="11262" max="11262" width="6.625" style="12" bestFit="1" customWidth="1"/>
    <col min="11263" max="11263" width="8.25" style="12" bestFit="1" customWidth="1"/>
    <col min="11264" max="11264" width="4.125" style="12" customWidth="1"/>
    <col min="11265" max="11265" width="8.5" style="12" customWidth="1"/>
    <col min="11266" max="11266" width="40" style="12" customWidth="1"/>
    <col min="11267" max="11267" width="6.375" style="12" customWidth="1"/>
    <col min="11268" max="11268" width="6.625" style="12" bestFit="1" customWidth="1"/>
    <col min="11269" max="11269" width="8.25" style="12" bestFit="1" customWidth="1"/>
    <col min="11270" max="11270" width="4.125" style="12" customWidth="1"/>
    <col min="11271" max="11271" width="8.5" style="12" customWidth="1"/>
    <col min="11272" max="11272" width="40" style="12" customWidth="1"/>
    <col min="11273" max="11273" width="6.375" style="12" customWidth="1"/>
    <col min="11274" max="11274" width="6.625" style="12" bestFit="1" customWidth="1"/>
    <col min="11275" max="11275" width="8.25" style="12" bestFit="1" customWidth="1"/>
    <col min="11276" max="11514" width="9" style="12"/>
    <col min="11515" max="11515" width="8.5" style="12" customWidth="1"/>
    <col min="11516" max="11516" width="40" style="12" customWidth="1"/>
    <col min="11517" max="11517" width="6.375" style="12" bestFit="1" customWidth="1"/>
    <col min="11518" max="11518" width="6.625" style="12" bestFit="1" customWidth="1"/>
    <col min="11519" max="11519" width="8.25" style="12" bestFit="1" customWidth="1"/>
    <col min="11520" max="11520" width="4.125" style="12" customWidth="1"/>
    <col min="11521" max="11521" width="8.5" style="12" customWidth="1"/>
    <col min="11522" max="11522" width="40" style="12" customWidth="1"/>
    <col min="11523" max="11523" width="6.375" style="12" customWidth="1"/>
    <col min="11524" max="11524" width="6.625" style="12" bestFit="1" customWidth="1"/>
    <col min="11525" max="11525" width="8.25" style="12" bestFit="1" customWidth="1"/>
    <col min="11526" max="11526" width="4.125" style="12" customWidth="1"/>
    <col min="11527" max="11527" width="8.5" style="12" customWidth="1"/>
    <col min="11528" max="11528" width="40" style="12" customWidth="1"/>
    <col min="11529" max="11529" width="6.375" style="12" customWidth="1"/>
    <col min="11530" max="11530" width="6.625" style="12" bestFit="1" customWidth="1"/>
    <col min="11531" max="11531" width="8.25" style="12" bestFit="1" customWidth="1"/>
    <col min="11532" max="11770" width="9" style="12"/>
    <col min="11771" max="11771" width="8.5" style="12" customWidth="1"/>
    <col min="11772" max="11772" width="40" style="12" customWidth="1"/>
    <col min="11773" max="11773" width="6.375" style="12" bestFit="1" customWidth="1"/>
    <col min="11774" max="11774" width="6.625" style="12" bestFit="1" customWidth="1"/>
    <col min="11775" max="11775" width="8.25" style="12" bestFit="1" customWidth="1"/>
    <col min="11776" max="11776" width="4.125" style="12" customWidth="1"/>
    <col min="11777" max="11777" width="8.5" style="12" customWidth="1"/>
    <col min="11778" max="11778" width="40" style="12" customWidth="1"/>
    <col min="11779" max="11779" width="6.375" style="12" customWidth="1"/>
    <col min="11780" max="11780" width="6.625" style="12" bestFit="1" customWidth="1"/>
    <col min="11781" max="11781" width="8.25" style="12" bestFit="1" customWidth="1"/>
    <col min="11782" max="11782" width="4.125" style="12" customWidth="1"/>
    <col min="11783" max="11783" width="8.5" style="12" customWidth="1"/>
    <col min="11784" max="11784" width="40" style="12" customWidth="1"/>
    <col min="11785" max="11785" width="6.375" style="12" customWidth="1"/>
    <col min="11786" max="11786" width="6.625" style="12" bestFit="1" customWidth="1"/>
    <col min="11787" max="11787" width="8.25" style="12" bestFit="1" customWidth="1"/>
    <col min="11788" max="12026" width="9" style="12"/>
    <col min="12027" max="12027" width="8.5" style="12" customWidth="1"/>
    <col min="12028" max="12028" width="40" style="12" customWidth="1"/>
    <col min="12029" max="12029" width="6.375" style="12" bestFit="1" customWidth="1"/>
    <col min="12030" max="12030" width="6.625" style="12" bestFit="1" customWidth="1"/>
    <col min="12031" max="12031" width="8.25" style="12" bestFit="1" customWidth="1"/>
    <col min="12032" max="12032" width="4.125" style="12" customWidth="1"/>
    <col min="12033" max="12033" width="8.5" style="12" customWidth="1"/>
    <col min="12034" max="12034" width="40" style="12" customWidth="1"/>
    <col min="12035" max="12035" width="6.375" style="12" customWidth="1"/>
    <col min="12036" max="12036" width="6.625" style="12" bestFit="1" customWidth="1"/>
    <col min="12037" max="12037" width="8.25" style="12" bestFit="1" customWidth="1"/>
    <col min="12038" max="12038" width="4.125" style="12" customWidth="1"/>
    <col min="12039" max="12039" width="8.5" style="12" customWidth="1"/>
    <col min="12040" max="12040" width="40" style="12" customWidth="1"/>
    <col min="12041" max="12041" width="6.375" style="12" customWidth="1"/>
    <col min="12042" max="12042" width="6.625" style="12" bestFit="1" customWidth="1"/>
    <col min="12043" max="12043" width="8.25" style="12" bestFit="1" customWidth="1"/>
    <col min="12044" max="12282" width="9" style="12"/>
    <col min="12283" max="12283" width="8.5" style="12" customWidth="1"/>
    <col min="12284" max="12284" width="40" style="12" customWidth="1"/>
    <col min="12285" max="12285" width="6.375" style="12" bestFit="1" customWidth="1"/>
    <col min="12286" max="12286" width="6.625" style="12" bestFit="1" customWidth="1"/>
    <col min="12287" max="12287" width="8.25" style="12" bestFit="1" customWidth="1"/>
    <col min="12288" max="12288" width="4.125" style="12" customWidth="1"/>
    <col min="12289" max="12289" width="8.5" style="12" customWidth="1"/>
    <col min="12290" max="12290" width="40" style="12" customWidth="1"/>
    <col min="12291" max="12291" width="6.375" style="12" customWidth="1"/>
    <col min="12292" max="12292" width="6.625" style="12" bestFit="1" customWidth="1"/>
    <col min="12293" max="12293" width="8.25" style="12" bestFit="1" customWidth="1"/>
    <col min="12294" max="12294" width="4.125" style="12" customWidth="1"/>
    <col min="12295" max="12295" width="8.5" style="12" customWidth="1"/>
    <col min="12296" max="12296" width="40" style="12" customWidth="1"/>
    <col min="12297" max="12297" width="6.375" style="12" customWidth="1"/>
    <col min="12298" max="12298" width="6.625" style="12" bestFit="1" customWidth="1"/>
    <col min="12299" max="12299" width="8.25" style="12" bestFit="1" customWidth="1"/>
    <col min="12300" max="12538" width="9" style="12"/>
    <col min="12539" max="12539" width="8.5" style="12" customWidth="1"/>
    <col min="12540" max="12540" width="40" style="12" customWidth="1"/>
    <col min="12541" max="12541" width="6.375" style="12" bestFit="1" customWidth="1"/>
    <col min="12542" max="12542" width="6.625" style="12" bestFit="1" customWidth="1"/>
    <col min="12543" max="12543" width="8.25" style="12" bestFit="1" customWidth="1"/>
    <col min="12544" max="12544" width="4.125" style="12" customWidth="1"/>
    <col min="12545" max="12545" width="8.5" style="12" customWidth="1"/>
    <col min="12546" max="12546" width="40" style="12" customWidth="1"/>
    <col min="12547" max="12547" width="6.375" style="12" customWidth="1"/>
    <col min="12548" max="12548" width="6.625" style="12" bestFit="1" customWidth="1"/>
    <col min="12549" max="12549" width="8.25" style="12" bestFit="1" customWidth="1"/>
    <col min="12550" max="12550" width="4.125" style="12" customWidth="1"/>
    <col min="12551" max="12551" width="8.5" style="12" customWidth="1"/>
    <col min="12552" max="12552" width="40" style="12" customWidth="1"/>
    <col min="12553" max="12553" width="6.375" style="12" customWidth="1"/>
    <col min="12554" max="12554" width="6.625" style="12" bestFit="1" customWidth="1"/>
    <col min="12555" max="12555" width="8.25" style="12" bestFit="1" customWidth="1"/>
    <col min="12556" max="12794" width="9" style="12"/>
    <col min="12795" max="12795" width="8.5" style="12" customWidth="1"/>
    <col min="12796" max="12796" width="40" style="12" customWidth="1"/>
    <col min="12797" max="12797" width="6.375" style="12" bestFit="1" customWidth="1"/>
    <col min="12798" max="12798" width="6.625" style="12" bestFit="1" customWidth="1"/>
    <col min="12799" max="12799" width="8.25" style="12" bestFit="1" customWidth="1"/>
    <col min="12800" max="12800" width="4.125" style="12" customWidth="1"/>
    <col min="12801" max="12801" width="8.5" style="12" customWidth="1"/>
    <col min="12802" max="12802" width="40" style="12" customWidth="1"/>
    <col min="12803" max="12803" width="6.375" style="12" customWidth="1"/>
    <col min="12804" max="12804" width="6.625" style="12" bestFit="1" customWidth="1"/>
    <col min="12805" max="12805" width="8.25" style="12" bestFit="1" customWidth="1"/>
    <col min="12806" max="12806" width="4.125" style="12" customWidth="1"/>
    <col min="12807" max="12807" width="8.5" style="12" customWidth="1"/>
    <col min="12808" max="12808" width="40" style="12" customWidth="1"/>
    <col min="12809" max="12809" width="6.375" style="12" customWidth="1"/>
    <col min="12810" max="12810" width="6.625" style="12" bestFit="1" customWidth="1"/>
    <col min="12811" max="12811" width="8.25" style="12" bestFit="1" customWidth="1"/>
    <col min="12812" max="13050" width="9" style="12"/>
    <col min="13051" max="13051" width="8.5" style="12" customWidth="1"/>
    <col min="13052" max="13052" width="40" style="12" customWidth="1"/>
    <col min="13053" max="13053" width="6.375" style="12" bestFit="1" customWidth="1"/>
    <col min="13054" max="13054" width="6.625" style="12" bestFit="1" customWidth="1"/>
    <col min="13055" max="13055" width="8.25" style="12" bestFit="1" customWidth="1"/>
    <col min="13056" max="13056" width="4.125" style="12" customWidth="1"/>
    <col min="13057" max="13057" width="8.5" style="12" customWidth="1"/>
    <col min="13058" max="13058" width="40" style="12" customWidth="1"/>
    <col min="13059" max="13059" width="6.375" style="12" customWidth="1"/>
    <col min="13060" max="13060" width="6.625" style="12" bestFit="1" customWidth="1"/>
    <col min="13061" max="13061" width="8.25" style="12" bestFit="1" customWidth="1"/>
    <col min="13062" max="13062" width="4.125" style="12" customWidth="1"/>
    <col min="13063" max="13063" width="8.5" style="12" customWidth="1"/>
    <col min="13064" max="13064" width="40" style="12" customWidth="1"/>
    <col min="13065" max="13065" width="6.375" style="12" customWidth="1"/>
    <col min="13066" max="13066" width="6.625" style="12" bestFit="1" customWidth="1"/>
    <col min="13067" max="13067" width="8.25" style="12" bestFit="1" customWidth="1"/>
    <col min="13068" max="13306" width="9" style="12"/>
    <col min="13307" max="13307" width="8.5" style="12" customWidth="1"/>
    <col min="13308" max="13308" width="40" style="12" customWidth="1"/>
    <col min="13309" max="13309" width="6.375" style="12" bestFit="1" customWidth="1"/>
    <col min="13310" max="13310" width="6.625" style="12" bestFit="1" customWidth="1"/>
    <col min="13311" max="13311" width="8.25" style="12" bestFit="1" customWidth="1"/>
    <col min="13312" max="13312" width="4.125" style="12" customWidth="1"/>
    <col min="13313" max="13313" width="8.5" style="12" customWidth="1"/>
    <col min="13314" max="13314" width="40" style="12" customWidth="1"/>
    <col min="13315" max="13315" width="6.375" style="12" customWidth="1"/>
    <col min="13316" max="13316" width="6.625" style="12" bestFit="1" customWidth="1"/>
    <col min="13317" max="13317" width="8.25" style="12" bestFit="1" customWidth="1"/>
    <col min="13318" max="13318" width="4.125" style="12" customWidth="1"/>
    <col min="13319" max="13319" width="8.5" style="12" customWidth="1"/>
    <col min="13320" max="13320" width="40" style="12" customWidth="1"/>
    <col min="13321" max="13321" width="6.375" style="12" customWidth="1"/>
    <col min="13322" max="13322" width="6.625" style="12" bestFit="1" customWidth="1"/>
    <col min="13323" max="13323" width="8.25" style="12" bestFit="1" customWidth="1"/>
    <col min="13324" max="13562" width="9" style="12"/>
    <col min="13563" max="13563" width="8.5" style="12" customWidth="1"/>
    <col min="13564" max="13564" width="40" style="12" customWidth="1"/>
    <col min="13565" max="13565" width="6.375" style="12" bestFit="1" customWidth="1"/>
    <col min="13566" max="13566" width="6.625" style="12" bestFit="1" customWidth="1"/>
    <col min="13567" max="13567" width="8.25" style="12" bestFit="1" customWidth="1"/>
    <col min="13568" max="13568" width="4.125" style="12" customWidth="1"/>
    <col min="13569" max="13569" width="8.5" style="12" customWidth="1"/>
    <col min="13570" max="13570" width="40" style="12" customWidth="1"/>
    <col min="13571" max="13571" width="6.375" style="12" customWidth="1"/>
    <col min="13572" max="13572" width="6.625" style="12" bestFit="1" customWidth="1"/>
    <col min="13573" max="13573" width="8.25" style="12" bestFit="1" customWidth="1"/>
    <col min="13574" max="13574" width="4.125" style="12" customWidth="1"/>
    <col min="13575" max="13575" width="8.5" style="12" customWidth="1"/>
    <col min="13576" max="13576" width="40" style="12" customWidth="1"/>
    <col min="13577" max="13577" width="6.375" style="12" customWidth="1"/>
    <col min="13578" max="13578" width="6.625" style="12" bestFit="1" customWidth="1"/>
    <col min="13579" max="13579" width="8.25" style="12" bestFit="1" customWidth="1"/>
    <col min="13580" max="13818" width="9" style="12"/>
    <col min="13819" max="13819" width="8.5" style="12" customWidth="1"/>
    <col min="13820" max="13820" width="40" style="12" customWidth="1"/>
    <col min="13821" max="13821" width="6.375" style="12" bestFit="1" customWidth="1"/>
    <col min="13822" max="13822" width="6.625" style="12" bestFit="1" customWidth="1"/>
    <col min="13823" max="13823" width="8.25" style="12" bestFit="1" customWidth="1"/>
    <col min="13824" max="13824" width="4.125" style="12" customWidth="1"/>
    <col min="13825" max="13825" width="8.5" style="12" customWidth="1"/>
    <col min="13826" max="13826" width="40" style="12" customWidth="1"/>
    <col min="13827" max="13827" width="6.375" style="12" customWidth="1"/>
    <col min="13828" max="13828" width="6.625" style="12" bestFit="1" customWidth="1"/>
    <col min="13829" max="13829" width="8.25" style="12" bestFit="1" customWidth="1"/>
    <col min="13830" max="13830" width="4.125" style="12" customWidth="1"/>
    <col min="13831" max="13831" width="8.5" style="12" customWidth="1"/>
    <col min="13832" max="13832" width="40" style="12" customWidth="1"/>
    <col min="13833" max="13833" width="6.375" style="12" customWidth="1"/>
    <col min="13834" max="13834" width="6.625" style="12" bestFit="1" customWidth="1"/>
    <col min="13835" max="13835" width="8.25" style="12" bestFit="1" customWidth="1"/>
    <col min="13836" max="14074" width="9" style="12"/>
    <col min="14075" max="14075" width="8.5" style="12" customWidth="1"/>
    <col min="14076" max="14076" width="40" style="12" customWidth="1"/>
    <col min="14077" max="14077" width="6.375" style="12" bestFit="1" customWidth="1"/>
    <col min="14078" max="14078" width="6.625" style="12" bestFit="1" customWidth="1"/>
    <col min="14079" max="14079" width="8.25" style="12" bestFit="1" customWidth="1"/>
    <col min="14080" max="14080" width="4.125" style="12" customWidth="1"/>
    <col min="14081" max="14081" width="8.5" style="12" customWidth="1"/>
    <col min="14082" max="14082" width="40" style="12" customWidth="1"/>
    <col min="14083" max="14083" width="6.375" style="12" customWidth="1"/>
    <col min="14084" max="14084" width="6.625" style="12" bestFit="1" customWidth="1"/>
    <col min="14085" max="14085" width="8.25" style="12" bestFit="1" customWidth="1"/>
    <col min="14086" max="14086" width="4.125" style="12" customWidth="1"/>
    <col min="14087" max="14087" width="8.5" style="12" customWidth="1"/>
    <col min="14088" max="14088" width="40" style="12" customWidth="1"/>
    <col min="14089" max="14089" width="6.375" style="12" customWidth="1"/>
    <col min="14090" max="14090" width="6.625" style="12" bestFit="1" customWidth="1"/>
    <col min="14091" max="14091" width="8.25" style="12" bestFit="1" customWidth="1"/>
    <col min="14092" max="14330" width="9" style="12"/>
    <col min="14331" max="14331" width="8.5" style="12" customWidth="1"/>
    <col min="14332" max="14332" width="40" style="12" customWidth="1"/>
    <col min="14333" max="14333" width="6.375" style="12" bestFit="1" customWidth="1"/>
    <col min="14334" max="14334" width="6.625" style="12" bestFit="1" customWidth="1"/>
    <col min="14335" max="14335" width="8.25" style="12" bestFit="1" customWidth="1"/>
    <col min="14336" max="14336" width="4.125" style="12" customWidth="1"/>
    <col min="14337" max="14337" width="8.5" style="12" customWidth="1"/>
    <col min="14338" max="14338" width="40" style="12" customWidth="1"/>
    <col min="14339" max="14339" width="6.375" style="12" customWidth="1"/>
    <col min="14340" max="14340" width="6.625" style="12" bestFit="1" customWidth="1"/>
    <col min="14341" max="14341" width="8.25" style="12" bestFit="1" customWidth="1"/>
    <col min="14342" max="14342" width="4.125" style="12" customWidth="1"/>
    <col min="14343" max="14343" width="8.5" style="12" customWidth="1"/>
    <col min="14344" max="14344" width="40" style="12" customWidth="1"/>
    <col min="14345" max="14345" width="6.375" style="12" customWidth="1"/>
    <col min="14346" max="14346" width="6.625" style="12" bestFit="1" customWidth="1"/>
    <col min="14347" max="14347" width="8.25" style="12" bestFit="1" customWidth="1"/>
    <col min="14348" max="14586" width="9" style="12"/>
    <col min="14587" max="14587" width="8.5" style="12" customWidth="1"/>
    <col min="14588" max="14588" width="40" style="12" customWidth="1"/>
    <col min="14589" max="14589" width="6.375" style="12" bestFit="1" customWidth="1"/>
    <col min="14590" max="14590" width="6.625" style="12" bestFit="1" customWidth="1"/>
    <col min="14591" max="14591" width="8.25" style="12" bestFit="1" customWidth="1"/>
    <col min="14592" max="14592" width="4.125" style="12" customWidth="1"/>
    <col min="14593" max="14593" width="8.5" style="12" customWidth="1"/>
    <col min="14594" max="14594" width="40" style="12" customWidth="1"/>
    <col min="14595" max="14595" width="6.375" style="12" customWidth="1"/>
    <col min="14596" max="14596" width="6.625" style="12" bestFit="1" customWidth="1"/>
    <col min="14597" max="14597" width="8.25" style="12" bestFit="1" customWidth="1"/>
    <col min="14598" max="14598" width="4.125" style="12" customWidth="1"/>
    <col min="14599" max="14599" width="8.5" style="12" customWidth="1"/>
    <col min="14600" max="14600" width="40" style="12" customWidth="1"/>
    <col min="14601" max="14601" width="6.375" style="12" customWidth="1"/>
    <col min="14602" max="14602" width="6.625" style="12" bestFit="1" customWidth="1"/>
    <col min="14603" max="14603" width="8.25" style="12" bestFit="1" customWidth="1"/>
    <col min="14604" max="14842" width="9" style="12"/>
    <col min="14843" max="14843" width="8.5" style="12" customWidth="1"/>
    <col min="14844" max="14844" width="40" style="12" customWidth="1"/>
    <col min="14845" max="14845" width="6.375" style="12" bestFit="1" customWidth="1"/>
    <col min="14846" max="14846" width="6.625" style="12" bestFit="1" customWidth="1"/>
    <col min="14847" max="14847" width="8.25" style="12" bestFit="1" customWidth="1"/>
    <col min="14848" max="14848" width="4.125" style="12" customWidth="1"/>
    <col min="14849" max="14849" width="8.5" style="12" customWidth="1"/>
    <col min="14850" max="14850" width="40" style="12" customWidth="1"/>
    <col min="14851" max="14851" width="6.375" style="12" customWidth="1"/>
    <col min="14852" max="14852" width="6.625" style="12" bestFit="1" customWidth="1"/>
    <col min="14853" max="14853" width="8.25" style="12" bestFit="1" customWidth="1"/>
    <col min="14854" max="14854" width="4.125" style="12" customWidth="1"/>
    <col min="14855" max="14855" width="8.5" style="12" customWidth="1"/>
    <col min="14856" max="14856" width="40" style="12" customWidth="1"/>
    <col min="14857" max="14857" width="6.375" style="12" customWidth="1"/>
    <col min="14858" max="14858" width="6.625" style="12" bestFit="1" customWidth="1"/>
    <col min="14859" max="14859" width="8.25" style="12" bestFit="1" customWidth="1"/>
    <col min="14860" max="15098" width="9" style="12"/>
    <col min="15099" max="15099" width="8.5" style="12" customWidth="1"/>
    <col min="15100" max="15100" width="40" style="12" customWidth="1"/>
    <col min="15101" max="15101" width="6.375" style="12" bestFit="1" customWidth="1"/>
    <col min="15102" max="15102" width="6.625" style="12" bestFit="1" customWidth="1"/>
    <col min="15103" max="15103" width="8.25" style="12" bestFit="1" customWidth="1"/>
    <col min="15104" max="15104" width="4.125" style="12" customWidth="1"/>
    <col min="15105" max="15105" width="8.5" style="12" customWidth="1"/>
    <col min="15106" max="15106" width="40" style="12" customWidth="1"/>
    <col min="15107" max="15107" width="6.375" style="12" customWidth="1"/>
    <col min="15108" max="15108" width="6.625" style="12" bestFit="1" customWidth="1"/>
    <col min="15109" max="15109" width="8.25" style="12" bestFit="1" customWidth="1"/>
    <col min="15110" max="15110" width="4.125" style="12" customWidth="1"/>
    <col min="15111" max="15111" width="8.5" style="12" customWidth="1"/>
    <col min="15112" max="15112" width="40" style="12" customWidth="1"/>
    <col min="15113" max="15113" width="6.375" style="12" customWidth="1"/>
    <col min="15114" max="15114" width="6.625" style="12" bestFit="1" customWidth="1"/>
    <col min="15115" max="15115" width="8.25" style="12" bestFit="1" customWidth="1"/>
    <col min="15116" max="15354" width="9" style="12"/>
    <col min="15355" max="15355" width="8.5" style="12" customWidth="1"/>
    <col min="15356" max="15356" width="40" style="12" customWidth="1"/>
    <col min="15357" max="15357" width="6.375" style="12" bestFit="1" customWidth="1"/>
    <col min="15358" max="15358" width="6.625" style="12" bestFit="1" customWidth="1"/>
    <col min="15359" max="15359" width="8.25" style="12" bestFit="1" customWidth="1"/>
    <col min="15360" max="15360" width="4.125" style="12" customWidth="1"/>
    <col min="15361" max="15361" width="8.5" style="12" customWidth="1"/>
    <col min="15362" max="15362" width="40" style="12" customWidth="1"/>
    <col min="15363" max="15363" width="6.375" style="12" customWidth="1"/>
    <col min="15364" max="15364" width="6.625" style="12" bestFit="1" customWidth="1"/>
    <col min="15365" max="15365" width="8.25" style="12" bestFit="1" customWidth="1"/>
    <col min="15366" max="15366" width="4.125" style="12" customWidth="1"/>
    <col min="15367" max="15367" width="8.5" style="12" customWidth="1"/>
    <col min="15368" max="15368" width="40" style="12" customWidth="1"/>
    <col min="15369" max="15369" width="6.375" style="12" customWidth="1"/>
    <col min="15370" max="15370" width="6.625" style="12" bestFit="1" customWidth="1"/>
    <col min="15371" max="15371" width="8.25" style="12" bestFit="1" customWidth="1"/>
    <col min="15372" max="15610" width="9" style="12"/>
    <col min="15611" max="15611" width="8.5" style="12" customWidth="1"/>
    <col min="15612" max="15612" width="40" style="12" customWidth="1"/>
    <col min="15613" max="15613" width="6.375" style="12" bestFit="1" customWidth="1"/>
    <col min="15614" max="15614" width="6.625" style="12" bestFit="1" customWidth="1"/>
    <col min="15615" max="15615" width="8.25" style="12" bestFit="1" customWidth="1"/>
    <col min="15616" max="15616" width="4.125" style="12" customWidth="1"/>
    <col min="15617" max="15617" width="8.5" style="12" customWidth="1"/>
    <col min="15618" max="15618" width="40" style="12" customWidth="1"/>
    <col min="15619" max="15619" width="6.375" style="12" customWidth="1"/>
    <col min="15620" max="15620" width="6.625" style="12" bestFit="1" customWidth="1"/>
    <col min="15621" max="15621" width="8.25" style="12" bestFit="1" customWidth="1"/>
    <col min="15622" max="15622" width="4.125" style="12" customWidth="1"/>
    <col min="15623" max="15623" width="8.5" style="12" customWidth="1"/>
    <col min="15624" max="15624" width="40" style="12" customWidth="1"/>
    <col min="15625" max="15625" width="6.375" style="12" customWidth="1"/>
    <col min="15626" max="15626" width="6.625" style="12" bestFit="1" customWidth="1"/>
    <col min="15627" max="15627" width="8.25" style="12" bestFit="1" customWidth="1"/>
    <col min="15628" max="15866" width="9" style="12"/>
    <col min="15867" max="15867" width="8.5" style="12" customWidth="1"/>
    <col min="15868" max="15868" width="40" style="12" customWidth="1"/>
    <col min="15869" max="15869" width="6.375" style="12" bestFit="1" customWidth="1"/>
    <col min="15870" max="15870" width="6.625" style="12" bestFit="1" customWidth="1"/>
    <col min="15871" max="15871" width="8.25" style="12" bestFit="1" customWidth="1"/>
    <col min="15872" max="15872" width="4.125" style="12" customWidth="1"/>
    <col min="15873" max="15873" width="8.5" style="12" customWidth="1"/>
    <col min="15874" max="15874" width="40" style="12" customWidth="1"/>
    <col min="15875" max="15875" width="6.375" style="12" customWidth="1"/>
    <col min="15876" max="15876" width="6.625" style="12" bestFit="1" customWidth="1"/>
    <col min="15877" max="15877" width="8.25" style="12" bestFit="1" customWidth="1"/>
    <col min="15878" max="15878" width="4.125" style="12" customWidth="1"/>
    <col min="15879" max="15879" width="8.5" style="12" customWidth="1"/>
    <col min="15880" max="15880" width="40" style="12" customWidth="1"/>
    <col min="15881" max="15881" width="6.375" style="12" customWidth="1"/>
    <col min="15882" max="15882" width="6.625" style="12" bestFit="1" customWidth="1"/>
    <col min="15883" max="15883" width="8.25" style="12" bestFit="1" customWidth="1"/>
    <col min="15884" max="16122" width="9" style="12"/>
    <col min="16123" max="16123" width="8.5" style="12" customWidth="1"/>
    <col min="16124" max="16124" width="40" style="12" customWidth="1"/>
    <col min="16125" max="16125" width="6.375" style="12" bestFit="1" customWidth="1"/>
    <col min="16126" max="16126" width="6.625" style="12" bestFit="1" customWidth="1"/>
    <col min="16127" max="16127" width="8.25" style="12" bestFit="1" customWidth="1"/>
    <col min="16128" max="16128" width="4.125" style="12" customWidth="1"/>
    <col min="16129" max="16129" width="8.5" style="12" customWidth="1"/>
    <col min="16130" max="16130" width="40" style="12" customWidth="1"/>
    <col min="16131" max="16131" width="6.375" style="12" customWidth="1"/>
    <col min="16132" max="16132" width="6.625" style="12" bestFit="1" customWidth="1"/>
    <col min="16133" max="16133" width="8.25" style="12" bestFit="1" customWidth="1"/>
    <col min="16134" max="16134" width="4.125" style="12" customWidth="1"/>
    <col min="16135" max="16135" width="8.5" style="12" customWidth="1"/>
    <col min="16136" max="16136" width="40" style="12" customWidth="1"/>
    <col min="16137" max="16137" width="6.375" style="12" customWidth="1"/>
    <col min="16138" max="16138" width="6.625" style="12" bestFit="1" customWidth="1"/>
    <col min="16139" max="16139" width="8.25" style="12" bestFit="1" customWidth="1"/>
    <col min="16140" max="16384" width="9" style="12"/>
  </cols>
  <sheetData>
    <row r="1" spans="1:12" ht="15" customHeight="1" x14ac:dyDescent="0.25">
      <c r="A1" s="151" t="s">
        <v>597</v>
      </c>
      <c r="B1" s="6"/>
      <c r="C1" s="8"/>
      <c r="D1" s="9"/>
      <c r="E1" s="4"/>
      <c r="F1" s="10"/>
      <c r="G1" s="8"/>
      <c r="H1" s="9"/>
      <c r="I1" s="4"/>
      <c r="J1" s="10"/>
      <c r="K1" s="8"/>
    </row>
    <row r="2" spans="1:12" s="128" customFormat="1" ht="15" customHeight="1" x14ac:dyDescent="0.2">
      <c r="A2" s="500" t="s">
        <v>585</v>
      </c>
      <c r="B2" s="199"/>
      <c r="C2" s="199"/>
      <c r="D2" s="199"/>
      <c r="E2" s="199"/>
      <c r="F2" s="199"/>
      <c r="G2" s="199"/>
      <c r="H2" s="199"/>
      <c r="I2" s="199"/>
      <c r="J2" s="199"/>
      <c r="K2" s="199"/>
      <c r="L2" s="199"/>
    </row>
    <row r="3" spans="1:12" ht="15" customHeight="1" x14ac:dyDescent="0.2">
      <c r="A3" s="618" t="s">
        <v>0</v>
      </c>
      <c r="B3" s="618"/>
      <c r="C3" s="618"/>
      <c r="D3" s="14"/>
      <c r="E3" s="618" t="s">
        <v>1</v>
      </c>
      <c r="F3" s="618"/>
      <c r="G3" s="618"/>
      <c r="H3" s="14"/>
      <c r="I3" s="618" t="s">
        <v>2</v>
      </c>
      <c r="J3" s="618"/>
      <c r="K3" s="618"/>
    </row>
    <row r="4" spans="1:12" s="20" customFormat="1" ht="39.950000000000003" customHeight="1" x14ac:dyDescent="0.2">
      <c r="A4" s="110" t="s">
        <v>249</v>
      </c>
      <c r="B4" s="17" t="s">
        <v>75</v>
      </c>
      <c r="C4" s="19" t="s">
        <v>560</v>
      </c>
      <c r="D4" s="19"/>
      <c r="E4" s="110" t="s">
        <v>249</v>
      </c>
      <c r="F4" s="17" t="s">
        <v>75</v>
      </c>
      <c r="G4" s="19" t="s">
        <v>560</v>
      </c>
      <c r="H4" s="19"/>
      <c r="I4" s="110" t="s">
        <v>249</v>
      </c>
      <c r="J4" s="17" t="s">
        <v>75</v>
      </c>
      <c r="K4" s="19" t="s">
        <v>560</v>
      </c>
    </row>
    <row r="5" spans="1:12" s="25" customFormat="1" ht="15" customHeight="1" x14ac:dyDescent="0.2">
      <c r="A5" s="21" t="s">
        <v>42</v>
      </c>
      <c r="B5" s="23"/>
      <c r="C5" s="24"/>
      <c r="D5" s="23"/>
      <c r="E5" s="21" t="s">
        <v>42</v>
      </c>
      <c r="F5" s="23"/>
      <c r="G5" s="24"/>
      <c r="H5" s="23"/>
      <c r="I5" s="21" t="s">
        <v>42</v>
      </c>
      <c r="J5" s="23"/>
      <c r="K5" s="24"/>
    </row>
    <row r="6" spans="1:12" s="25" customFormat="1" ht="15" customHeight="1" x14ac:dyDescent="0.2">
      <c r="A6" s="26">
        <v>2013</v>
      </c>
      <c r="B6" s="28">
        <v>11083</v>
      </c>
      <c r="C6" s="29">
        <v>94.449696000000003</v>
      </c>
      <c r="D6" s="30"/>
      <c r="E6" s="26">
        <v>2013</v>
      </c>
      <c r="F6" s="28">
        <v>8775</v>
      </c>
      <c r="G6" s="29">
        <v>50.294179</v>
      </c>
      <c r="H6" s="30"/>
      <c r="I6" s="26">
        <v>2013</v>
      </c>
      <c r="J6" s="34">
        <v>19858</v>
      </c>
      <c r="K6" s="35">
        <v>70.452640000000002</v>
      </c>
    </row>
    <row r="7" spans="1:12" s="25" customFormat="1" ht="15" customHeight="1" x14ac:dyDescent="0.2">
      <c r="A7" s="26">
        <v>2014</v>
      </c>
      <c r="B7" s="28">
        <v>11138</v>
      </c>
      <c r="C7" s="29">
        <v>91.758685999999997</v>
      </c>
      <c r="D7" s="30"/>
      <c r="E7" s="26">
        <v>2014</v>
      </c>
      <c r="F7" s="28">
        <v>9131</v>
      </c>
      <c r="G7" s="29">
        <v>51.150627</v>
      </c>
      <c r="H7" s="30"/>
      <c r="I7" s="26">
        <v>2014</v>
      </c>
      <c r="J7" s="34">
        <v>20269</v>
      </c>
      <c r="K7" s="35">
        <v>69.944427000000005</v>
      </c>
    </row>
    <row r="8" spans="1:12" s="25" customFormat="1" ht="15" customHeight="1" x14ac:dyDescent="0.2">
      <c r="A8" s="26">
        <v>2015</v>
      </c>
      <c r="B8" s="28">
        <v>11184</v>
      </c>
      <c r="C8" s="29">
        <v>89.367327000000003</v>
      </c>
      <c r="D8" s="30"/>
      <c r="E8" s="26">
        <v>2015</v>
      </c>
      <c r="F8" s="28">
        <v>8742</v>
      </c>
      <c r="G8" s="29">
        <v>47.982427000000001</v>
      </c>
      <c r="H8" s="30"/>
      <c r="I8" s="26">
        <v>2015</v>
      </c>
      <c r="J8" s="34">
        <v>19926</v>
      </c>
      <c r="K8" s="35">
        <v>67.034092999999999</v>
      </c>
    </row>
    <row r="9" spans="1:12" s="25" customFormat="1" ht="15" customHeight="1" x14ac:dyDescent="0.2">
      <c r="A9" s="26">
        <v>2016</v>
      </c>
      <c r="B9" s="28">
        <v>11063</v>
      </c>
      <c r="C9" s="29">
        <v>85.500032000000004</v>
      </c>
      <c r="D9" s="30"/>
      <c r="E9" s="26">
        <v>2016</v>
      </c>
      <c r="F9" s="28">
        <v>8291</v>
      </c>
      <c r="G9" s="29">
        <v>44.632883</v>
      </c>
      <c r="H9" s="30"/>
      <c r="I9" s="26">
        <v>2016</v>
      </c>
      <c r="J9" s="34">
        <v>19354</v>
      </c>
      <c r="K9" s="35">
        <v>63.380656999999999</v>
      </c>
    </row>
    <row r="10" spans="1:12" s="25" customFormat="1" ht="15" customHeight="1" x14ac:dyDescent="0.2">
      <c r="A10" s="26">
        <v>2017</v>
      </c>
      <c r="B10" s="28">
        <v>10842</v>
      </c>
      <c r="C10" s="29">
        <v>81.389914000000005</v>
      </c>
      <c r="D10" s="30"/>
      <c r="E10" s="26">
        <v>2017</v>
      </c>
      <c r="F10" s="28">
        <v>8201</v>
      </c>
      <c r="G10" s="29">
        <v>43.404792999999998</v>
      </c>
      <c r="H10" s="30"/>
      <c r="I10" s="26">
        <v>2017</v>
      </c>
      <c r="J10" s="34">
        <v>19043</v>
      </c>
      <c r="K10" s="35">
        <v>61.01831</v>
      </c>
    </row>
    <row r="11" spans="1:12" s="25" customFormat="1" ht="15" customHeight="1" x14ac:dyDescent="0.2">
      <c r="A11" s="26">
        <v>2018</v>
      </c>
      <c r="B11" s="63">
        <v>10665</v>
      </c>
      <c r="C11" s="35">
        <v>77.682232999999997</v>
      </c>
      <c r="D11" s="30"/>
      <c r="E11" s="26">
        <v>2018</v>
      </c>
      <c r="F11" s="34">
        <v>7418</v>
      </c>
      <c r="G11" s="35">
        <v>38.748271000000003</v>
      </c>
      <c r="H11" s="30"/>
      <c r="I11" s="26">
        <v>2018</v>
      </c>
      <c r="J11" s="34">
        <v>18083</v>
      </c>
      <c r="K11" s="35">
        <v>56.682853000000001</v>
      </c>
    </row>
    <row r="12" spans="1:12" s="25" customFormat="1" ht="15" customHeight="1" x14ac:dyDescent="0.2">
      <c r="A12" s="26">
        <v>2019</v>
      </c>
      <c r="B12" s="63">
        <v>10633</v>
      </c>
      <c r="C12" s="35">
        <v>75.121864000000002</v>
      </c>
      <c r="D12" s="30"/>
      <c r="E12" s="26">
        <v>2019</v>
      </c>
      <c r="F12" s="34">
        <v>7368</v>
      </c>
      <c r="G12" s="35">
        <v>37.698197999999998</v>
      </c>
      <c r="H12" s="30"/>
      <c r="I12" s="26">
        <v>2019</v>
      </c>
      <c r="J12" s="34">
        <v>18001</v>
      </c>
      <c r="K12" s="35">
        <v>55.050797000000003</v>
      </c>
    </row>
    <row r="13" spans="1:12" s="25" customFormat="1" ht="15" customHeight="1" x14ac:dyDescent="0.2">
      <c r="A13" s="26">
        <v>2020</v>
      </c>
      <c r="B13" s="63">
        <v>10208</v>
      </c>
      <c r="C13" s="35">
        <v>69.759015000000005</v>
      </c>
      <c r="D13" s="30"/>
      <c r="E13" s="26">
        <v>2020</v>
      </c>
      <c r="F13" s="34">
        <v>6629</v>
      </c>
      <c r="G13" s="35">
        <v>33.022395000000003</v>
      </c>
      <c r="H13" s="30"/>
      <c r="I13" s="26">
        <v>2020</v>
      </c>
      <c r="J13" s="34">
        <v>16837</v>
      </c>
      <c r="K13" s="35">
        <v>50.062080000000002</v>
      </c>
    </row>
    <row r="14" spans="1:12" s="25" customFormat="1" ht="15" customHeight="1" x14ac:dyDescent="0.2">
      <c r="A14" s="26">
        <v>2021</v>
      </c>
      <c r="B14" s="63">
        <v>10463</v>
      </c>
      <c r="C14" s="35">
        <v>69.270270999999994</v>
      </c>
      <c r="D14" s="30"/>
      <c r="E14" s="26">
        <v>2021</v>
      </c>
      <c r="F14" s="34">
        <v>6984</v>
      </c>
      <c r="G14" s="35">
        <v>33.951563999999998</v>
      </c>
      <c r="H14" s="30"/>
      <c r="I14" s="26">
        <v>2021</v>
      </c>
      <c r="J14" s="34">
        <v>17447</v>
      </c>
      <c r="K14" s="35">
        <v>50.377712000000002</v>
      </c>
    </row>
    <row r="15" spans="1:12" s="25" customFormat="1" ht="15" customHeight="1" x14ac:dyDescent="0.2">
      <c r="A15" s="26">
        <v>2022</v>
      </c>
      <c r="B15" s="63">
        <v>11399</v>
      </c>
      <c r="C15" s="35">
        <v>73.097757000000001</v>
      </c>
      <c r="D15" s="30"/>
      <c r="E15" s="26">
        <v>2022</v>
      </c>
      <c r="F15" s="34">
        <v>7383</v>
      </c>
      <c r="G15" s="35">
        <v>35.29954</v>
      </c>
      <c r="H15" s="30"/>
      <c r="I15" s="26">
        <v>2022</v>
      </c>
      <c r="J15" s="34">
        <v>18782</v>
      </c>
      <c r="K15" s="35">
        <v>52.896616999999999</v>
      </c>
    </row>
    <row r="16" spans="1:12" s="25" customFormat="1" ht="15" customHeight="1" x14ac:dyDescent="0.2">
      <c r="A16" s="105">
        <v>2023</v>
      </c>
      <c r="B16" s="106">
        <v>10343</v>
      </c>
      <c r="C16" s="107">
        <v>64.398760999999993</v>
      </c>
      <c r="D16" s="108"/>
      <c r="E16" s="105">
        <v>2023</v>
      </c>
      <c r="F16" s="109">
        <v>6579</v>
      </c>
      <c r="G16" s="107">
        <v>30.832774000000001</v>
      </c>
      <c r="H16" s="108"/>
      <c r="I16" s="105">
        <v>2023</v>
      </c>
      <c r="J16" s="109">
        <v>16922</v>
      </c>
      <c r="K16" s="107">
        <v>46.432372999999998</v>
      </c>
    </row>
    <row r="17" spans="1:11" s="25" customFormat="1" ht="15" customHeight="1" x14ac:dyDescent="0.2">
      <c r="A17" s="112" t="s">
        <v>43</v>
      </c>
      <c r="B17" s="23"/>
      <c r="C17" s="24"/>
      <c r="D17" s="23"/>
      <c r="E17" s="112" t="s">
        <v>43</v>
      </c>
      <c r="F17" s="23"/>
      <c r="G17" s="24"/>
      <c r="H17" s="23"/>
      <c r="I17" s="112" t="s">
        <v>43</v>
      </c>
      <c r="J17" s="23"/>
      <c r="K17" s="24"/>
    </row>
    <row r="18" spans="1:11" s="25" customFormat="1" ht="15" customHeight="1" x14ac:dyDescent="0.2">
      <c r="A18" s="26">
        <v>2013</v>
      </c>
      <c r="B18" s="28">
        <v>3667</v>
      </c>
      <c r="C18" s="29">
        <v>32.364277999999999</v>
      </c>
      <c r="D18" s="30"/>
      <c r="E18" s="26">
        <v>2013</v>
      </c>
      <c r="F18" s="28">
        <v>7298</v>
      </c>
      <c r="G18" s="29">
        <v>40.034964000000002</v>
      </c>
      <c r="H18" s="30"/>
      <c r="I18" s="26">
        <v>2013</v>
      </c>
      <c r="J18" s="34">
        <v>10965</v>
      </c>
      <c r="K18" s="35">
        <v>37.296387000000003</v>
      </c>
    </row>
    <row r="19" spans="1:11" s="25" customFormat="1" ht="15" customHeight="1" x14ac:dyDescent="0.2">
      <c r="A19" s="26">
        <v>2014</v>
      </c>
      <c r="B19" s="28">
        <v>4116</v>
      </c>
      <c r="C19" s="29">
        <v>34.780990000000003</v>
      </c>
      <c r="D19" s="30"/>
      <c r="E19" s="26">
        <v>2014</v>
      </c>
      <c r="F19" s="28">
        <v>7882</v>
      </c>
      <c r="G19" s="29">
        <v>42.300592999999999</v>
      </c>
      <c r="H19" s="30"/>
      <c r="I19" s="26">
        <v>2014</v>
      </c>
      <c r="J19" s="34">
        <v>11998</v>
      </c>
      <c r="K19" s="35">
        <v>39.552137999999999</v>
      </c>
    </row>
    <row r="20" spans="1:11" s="25" customFormat="1" ht="15" customHeight="1" x14ac:dyDescent="0.2">
      <c r="A20" s="26">
        <v>2015</v>
      </c>
      <c r="B20" s="28">
        <v>4384</v>
      </c>
      <c r="C20" s="29">
        <v>35.663125000000001</v>
      </c>
      <c r="D20" s="30"/>
      <c r="E20" s="26">
        <v>2015</v>
      </c>
      <c r="F20" s="28">
        <v>8257</v>
      </c>
      <c r="G20" s="29">
        <v>43.286233000000003</v>
      </c>
      <c r="H20" s="30"/>
      <c r="I20" s="26">
        <v>2015</v>
      </c>
      <c r="J20" s="34">
        <v>12641</v>
      </c>
      <c r="K20" s="35">
        <v>40.469842999999997</v>
      </c>
    </row>
    <row r="21" spans="1:11" s="25" customFormat="1" ht="15" customHeight="1" x14ac:dyDescent="0.2">
      <c r="A21" s="26">
        <v>2016</v>
      </c>
      <c r="B21" s="28">
        <v>4795</v>
      </c>
      <c r="C21" s="29">
        <v>37.630009999999999</v>
      </c>
      <c r="D21" s="30"/>
      <c r="E21" s="26">
        <v>2016</v>
      </c>
      <c r="F21" s="28">
        <v>8589</v>
      </c>
      <c r="G21" s="29">
        <v>44.009546</v>
      </c>
      <c r="H21" s="30"/>
      <c r="I21" s="26">
        <v>2016</v>
      </c>
      <c r="J21" s="34">
        <v>13384</v>
      </c>
      <c r="K21" s="35">
        <v>41.706411000000003</v>
      </c>
    </row>
    <row r="22" spans="1:11" s="25" customFormat="1" ht="15" customHeight="1" x14ac:dyDescent="0.2">
      <c r="A22" s="26">
        <v>2017</v>
      </c>
      <c r="B22" s="28">
        <v>4978</v>
      </c>
      <c r="C22" s="29">
        <v>37.771397999999998</v>
      </c>
      <c r="D22" s="30"/>
      <c r="E22" s="26">
        <v>2017</v>
      </c>
      <c r="F22" s="28">
        <v>9013</v>
      </c>
      <c r="G22" s="29">
        <v>45.407407999999997</v>
      </c>
      <c r="H22" s="30"/>
      <c r="I22" s="26">
        <v>2017</v>
      </c>
      <c r="J22" s="34">
        <v>13991</v>
      </c>
      <c r="K22" s="35">
        <v>42.549475000000001</v>
      </c>
    </row>
    <row r="23" spans="1:11" s="25" customFormat="1" ht="15" customHeight="1" x14ac:dyDescent="0.2">
      <c r="A23" s="26">
        <v>2018</v>
      </c>
      <c r="B23" s="63">
        <v>5076</v>
      </c>
      <c r="C23" s="35">
        <v>37.404865999999998</v>
      </c>
      <c r="D23" s="30"/>
      <c r="E23" s="26">
        <v>2018</v>
      </c>
      <c r="F23" s="34">
        <v>9146</v>
      </c>
      <c r="G23" s="35">
        <v>45.212502999999998</v>
      </c>
      <c r="H23" s="30"/>
      <c r="I23" s="26">
        <v>2018</v>
      </c>
      <c r="J23" s="34">
        <v>14222</v>
      </c>
      <c r="K23" s="35">
        <v>42.277583999999997</v>
      </c>
    </row>
    <row r="24" spans="1:11" s="25" customFormat="1" ht="15" customHeight="1" x14ac:dyDescent="0.2">
      <c r="A24" s="26">
        <v>2019</v>
      </c>
      <c r="B24" s="63">
        <v>5498</v>
      </c>
      <c r="C24" s="35">
        <v>39.147298999999997</v>
      </c>
      <c r="D24" s="30"/>
      <c r="E24" s="26">
        <v>2019</v>
      </c>
      <c r="F24" s="34">
        <v>9656</v>
      </c>
      <c r="G24" s="35">
        <v>46.835042999999999</v>
      </c>
      <c r="H24" s="30"/>
      <c r="I24" s="26">
        <v>2019</v>
      </c>
      <c r="J24" s="34">
        <v>15154</v>
      </c>
      <c r="K24" s="35">
        <v>43.889789</v>
      </c>
    </row>
    <row r="25" spans="1:11" s="25" customFormat="1" ht="15" customHeight="1" x14ac:dyDescent="0.2">
      <c r="A25" s="26">
        <v>2020</v>
      </c>
      <c r="B25" s="63">
        <v>5317</v>
      </c>
      <c r="C25" s="35">
        <v>36.458578000000003</v>
      </c>
      <c r="D25" s="30"/>
      <c r="E25" s="26">
        <v>2020</v>
      </c>
      <c r="F25" s="34">
        <v>9442</v>
      </c>
      <c r="G25" s="35">
        <v>44.760742</v>
      </c>
      <c r="H25" s="30"/>
      <c r="I25" s="26">
        <v>2020</v>
      </c>
      <c r="J25" s="34">
        <v>14759</v>
      </c>
      <c r="K25" s="35">
        <v>41.512535999999997</v>
      </c>
    </row>
    <row r="26" spans="1:11" s="25" customFormat="1" ht="15" customHeight="1" x14ac:dyDescent="0.2">
      <c r="A26" s="26">
        <v>2021</v>
      </c>
      <c r="B26" s="63">
        <v>5672</v>
      </c>
      <c r="C26" s="35">
        <v>37.372014</v>
      </c>
      <c r="D26" s="30"/>
      <c r="E26" s="26">
        <v>2021</v>
      </c>
      <c r="F26" s="34">
        <v>10285</v>
      </c>
      <c r="G26" s="35">
        <v>47.617583000000003</v>
      </c>
      <c r="H26" s="30"/>
      <c r="I26" s="26">
        <v>2021</v>
      </c>
      <c r="J26" s="34">
        <v>15957</v>
      </c>
      <c r="K26" s="35">
        <v>43.511167</v>
      </c>
    </row>
    <row r="27" spans="1:11" s="25" customFormat="1" ht="15" customHeight="1" x14ac:dyDescent="0.2">
      <c r="A27" s="26">
        <v>2022</v>
      </c>
      <c r="B27" s="63">
        <v>6131</v>
      </c>
      <c r="C27" s="35">
        <v>38.915433999999998</v>
      </c>
      <c r="D27" s="30"/>
      <c r="E27" s="26">
        <v>2022</v>
      </c>
      <c r="F27" s="34">
        <v>10980</v>
      </c>
      <c r="G27" s="35">
        <v>49.666378999999999</v>
      </c>
      <c r="H27" s="30"/>
      <c r="I27" s="26">
        <v>2022</v>
      </c>
      <c r="J27" s="34">
        <v>17111</v>
      </c>
      <c r="K27" s="35">
        <v>45.333606000000003</v>
      </c>
    </row>
    <row r="28" spans="1:11" s="25" customFormat="1" ht="15" customHeight="1" x14ac:dyDescent="0.2">
      <c r="A28" s="105">
        <v>2023</v>
      </c>
      <c r="B28" s="106">
        <v>6111</v>
      </c>
      <c r="C28" s="107">
        <v>37.480701000000003</v>
      </c>
      <c r="D28" s="108"/>
      <c r="E28" s="105">
        <v>2023</v>
      </c>
      <c r="F28" s="109">
        <v>10574</v>
      </c>
      <c r="G28" s="107">
        <v>46.889074999999998</v>
      </c>
      <c r="H28" s="108"/>
      <c r="I28" s="105">
        <v>2023</v>
      </c>
      <c r="J28" s="109">
        <v>16685</v>
      </c>
      <c r="K28" s="107">
        <v>43.044899000000001</v>
      </c>
    </row>
    <row r="29" spans="1:11" s="25" customFormat="1" ht="15" customHeight="1" x14ac:dyDescent="0.2">
      <c r="A29" s="21" t="s">
        <v>45</v>
      </c>
      <c r="B29" s="23"/>
      <c r="C29" s="24"/>
      <c r="D29" s="23"/>
      <c r="E29" s="21" t="s">
        <v>45</v>
      </c>
      <c r="F29" s="23"/>
      <c r="G29" s="24"/>
      <c r="H29" s="23"/>
      <c r="I29" s="21" t="s">
        <v>45</v>
      </c>
      <c r="J29" s="23"/>
      <c r="K29" s="24"/>
    </row>
    <row r="30" spans="1:11" s="25" customFormat="1" ht="15" customHeight="1" x14ac:dyDescent="0.2">
      <c r="A30" s="26">
        <v>2013</v>
      </c>
      <c r="B30" s="28">
        <v>4184</v>
      </c>
      <c r="C30" s="29">
        <v>36.283394999999999</v>
      </c>
      <c r="D30" s="30"/>
      <c r="E30" s="26">
        <v>2013</v>
      </c>
      <c r="F30" s="28">
        <v>6386</v>
      </c>
      <c r="G30" s="29">
        <v>37.029353</v>
      </c>
      <c r="H30" s="30"/>
      <c r="I30" s="26">
        <v>2013</v>
      </c>
      <c r="J30" s="34">
        <v>10570</v>
      </c>
      <c r="K30" s="35">
        <v>37.097422999999999</v>
      </c>
    </row>
    <row r="31" spans="1:11" s="25" customFormat="1" ht="15" customHeight="1" x14ac:dyDescent="0.2">
      <c r="A31" s="26">
        <v>2014</v>
      </c>
      <c r="B31" s="28">
        <v>4270</v>
      </c>
      <c r="C31" s="29">
        <v>35.766976999999997</v>
      </c>
      <c r="D31" s="30"/>
      <c r="E31" s="26">
        <v>2014</v>
      </c>
      <c r="F31" s="28">
        <v>6475</v>
      </c>
      <c r="G31" s="29">
        <v>36.546211999999997</v>
      </c>
      <c r="H31" s="30"/>
      <c r="I31" s="26">
        <v>2014</v>
      </c>
      <c r="J31" s="34">
        <v>10745</v>
      </c>
      <c r="K31" s="35">
        <v>36.633073000000003</v>
      </c>
    </row>
    <row r="32" spans="1:11" s="25" customFormat="1" ht="15" customHeight="1" x14ac:dyDescent="0.2">
      <c r="A32" s="26">
        <v>2015</v>
      </c>
      <c r="B32" s="28">
        <v>4367</v>
      </c>
      <c r="C32" s="29">
        <v>35.251871000000001</v>
      </c>
      <c r="D32" s="30"/>
      <c r="E32" s="26">
        <v>2015</v>
      </c>
      <c r="F32" s="28">
        <v>6504</v>
      </c>
      <c r="G32" s="29">
        <v>35.705917999999997</v>
      </c>
      <c r="H32" s="30"/>
      <c r="I32" s="26">
        <v>2015</v>
      </c>
      <c r="J32" s="34">
        <v>10871</v>
      </c>
      <c r="K32" s="35">
        <v>35.919175000000003</v>
      </c>
    </row>
    <row r="33" spans="1:11" s="25" customFormat="1" ht="15" customHeight="1" x14ac:dyDescent="0.2">
      <c r="A33" s="26">
        <v>2016</v>
      </c>
      <c r="B33" s="28">
        <v>4274</v>
      </c>
      <c r="C33" s="29">
        <v>33.418430000000001</v>
      </c>
      <c r="D33" s="30"/>
      <c r="E33" s="26">
        <v>2016</v>
      </c>
      <c r="F33" s="28">
        <v>6259</v>
      </c>
      <c r="G33" s="29">
        <v>34.050316000000002</v>
      </c>
      <c r="H33" s="30"/>
      <c r="I33" s="26">
        <v>2016</v>
      </c>
      <c r="J33" s="34">
        <v>10533</v>
      </c>
      <c r="K33" s="35">
        <v>34.194803</v>
      </c>
    </row>
    <row r="34" spans="1:11" s="25" customFormat="1" ht="15" customHeight="1" x14ac:dyDescent="0.2">
      <c r="A34" s="26">
        <v>2017</v>
      </c>
      <c r="B34" s="28">
        <v>4357</v>
      </c>
      <c r="C34" s="29">
        <v>32.972842</v>
      </c>
      <c r="D34" s="30"/>
      <c r="E34" s="26">
        <v>2017</v>
      </c>
      <c r="F34" s="28">
        <v>5941</v>
      </c>
      <c r="G34" s="29">
        <v>31.861345</v>
      </c>
      <c r="H34" s="30"/>
      <c r="I34" s="26">
        <v>2017</v>
      </c>
      <c r="J34" s="34">
        <v>10298</v>
      </c>
      <c r="K34" s="35">
        <v>32.605322000000001</v>
      </c>
    </row>
    <row r="35" spans="1:11" s="25" customFormat="1" ht="15" customHeight="1" x14ac:dyDescent="0.2">
      <c r="A35" s="26">
        <v>2018</v>
      </c>
      <c r="B35" s="63">
        <v>4218</v>
      </c>
      <c r="C35" s="35">
        <v>30.936278999999999</v>
      </c>
      <c r="D35" s="30"/>
      <c r="E35" s="26">
        <v>2018</v>
      </c>
      <c r="F35" s="34">
        <v>5881</v>
      </c>
      <c r="G35" s="35">
        <v>30.940674000000001</v>
      </c>
      <c r="H35" s="30"/>
      <c r="I35" s="26">
        <v>2018</v>
      </c>
      <c r="J35" s="34">
        <v>10099</v>
      </c>
      <c r="K35" s="35">
        <v>31.262698</v>
      </c>
    </row>
    <row r="36" spans="1:11" s="25" customFormat="1" ht="15" customHeight="1" x14ac:dyDescent="0.2">
      <c r="A36" s="26">
        <v>2019</v>
      </c>
      <c r="B36" s="63">
        <v>4096</v>
      </c>
      <c r="C36" s="35">
        <v>29.151579999999999</v>
      </c>
      <c r="D36" s="30"/>
      <c r="E36" s="26">
        <v>2019</v>
      </c>
      <c r="F36" s="34">
        <v>5764</v>
      </c>
      <c r="G36" s="35">
        <v>29.608277999999999</v>
      </c>
      <c r="H36" s="30"/>
      <c r="I36" s="26">
        <v>2019</v>
      </c>
      <c r="J36" s="34">
        <v>9860</v>
      </c>
      <c r="K36" s="35">
        <v>29.718979999999998</v>
      </c>
    </row>
    <row r="37" spans="1:11" s="25" customFormat="1" ht="15" customHeight="1" x14ac:dyDescent="0.2">
      <c r="A37" s="26">
        <v>2020</v>
      </c>
      <c r="B37" s="63">
        <v>4016</v>
      </c>
      <c r="C37" s="35">
        <v>27.531756999999999</v>
      </c>
      <c r="D37" s="30"/>
      <c r="E37" s="26">
        <v>2020</v>
      </c>
      <c r="F37" s="34">
        <v>5523</v>
      </c>
      <c r="G37" s="35">
        <v>27.728840999999999</v>
      </c>
      <c r="H37" s="30"/>
      <c r="I37" s="26">
        <v>2020</v>
      </c>
      <c r="J37" s="34">
        <v>9539</v>
      </c>
      <c r="K37" s="35">
        <v>27.912634000000001</v>
      </c>
    </row>
    <row r="38" spans="1:11" s="25" customFormat="1" ht="15" customHeight="1" x14ac:dyDescent="0.2">
      <c r="A38" s="26">
        <v>2021</v>
      </c>
      <c r="B38" s="63">
        <v>4197</v>
      </c>
      <c r="C38" s="35">
        <v>27.731427</v>
      </c>
      <c r="D38" s="30"/>
      <c r="E38" s="26">
        <v>2021</v>
      </c>
      <c r="F38" s="34">
        <v>5642</v>
      </c>
      <c r="G38" s="35">
        <v>27.673732000000001</v>
      </c>
      <c r="H38" s="30"/>
      <c r="I38" s="26">
        <v>2021</v>
      </c>
      <c r="J38" s="34">
        <v>9839</v>
      </c>
      <c r="K38" s="35">
        <v>27.950277</v>
      </c>
    </row>
    <row r="39" spans="1:11" s="25" customFormat="1" ht="15" customHeight="1" x14ac:dyDescent="0.2">
      <c r="A39" s="26">
        <v>2022</v>
      </c>
      <c r="B39" s="63">
        <v>4321</v>
      </c>
      <c r="C39" s="35">
        <v>27.679055999999999</v>
      </c>
      <c r="D39" s="30"/>
      <c r="E39" s="26">
        <v>2022</v>
      </c>
      <c r="F39" s="34">
        <v>5517</v>
      </c>
      <c r="G39" s="35">
        <v>26.424310999999999</v>
      </c>
      <c r="H39" s="30"/>
      <c r="I39" s="26">
        <v>2022</v>
      </c>
      <c r="J39" s="34">
        <v>9838</v>
      </c>
      <c r="K39" s="35">
        <v>27.197495</v>
      </c>
    </row>
    <row r="40" spans="1:11" s="25" customFormat="1" ht="15" customHeight="1" x14ac:dyDescent="0.2">
      <c r="A40" s="105">
        <v>2023</v>
      </c>
      <c r="B40" s="106">
        <v>4096</v>
      </c>
      <c r="C40" s="107">
        <v>25.339919999999999</v>
      </c>
      <c r="D40" s="108"/>
      <c r="E40" s="105">
        <v>2023</v>
      </c>
      <c r="F40" s="109">
        <v>5263</v>
      </c>
      <c r="G40" s="107">
        <v>24.739813999999999</v>
      </c>
      <c r="H40" s="108"/>
      <c r="I40" s="105">
        <v>2023</v>
      </c>
      <c r="J40" s="109">
        <v>9359</v>
      </c>
      <c r="K40" s="107">
        <v>25.205271</v>
      </c>
    </row>
    <row r="41" spans="1:11" s="25" customFormat="1" ht="15" customHeight="1" x14ac:dyDescent="0.2">
      <c r="A41" s="111" t="s">
        <v>44</v>
      </c>
      <c r="B41" s="23"/>
      <c r="C41" s="24"/>
      <c r="D41" s="23"/>
      <c r="E41" s="111" t="s">
        <v>44</v>
      </c>
      <c r="F41" s="23"/>
      <c r="G41" s="24"/>
      <c r="H41" s="23"/>
      <c r="I41" s="111" t="s">
        <v>44</v>
      </c>
      <c r="J41" s="23"/>
      <c r="K41" s="24"/>
    </row>
    <row r="42" spans="1:11" s="25" customFormat="1" ht="15" customHeight="1" x14ac:dyDescent="0.2">
      <c r="A42" s="26">
        <v>2013</v>
      </c>
      <c r="B42" s="28">
        <v>5000</v>
      </c>
      <c r="C42" s="29">
        <v>41.435473000000002</v>
      </c>
      <c r="D42" s="30"/>
      <c r="E42" s="26">
        <v>2013</v>
      </c>
      <c r="F42" s="28">
        <v>3230</v>
      </c>
      <c r="G42" s="29">
        <v>22.984207000000001</v>
      </c>
      <c r="H42" s="30"/>
      <c r="I42" s="26">
        <v>2013</v>
      </c>
      <c r="J42" s="34">
        <v>8230</v>
      </c>
      <c r="K42" s="35">
        <v>31.313493000000001</v>
      </c>
    </row>
    <row r="43" spans="1:11" s="25" customFormat="1" ht="15" customHeight="1" x14ac:dyDescent="0.2">
      <c r="A43" s="26">
        <v>2014</v>
      </c>
      <c r="B43" s="28">
        <v>4962</v>
      </c>
      <c r="C43" s="29">
        <v>40.003</v>
      </c>
      <c r="D43" s="30"/>
      <c r="E43" s="26">
        <v>2014</v>
      </c>
      <c r="F43" s="28">
        <v>3312</v>
      </c>
      <c r="G43" s="29">
        <v>22.983423999999999</v>
      </c>
      <c r="H43" s="30"/>
      <c r="I43" s="26">
        <v>2014</v>
      </c>
      <c r="J43" s="34">
        <v>8274</v>
      </c>
      <c r="K43" s="35">
        <v>30.660983000000002</v>
      </c>
    </row>
    <row r="44" spans="1:11" s="25" customFormat="1" ht="15" customHeight="1" x14ac:dyDescent="0.2">
      <c r="A44" s="26">
        <v>2015</v>
      </c>
      <c r="B44" s="28">
        <v>4996</v>
      </c>
      <c r="C44" s="29">
        <v>39.225332999999999</v>
      </c>
      <c r="D44" s="30"/>
      <c r="E44" s="26">
        <v>2015</v>
      </c>
      <c r="F44" s="28">
        <v>3482</v>
      </c>
      <c r="G44" s="29">
        <v>23.654284000000001</v>
      </c>
      <c r="H44" s="30"/>
      <c r="I44" s="26">
        <v>2015</v>
      </c>
      <c r="J44" s="34">
        <v>8478</v>
      </c>
      <c r="K44" s="35">
        <v>30.677040999999999</v>
      </c>
    </row>
    <row r="45" spans="1:11" s="25" customFormat="1" ht="15" customHeight="1" x14ac:dyDescent="0.2">
      <c r="A45" s="26">
        <v>2016</v>
      </c>
      <c r="B45" s="28">
        <v>5036</v>
      </c>
      <c r="C45" s="29">
        <v>38.313397000000002</v>
      </c>
      <c r="D45" s="30"/>
      <c r="E45" s="26">
        <v>2016</v>
      </c>
      <c r="F45" s="28">
        <v>3404</v>
      </c>
      <c r="G45" s="29">
        <v>22.579360999999999</v>
      </c>
      <c r="H45" s="30"/>
      <c r="I45" s="26">
        <v>2016</v>
      </c>
      <c r="J45" s="34">
        <v>8440</v>
      </c>
      <c r="K45" s="35">
        <v>29.665085000000001</v>
      </c>
    </row>
    <row r="46" spans="1:11" s="25" customFormat="1" ht="15" customHeight="1" x14ac:dyDescent="0.2">
      <c r="A46" s="26">
        <v>2017</v>
      </c>
      <c r="B46" s="28">
        <v>4932</v>
      </c>
      <c r="C46" s="29">
        <v>36.197470000000003</v>
      </c>
      <c r="D46" s="30"/>
      <c r="E46" s="26">
        <v>2017</v>
      </c>
      <c r="F46" s="28">
        <v>3359</v>
      </c>
      <c r="G46" s="29">
        <v>21.416302999999999</v>
      </c>
      <c r="H46" s="30"/>
      <c r="I46" s="26">
        <v>2017</v>
      </c>
      <c r="J46" s="34">
        <v>8291</v>
      </c>
      <c r="K46" s="35">
        <v>28.137862999999999</v>
      </c>
    </row>
    <row r="47" spans="1:11" s="25" customFormat="1" ht="15" customHeight="1" x14ac:dyDescent="0.2">
      <c r="A47" s="26">
        <v>2018</v>
      </c>
      <c r="B47" s="63">
        <v>5040</v>
      </c>
      <c r="C47" s="35">
        <v>35.879412000000002</v>
      </c>
      <c r="D47" s="30"/>
      <c r="E47" s="26">
        <v>2018</v>
      </c>
      <c r="F47" s="34">
        <v>3623</v>
      </c>
      <c r="G47" s="35">
        <v>22.604837</v>
      </c>
      <c r="H47" s="30"/>
      <c r="I47" s="26">
        <v>2018</v>
      </c>
      <c r="J47" s="34">
        <v>8663</v>
      </c>
      <c r="K47" s="35">
        <v>28.686084999999999</v>
      </c>
    </row>
    <row r="48" spans="1:11" s="25" customFormat="1" ht="15" customHeight="1" x14ac:dyDescent="0.2">
      <c r="A48" s="26">
        <v>2019</v>
      </c>
      <c r="B48" s="63">
        <v>5151</v>
      </c>
      <c r="C48" s="35">
        <v>35.715957000000003</v>
      </c>
      <c r="D48" s="30"/>
      <c r="E48" s="26">
        <v>2019</v>
      </c>
      <c r="F48" s="34">
        <v>3603</v>
      </c>
      <c r="G48" s="35">
        <v>21.796873999999999</v>
      </c>
      <c r="H48" s="30"/>
      <c r="I48" s="26">
        <v>2019</v>
      </c>
      <c r="J48" s="34">
        <v>8754</v>
      </c>
      <c r="K48" s="35">
        <v>28.144978999999999</v>
      </c>
    </row>
    <row r="49" spans="1:11" s="25" customFormat="1" ht="15" customHeight="1" x14ac:dyDescent="0.2">
      <c r="A49" s="26">
        <v>2020</v>
      </c>
      <c r="B49" s="63">
        <v>4763</v>
      </c>
      <c r="C49" s="35">
        <v>31.807198</v>
      </c>
      <c r="D49" s="30"/>
      <c r="E49" s="26">
        <v>2020</v>
      </c>
      <c r="F49" s="34">
        <v>3714</v>
      </c>
      <c r="G49" s="35">
        <v>21.653234999999999</v>
      </c>
      <c r="H49" s="30"/>
      <c r="I49" s="26">
        <v>2020</v>
      </c>
      <c r="J49" s="34">
        <v>8477</v>
      </c>
      <c r="K49" s="35">
        <v>26.290006999999999</v>
      </c>
    </row>
    <row r="50" spans="1:11" s="25" customFormat="1" ht="15" customHeight="1" x14ac:dyDescent="0.2">
      <c r="A50" s="26">
        <v>2021</v>
      </c>
      <c r="B50" s="63">
        <v>4971</v>
      </c>
      <c r="C50" s="35">
        <v>32.209088000000001</v>
      </c>
      <c r="D50" s="30"/>
      <c r="E50" s="26">
        <v>2021</v>
      </c>
      <c r="F50" s="34">
        <v>3706</v>
      </c>
      <c r="G50" s="35">
        <v>21.003250999999999</v>
      </c>
      <c r="H50" s="30"/>
      <c r="I50" s="26">
        <v>2021</v>
      </c>
      <c r="J50" s="34">
        <v>8677</v>
      </c>
      <c r="K50" s="35">
        <v>26.111678999999999</v>
      </c>
    </row>
    <row r="51" spans="1:11" s="25" customFormat="1" ht="15" customHeight="1" x14ac:dyDescent="0.2">
      <c r="A51" s="26">
        <v>2022</v>
      </c>
      <c r="B51" s="63">
        <v>5147</v>
      </c>
      <c r="C51" s="35">
        <v>32.375163000000001</v>
      </c>
      <c r="D51" s="30"/>
      <c r="E51" s="26">
        <v>2022</v>
      </c>
      <c r="F51" s="34">
        <v>3904</v>
      </c>
      <c r="G51" s="35">
        <v>21.558627999999999</v>
      </c>
      <c r="H51" s="30"/>
      <c r="I51" s="26">
        <v>2022</v>
      </c>
      <c r="J51" s="34">
        <v>9051</v>
      </c>
      <c r="K51" s="35">
        <v>26.515224</v>
      </c>
    </row>
    <row r="52" spans="1:11" s="25" customFormat="1" ht="15" customHeight="1" x14ac:dyDescent="0.2">
      <c r="A52" s="105">
        <v>2023</v>
      </c>
      <c r="B52" s="106">
        <v>5194</v>
      </c>
      <c r="C52" s="107">
        <v>31.801541</v>
      </c>
      <c r="D52" s="108"/>
      <c r="E52" s="105">
        <v>2023</v>
      </c>
      <c r="F52" s="109">
        <v>3782</v>
      </c>
      <c r="G52" s="107">
        <v>20.215762999999999</v>
      </c>
      <c r="H52" s="108"/>
      <c r="I52" s="105">
        <v>2023</v>
      </c>
      <c r="J52" s="109">
        <v>8976</v>
      </c>
      <c r="K52" s="107">
        <v>25.560039</v>
      </c>
    </row>
    <row r="53" spans="1:11" s="25" customFormat="1" ht="15" customHeight="1" x14ac:dyDescent="0.2">
      <c r="A53" s="103" t="s">
        <v>570</v>
      </c>
      <c r="B53" s="23"/>
      <c r="C53" s="24"/>
      <c r="D53" s="23"/>
      <c r="E53" s="103" t="s">
        <v>570</v>
      </c>
      <c r="F53" s="23"/>
      <c r="G53" s="24"/>
      <c r="H53" s="23"/>
      <c r="I53" s="103" t="s">
        <v>570</v>
      </c>
      <c r="J53" s="23"/>
      <c r="K53" s="24"/>
    </row>
    <row r="54" spans="1:11" s="25" customFormat="1" ht="15" customHeight="1" x14ac:dyDescent="0.2">
      <c r="A54" s="26">
        <v>2013</v>
      </c>
      <c r="B54" s="28">
        <v>3589</v>
      </c>
      <c r="C54" s="29">
        <v>30.874972</v>
      </c>
      <c r="D54" s="30"/>
      <c r="E54" s="26">
        <v>2013</v>
      </c>
      <c r="F54" s="28">
        <v>2896</v>
      </c>
      <c r="G54" s="29">
        <v>18.860104</v>
      </c>
      <c r="H54" s="30"/>
      <c r="I54" s="26">
        <v>2013</v>
      </c>
      <c r="J54" s="34">
        <v>6485</v>
      </c>
      <c r="K54" s="35">
        <v>23.885200999999999</v>
      </c>
    </row>
    <row r="55" spans="1:11" s="25" customFormat="1" ht="15" customHeight="1" x14ac:dyDescent="0.2">
      <c r="A55" s="26">
        <v>2014</v>
      </c>
      <c r="B55" s="28">
        <v>3924</v>
      </c>
      <c r="C55" s="29">
        <v>32.570127999999997</v>
      </c>
      <c r="D55" s="30"/>
      <c r="E55" s="26">
        <v>2014</v>
      </c>
      <c r="F55" s="28">
        <v>3123</v>
      </c>
      <c r="G55" s="29">
        <v>19.866700999999999</v>
      </c>
      <c r="H55" s="30"/>
      <c r="I55" s="26">
        <v>2014</v>
      </c>
      <c r="J55" s="34">
        <v>7047</v>
      </c>
      <c r="K55" s="35">
        <v>25.195398000000001</v>
      </c>
    </row>
    <row r="56" spans="1:11" s="25" customFormat="1" ht="15" customHeight="1" x14ac:dyDescent="0.2">
      <c r="A56" s="26">
        <v>2015</v>
      </c>
      <c r="B56" s="28">
        <v>3852</v>
      </c>
      <c r="C56" s="29">
        <v>30.854393000000002</v>
      </c>
      <c r="D56" s="30"/>
      <c r="E56" s="26">
        <v>2015</v>
      </c>
      <c r="F56" s="28">
        <v>3349</v>
      </c>
      <c r="G56" s="29">
        <v>20.653780999999999</v>
      </c>
      <c r="H56" s="30"/>
      <c r="I56" s="26">
        <v>2015</v>
      </c>
      <c r="J56" s="34">
        <v>7201</v>
      </c>
      <c r="K56" s="35">
        <v>24.98235</v>
      </c>
    </row>
    <row r="57" spans="1:11" s="25" customFormat="1" ht="15" customHeight="1" x14ac:dyDescent="0.2">
      <c r="A57" s="26">
        <v>2016</v>
      </c>
      <c r="B57" s="28">
        <v>3950</v>
      </c>
      <c r="C57" s="29">
        <v>30.605029999999999</v>
      </c>
      <c r="D57" s="30"/>
      <c r="E57" s="26">
        <v>2016</v>
      </c>
      <c r="F57" s="28">
        <v>3336</v>
      </c>
      <c r="G57" s="29">
        <v>20.097987</v>
      </c>
      <c r="H57" s="30"/>
      <c r="I57" s="26">
        <v>2016</v>
      </c>
      <c r="J57" s="34">
        <v>7286</v>
      </c>
      <c r="K57" s="35">
        <v>24.55968</v>
      </c>
    </row>
    <row r="58" spans="1:11" s="25" customFormat="1" ht="15" customHeight="1" x14ac:dyDescent="0.2">
      <c r="A58" s="26">
        <v>2017</v>
      </c>
      <c r="B58" s="28">
        <v>4079</v>
      </c>
      <c r="C58" s="29">
        <v>30.608639</v>
      </c>
      <c r="D58" s="30"/>
      <c r="E58" s="26">
        <v>2017</v>
      </c>
      <c r="F58" s="28">
        <v>3556</v>
      </c>
      <c r="G58" s="29">
        <v>21.084295000000001</v>
      </c>
      <c r="H58" s="30"/>
      <c r="I58" s="26">
        <v>2017</v>
      </c>
      <c r="J58" s="34">
        <v>7635</v>
      </c>
      <c r="K58" s="35">
        <v>25.153608999999999</v>
      </c>
    </row>
    <row r="59" spans="1:11" s="25" customFormat="1" ht="15" customHeight="1" x14ac:dyDescent="0.2">
      <c r="A59" s="26">
        <v>2018</v>
      </c>
      <c r="B59" s="63">
        <v>3860</v>
      </c>
      <c r="C59" s="35">
        <v>27.980443000000001</v>
      </c>
      <c r="D59" s="30"/>
      <c r="E59" s="26">
        <v>2018</v>
      </c>
      <c r="F59" s="34">
        <v>3382</v>
      </c>
      <c r="G59" s="35">
        <v>19.502141999999999</v>
      </c>
      <c r="H59" s="30"/>
      <c r="I59" s="26">
        <v>2018</v>
      </c>
      <c r="J59" s="34">
        <v>7242</v>
      </c>
      <c r="K59" s="35">
        <v>23.157699000000001</v>
      </c>
    </row>
    <row r="60" spans="1:11" s="25" customFormat="1" ht="15" customHeight="1" x14ac:dyDescent="0.2">
      <c r="A60" s="26">
        <v>2019</v>
      </c>
      <c r="B60" s="63">
        <v>3962</v>
      </c>
      <c r="C60" s="35">
        <v>27.775289000000001</v>
      </c>
      <c r="D60" s="30"/>
      <c r="E60" s="26">
        <v>2019</v>
      </c>
      <c r="F60" s="34">
        <v>3574</v>
      </c>
      <c r="G60" s="35">
        <v>20.104043000000001</v>
      </c>
      <c r="H60" s="30"/>
      <c r="I60" s="26">
        <v>2019</v>
      </c>
      <c r="J60" s="34">
        <v>7536</v>
      </c>
      <c r="K60" s="35">
        <v>23.436430999999999</v>
      </c>
    </row>
    <row r="61" spans="1:11" s="25" customFormat="1" ht="15" customHeight="1" x14ac:dyDescent="0.2">
      <c r="A61" s="26">
        <v>2020</v>
      </c>
      <c r="B61" s="63">
        <v>3483</v>
      </c>
      <c r="C61" s="35">
        <v>23.481255999999998</v>
      </c>
      <c r="D61" s="30"/>
      <c r="E61" s="26">
        <v>2020</v>
      </c>
      <c r="F61" s="34">
        <v>2921</v>
      </c>
      <c r="G61" s="35">
        <v>16.030877</v>
      </c>
      <c r="H61" s="30"/>
      <c r="I61" s="26">
        <v>2020</v>
      </c>
      <c r="J61" s="34">
        <v>6404</v>
      </c>
      <c r="K61" s="35">
        <v>19.287036000000001</v>
      </c>
    </row>
    <row r="62" spans="1:11" s="25" customFormat="1" ht="15" customHeight="1" x14ac:dyDescent="0.2">
      <c r="A62" s="26">
        <v>2021</v>
      </c>
      <c r="B62" s="63">
        <v>3722</v>
      </c>
      <c r="C62" s="35">
        <v>24.259744999999999</v>
      </c>
      <c r="D62" s="30"/>
      <c r="E62" s="26">
        <v>2021</v>
      </c>
      <c r="F62" s="34">
        <v>3313</v>
      </c>
      <c r="G62" s="35">
        <v>17.684408000000001</v>
      </c>
      <c r="H62" s="30"/>
      <c r="I62" s="26">
        <v>2021</v>
      </c>
      <c r="J62" s="34">
        <v>7035</v>
      </c>
      <c r="K62" s="35">
        <v>20.551995000000002</v>
      </c>
    </row>
    <row r="63" spans="1:11" s="25" customFormat="1" ht="15" customHeight="1" x14ac:dyDescent="0.2">
      <c r="A63" s="26">
        <v>2022</v>
      </c>
      <c r="B63" s="63">
        <v>4118</v>
      </c>
      <c r="C63" s="35">
        <v>25.910927000000001</v>
      </c>
      <c r="D63" s="30"/>
      <c r="E63" s="26">
        <v>2022</v>
      </c>
      <c r="F63" s="34">
        <v>3593</v>
      </c>
      <c r="G63" s="35">
        <v>18.577953000000001</v>
      </c>
      <c r="H63" s="30"/>
      <c r="I63" s="26">
        <v>2022</v>
      </c>
      <c r="J63" s="34">
        <v>7711</v>
      </c>
      <c r="K63" s="35">
        <v>21.862206</v>
      </c>
    </row>
    <row r="64" spans="1:11" s="25" customFormat="1" ht="15" customHeight="1" x14ac:dyDescent="0.2">
      <c r="A64" s="105">
        <v>2023</v>
      </c>
      <c r="B64" s="106">
        <v>3914</v>
      </c>
      <c r="C64" s="107">
        <v>23.862922000000001</v>
      </c>
      <c r="D64" s="108"/>
      <c r="E64" s="105">
        <v>2023</v>
      </c>
      <c r="F64" s="109">
        <v>3500</v>
      </c>
      <c r="G64" s="107">
        <v>17.557247</v>
      </c>
      <c r="H64" s="108"/>
      <c r="I64" s="105">
        <v>2023</v>
      </c>
      <c r="J64" s="109">
        <v>7414</v>
      </c>
      <c r="K64" s="107">
        <v>20.367542</v>
      </c>
    </row>
    <row r="65" spans="1:17" s="128" customFormat="1" ht="15" customHeight="1" x14ac:dyDescent="0.2">
      <c r="A65" s="133" t="s">
        <v>571</v>
      </c>
      <c r="B65" s="130"/>
      <c r="C65" s="132"/>
      <c r="D65" s="132"/>
      <c r="E65" s="131"/>
      <c r="F65" s="131"/>
      <c r="G65" s="136"/>
      <c r="H65" s="136"/>
      <c r="I65" s="131"/>
      <c r="J65" s="129"/>
      <c r="K65" s="131"/>
      <c r="L65" s="131"/>
      <c r="M65" s="136"/>
      <c r="N65" s="136"/>
      <c r="O65" s="131"/>
      <c r="P65" s="129"/>
      <c r="Q65" s="131"/>
    </row>
    <row r="66" spans="1:17" s="28" customFormat="1" ht="15" customHeight="1" x14ac:dyDescent="0.2">
      <c r="A66" s="84" t="s">
        <v>4</v>
      </c>
      <c r="B66" s="86"/>
      <c r="C66" s="87"/>
      <c r="D66" s="87"/>
      <c r="E66" s="84"/>
      <c r="F66" s="88"/>
      <c r="G66" s="89"/>
      <c r="H66" s="86"/>
      <c r="I66" s="84"/>
      <c r="J66" s="90"/>
      <c r="K66" s="91"/>
    </row>
    <row r="67" spans="1:17" s="20" customFormat="1" ht="30" customHeight="1" x14ac:dyDescent="0.2">
      <c r="A67" s="611" t="s">
        <v>250</v>
      </c>
      <c r="B67" s="614"/>
      <c r="C67" s="614"/>
      <c r="D67" s="614"/>
      <c r="E67" s="614"/>
      <c r="F67" s="614"/>
      <c r="G67" s="614"/>
      <c r="H67" s="614"/>
      <c r="I67" s="614"/>
      <c r="J67" s="614"/>
      <c r="K67" s="614"/>
    </row>
    <row r="68" spans="1:17" s="20" customFormat="1" ht="15" customHeight="1" x14ac:dyDescent="0.2">
      <c r="A68" s="611" t="s">
        <v>251</v>
      </c>
      <c r="B68" s="614"/>
      <c r="C68" s="614"/>
      <c r="D68" s="614"/>
      <c r="E68" s="614"/>
      <c r="F68" s="614"/>
      <c r="G68" s="614"/>
      <c r="H68" s="614"/>
      <c r="I68" s="614"/>
      <c r="J68" s="614"/>
      <c r="K68" s="614"/>
    </row>
    <row r="69" spans="1:17" s="20" customFormat="1" ht="30" customHeight="1" x14ac:dyDescent="0.2">
      <c r="A69" s="611" t="s">
        <v>98</v>
      </c>
      <c r="B69" s="614"/>
      <c r="C69" s="614"/>
      <c r="D69" s="614"/>
      <c r="E69" s="614"/>
      <c r="F69" s="614"/>
      <c r="G69" s="614"/>
      <c r="H69" s="614"/>
      <c r="I69" s="614"/>
      <c r="J69" s="614"/>
      <c r="K69" s="614"/>
    </row>
    <row r="70" spans="1:17" s="89" customFormat="1" ht="39" customHeight="1" x14ac:dyDescent="0.2">
      <c r="A70" s="611" t="s">
        <v>572</v>
      </c>
      <c r="B70" s="614"/>
      <c r="C70" s="614"/>
      <c r="D70" s="614"/>
      <c r="E70" s="614"/>
      <c r="F70" s="614"/>
      <c r="G70" s="614"/>
      <c r="H70" s="614"/>
      <c r="I70" s="614"/>
      <c r="J70" s="614"/>
      <c r="K70" s="614"/>
      <c r="L70" s="135"/>
    </row>
    <row r="71" spans="1:17" s="29" customFormat="1" ht="15" customHeight="1" x14ac:dyDescent="0.2">
      <c r="A71" s="95" t="s">
        <v>99</v>
      </c>
      <c r="B71" s="86"/>
      <c r="C71" s="89"/>
      <c r="D71" s="96"/>
      <c r="E71" s="97"/>
      <c r="F71" s="86"/>
      <c r="G71" s="89"/>
      <c r="H71" s="95"/>
      <c r="I71" s="95"/>
      <c r="J71" s="90"/>
    </row>
    <row r="72" spans="1:17" ht="15" customHeight="1" x14ac:dyDescent="0.2">
      <c r="D72" s="92"/>
    </row>
  </sheetData>
  <mergeCells count="7">
    <mergeCell ref="A69:K69"/>
    <mergeCell ref="A70:K70"/>
    <mergeCell ref="A3:C3"/>
    <mergeCell ref="E3:G3"/>
    <mergeCell ref="I3:K3"/>
    <mergeCell ref="A67:K67"/>
    <mergeCell ref="A68:K68"/>
  </mergeCells>
  <hyperlinks>
    <hyperlink ref="A2" location="Contents!A1" display="Back to contents" xr:uid="{3D49777B-E555-4B3C-90DD-C4A729D326CC}"/>
  </hyperlinks>
  <pageMargins left="0.7" right="0.7" top="0.75" bottom="0.75" header="0.3" footer="0.3"/>
  <pageSetup paperSize="9" orientation="portrait" horizontalDpi="4294967292"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B4D1B-EC77-4BC8-B9AC-490302A5AC7E}">
  <dimension ref="A1:W37"/>
  <sheetViews>
    <sheetView showGridLines="0" zoomScaleNormal="100" workbookViewId="0">
      <pane ySplit="4" topLeftCell="A5" activePane="bottomLeft" state="frozen"/>
      <selection activeCell="M33" sqref="M33:N33"/>
      <selection pane="bottomLeft" activeCell="A5" sqref="A5"/>
    </sheetView>
  </sheetViews>
  <sheetFormatPr defaultRowHeight="15" customHeight="1" x14ac:dyDescent="0.2"/>
  <cols>
    <col min="1" max="1" width="6.625" style="92" customWidth="1"/>
    <col min="2" max="2" width="37.625" style="101" customWidth="1"/>
    <col min="3" max="3" width="8.625" style="90" customWidth="1"/>
    <col min="4" max="6" width="8.625" style="91" customWidth="1"/>
    <col min="7" max="7" width="8.625" style="29" customWidth="1"/>
    <col min="8" max="8" width="4.625" style="12" customWidth="1"/>
    <col min="9" max="9" width="6.625" style="12" customWidth="1"/>
    <col min="10" max="10" width="37.625" style="12" customWidth="1"/>
    <col min="11" max="15" width="8.625" style="12" customWidth="1"/>
    <col min="16" max="16" width="4.625" style="12" customWidth="1"/>
    <col min="17" max="17" width="6.625" style="12" customWidth="1"/>
    <col min="18" max="18" width="37.625" style="12" customWidth="1"/>
    <col min="19" max="23" width="8.625" style="12" customWidth="1"/>
    <col min="24" max="227" width="9" style="12"/>
    <col min="228" max="228" width="8.5" style="12" customWidth="1"/>
    <col min="229" max="229" width="40" style="12" customWidth="1"/>
    <col min="230" max="230" width="6.375" style="12" bestFit="1" customWidth="1"/>
    <col min="231" max="231" width="6.625" style="12" bestFit="1" customWidth="1"/>
    <col min="232" max="232" width="8.25" style="12" bestFit="1" customWidth="1"/>
    <col min="233" max="233" width="4.125" style="12" customWidth="1"/>
    <col min="234" max="234" width="8.5" style="12" customWidth="1"/>
    <col min="235" max="235" width="40" style="12" customWidth="1"/>
    <col min="236" max="236" width="6.375" style="12" customWidth="1"/>
    <col min="237" max="237" width="6.625" style="12" bestFit="1" customWidth="1"/>
    <col min="238" max="238" width="8.25" style="12" bestFit="1" customWidth="1"/>
    <col min="239" max="239" width="4.125" style="12" customWidth="1"/>
    <col min="240" max="240" width="8.5" style="12" customWidth="1"/>
    <col min="241" max="241" width="40" style="12" customWidth="1"/>
    <col min="242" max="242" width="6.375" style="12" customWidth="1"/>
    <col min="243" max="243" width="6.625" style="12" bestFit="1" customWidth="1"/>
    <col min="244" max="244" width="8.25" style="12" bestFit="1" customWidth="1"/>
    <col min="245" max="483" width="9" style="12"/>
    <col min="484" max="484" width="8.5" style="12" customWidth="1"/>
    <col min="485" max="485" width="40" style="12" customWidth="1"/>
    <col min="486" max="486" width="6.375" style="12" bestFit="1" customWidth="1"/>
    <col min="487" max="487" width="6.625" style="12" bestFit="1" customWidth="1"/>
    <col min="488" max="488" width="8.25" style="12" bestFit="1" customWidth="1"/>
    <col min="489" max="489" width="4.125" style="12" customWidth="1"/>
    <col min="490" max="490" width="8.5" style="12" customWidth="1"/>
    <col min="491" max="491" width="40" style="12" customWidth="1"/>
    <col min="492" max="492" width="6.375" style="12" customWidth="1"/>
    <col min="493" max="493" width="6.625" style="12" bestFit="1" customWidth="1"/>
    <col min="494" max="494" width="8.25" style="12" bestFit="1" customWidth="1"/>
    <col min="495" max="495" width="4.125" style="12" customWidth="1"/>
    <col min="496" max="496" width="8.5" style="12" customWidth="1"/>
    <col min="497" max="497" width="40" style="12" customWidth="1"/>
    <col min="498" max="498" width="6.375" style="12" customWidth="1"/>
    <col min="499" max="499" width="6.625" style="12" bestFit="1" customWidth="1"/>
    <col min="500" max="500" width="8.25" style="12" bestFit="1" customWidth="1"/>
    <col min="501" max="739" width="9" style="12"/>
    <col min="740" max="740" width="8.5" style="12" customWidth="1"/>
    <col min="741" max="741" width="40" style="12" customWidth="1"/>
    <col min="742" max="742" width="6.375" style="12" bestFit="1" customWidth="1"/>
    <col min="743" max="743" width="6.625" style="12" bestFit="1" customWidth="1"/>
    <col min="744" max="744" width="8.25" style="12" bestFit="1" customWidth="1"/>
    <col min="745" max="745" width="4.125" style="12" customWidth="1"/>
    <col min="746" max="746" width="8.5" style="12" customWidth="1"/>
    <col min="747" max="747" width="40" style="12" customWidth="1"/>
    <col min="748" max="748" width="6.375" style="12" customWidth="1"/>
    <col min="749" max="749" width="6.625" style="12" bestFit="1" customWidth="1"/>
    <col min="750" max="750" width="8.25" style="12" bestFit="1" customWidth="1"/>
    <col min="751" max="751" width="4.125" style="12" customWidth="1"/>
    <col min="752" max="752" width="8.5" style="12" customWidth="1"/>
    <col min="753" max="753" width="40" style="12" customWidth="1"/>
    <col min="754" max="754" width="6.375" style="12" customWidth="1"/>
    <col min="755" max="755" width="6.625" style="12" bestFit="1" customWidth="1"/>
    <col min="756" max="756" width="8.25" style="12" bestFit="1" customWidth="1"/>
    <col min="757" max="995" width="9" style="12"/>
    <col min="996" max="996" width="8.5" style="12" customWidth="1"/>
    <col min="997" max="997" width="40" style="12" customWidth="1"/>
    <col min="998" max="998" width="6.375" style="12" bestFit="1" customWidth="1"/>
    <col min="999" max="999" width="6.625" style="12" bestFit="1" customWidth="1"/>
    <col min="1000" max="1000" width="8.25" style="12" bestFit="1" customWidth="1"/>
    <col min="1001" max="1001" width="4.125" style="12" customWidth="1"/>
    <col min="1002" max="1002" width="8.5" style="12" customWidth="1"/>
    <col min="1003" max="1003" width="40" style="12" customWidth="1"/>
    <col min="1004" max="1004" width="6.375" style="12" customWidth="1"/>
    <col min="1005" max="1005" width="6.625" style="12" bestFit="1" customWidth="1"/>
    <col min="1006" max="1006" width="8.25" style="12" bestFit="1" customWidth="1"/>
    <col min="1007" max="1007" width="4.125" style="12" customWidth="1"/>
    <col min="1008" max="1008" width="8.5" style="12" customWidth="1"/>
    <col min="1009" max="1009" width="40" style="12" customWidth="1"/>
    <col min="1010" max="1010" width="6.375" style="12" customWidth="1"/>
    <col min="1011" max="1011" width="6.625" style="12" bestFit="1" customWidth="1"/>
    <col min="1012" max="1012" width="8.25" style="12" bestFit="1" customWidth="1"/>
    <col min="1013" max="1251" width="9" style="12"/>
    <col min="1252" max="1252" width="8.5" style="12" customWidth="1"/>
    <col min="1253" max="1253" width="40" style="12" customWidth="1"/>
    <col min="1254" max="1254" width="6.375" style="12" bestFit="1" customWidth="1"/>
    <col min="1255" max="1255" width="6.625" style="12" bestFit="1" customWidth="1"/>
    <col min="1256" max="1256" width="8.25" style="12" bestFit="1" customWidth="1"/>
    <col min="1257" max="1257" width="4.125" style="12" customWidth="1"/>
    <col min="1258" max="1258" width="8.5" style="12" customWidth="1"/>
    <col min="1259" max="1259" width="40" style="12" customWidth="1"/>
    <col min="1260" max="1260" width="6.375" style="12" customWidth="1"/>
    <col min="1261" max="1261" width="6.625" style="12" bestFit="1" customWidth="1"/>
    <col min="1262" max="1262" width="8.25" style="12" bestFit="1" customWidth="1"/>
    <col min="1263" max="1263" width="4.125" style="12" customWidth="1"/>
    <col min="1264" max="1264" width="8.5" style="12" customWidth="1"/>
    <col min="1265" max="1265" width="40" style="12" customWidth="1"/>
    <col min="1266" max="1266" width="6.375" style="12" customWidth="1"/>
    <col min="1267" max="1267" width="6.625" style="12" bestFit="1" customWidth="1"/>
    <col min="1268" max="1268" width="8.25" style="12" bestFit="1" customWidth="1"/>
    <col min="1269" max="1507" width="9" style="12"/>
    <col min="1508" max="1508" width="8.5" style="12" customWidth="1"/>
    <col min="1509" max="1509" width="40" style="12" customWidth="1"/>
    <col min="1510" max="1510" width="6.375" style="12" bestFit="1" customWidth="1"/>
    <col min="1511" max="1511" width="6.625" style="12" bestFit="1" customWidth="1"/>
    <col min="1512" max="1512" width="8.25" style="12" bestFit="1" customWidth="1"/>
    <col min="1513" max="1513" width="4.125" style="12" customWidth="1"/>
    <col min="1514" max="1514" width="8.5" style="12" customWidth="1"/>
    <col min="1515" max="1515" width="40" style="12" customWidth="1"/>
    <col min="1516" max="1516" width="6.375" style="12" customWidth="1"/>
    <col min="1517" max="1517" width="6.625" style="12" bestFit="1" customWidth="1"/>
    <col min="1518" max="1518" width="8.25" style="12" bestFit="1" customWidth="1"/>
    <col min="1519" max="1519" width="4.125" style="12" customWidth="1"/>
    <col min="1520" max="1520" width="8.5" style="12" customWidth="1"/>
    <col min="1521" max="1521" width="40" style="12" customWidth="1"/>
    <col min="1522" max="1522" width="6.375" style="12" customWidth="1"/>
    <col min="1523" max="1523" width="6.625" style="12" bestFit="1" customWidth="1"/>
    <col min="1524" max="1524" width="8.25" style="12" bestFit="1" customWidth="1"/>
    <col min="1525" max="1763" width="9" style="12"/>
    <col min="1764" max="1764" width="8.5" style="12" customWidth="1"/>
    <col min="1765" max="1765" width="40" style="12" customWidth="1"/>
    <col min="1766" max="1766" width="6.375" style="12" bestFit="1" customWidth="1"/>
    <col min="1767" max="1767" width="6.625" style="12" bestFit="1" customWidth="1"/>
    <col min="1768" max="1768" width="8.25" style="12" bestFit="1" customWidth="1"/>
    <col min="1769" max="1769" width="4.125" style="12" customWidth="1"/>
    <col min="1770" max="1770" width="8.5" style="12" customWidth="1"/>
    <col min="1771" max="1771" width="40" style="12" customWidth="1"/>
    <col min="1772" max="1772" width="6.375" style="12" customWidth="1"/>
    <col min="1773" max="1773" width="6.625" style="12" bestFit="1" customWidth="1"/>
    <col min="1774" max="1774" width="8.25" style="12" bestFit="1" customWidth="1"/>
    <col min="1775" max="1775" width="4.125" style="12" customWidth="1"/>
    <col min="1776" max="1776" width="8.5" style="12" customWidth="1"/>
    <col min="1777" max="1777" width="40" style="12" customWidth="1"/>
    <col min="1778" max="1778" width="6.375" style="12" customWidth="1"/>
    <col min="1779" max="1779" width="6.625" style="12" bestFit="1" customWidth="1"/>
    <col min="1780" max="1780" width="8.25" style="12" bestFit="1" customWidth="1"/>
    <col min="1781" max="2019" width="9" style="12"/>
    <col min="2020" max="2020" width="8.5" style="12" customWidth="1"/>
    <col min="2021" max="2021" width="40" style="12" customWidth="1"/>
    <col min="2022" max="2022" width="6.375" style="12" bestFit="1" customWidth="1"/>
    <col min="2023" max="2023" width="6.625" style="12" bestFit="1" customWidth="1"/>
    <col min="2024" max="2024" width="8.25" style="12" bestFit="1" customWidth="1"/>
    <col min="2025" max="2025" width="4.125" style="12" customWidth="1"/>
    <col min="2026" max="2026" width="8.5" style="12" customWidth="1"/>
    <col min="2027" max="2027" width="40" style="12" customWidth="1"/>
    <col min="2028" max="2028" width="6.375" style="12" customWidth="1"/>
    <col min="2029" max="2029" width="6.625" style="12" bestFit="1" customWidth="1"/>
    <col min="2030" max="2030" width="8.25" style="12" bestFit="1" customWidth="1"/>
    <col min="2031" max="2031" width="4.125" style="12" customWidth="1"/>
    <col min="2032" max="2032" width="8.5" style="12" customWidth="1"/>
    <col min="2033" max="2033" width="40" style="12" customWidth="1"/>
    <col min="2034" max="2034" width="6.375" style="12" customWidth="1"/>
    <col min="2035" max="2035" width="6.625" style="12" bestFit="1" customWidth="1"/>
    <col min="2036" max="2036" width="8.25" style="12" bestFit="1" customWidth="1"/>
    <col min="2037" max="2275" width="9" style="12"/>
    <col min="2276" max="2276" width="8.5" style="12" customWidth="1"/>
    <col min="2277" max="2277" width="40" style="12" customWidth="1"/>
    <col min="2278" max="2278" width="6.375" style="12" bestFit="1" customWidth="1"/>
    <col min="2279" max="2279" width="6.625" style="12" bestFit="1" customWidth="1"/>
    <col min="2280" max="2280" width="8.25" style="12" bestFit="1" customWidth="1"/>
    <col min="2281" max="2281" width="4.125" style="12" customWidth="1"/>
    <col min="2282" max="2282" width="8.5" style="12" customWidth="1"/>
    <col min="2283" max="2283" width="40" style="12" customWidth="1"/>
    <col min="2284" max="2284" width="6.375" style="12" customWidth="1"/>
    <col min="2285" max="2285" width="6.625" style="12" bestFit="1" customWidth="1"/>
    <col min="2286" max="2286" width="8.25" style="12" bestFit="1" customWidth="1"/>
    <col min="2287" max="2287" width="4.125" style="12" customWidth="1"/>
    <col min="2288" max="2288" width="8.5" style="12" customWidth="1"/>
    <col min="2289" max="2289" width="40" style="12" customWidth="1"/>
    <col min="2290" max="2290" width="6.375" style="12" customWidth="1"/>
    <col min="2291" max="2291" width="6.625" style="12" bestFit="1" customWidth="1"/>
    <col min="2292" max="2292" width="8.25" style="12" bestFit="1" customWidth="1"/>
    <col min="2293" max="2531" width="9" style="12"/>
    <col min="2532" max="2532" width="8.5" style="12" customWidth="1"/>
    <col min="2533" max="2533" width="40" style="12" customWidth="1"/>
    <col min="2534" max="2534" width="6.375" style="12" bestFit="1" customWidth="1"/>
    <col min="2535" max="2535" width="6.625" style="12" bestFit="1" customWidth="1"/>
    <col min="2536" max="2536" width="8.25" style="12" bestFit="1" customWidth="1"/>
    <col min="2537" max="2537" width="4.125" style="12" customWidth="1"/>
    <col min="2538" max="2538" width="8.5" style="12" customWidth="1"/>
    <col min="2539" max="2539" width="40" style="12" customWidth="1"/>
    <col min="2540" max="2540" width="6.375" style="12" customWidth="1"/>
    <col min="2541" max="2541" width="6.625" style="12" bestFit="1" customWidth="1"/>
    <col min="2542" max="2542" width="8.25" style="12" bestFit="1" customWidth="1"/>
    <col min="2543" max="2543" width="4.125" style="12" customWidth="1"/>
    <col min="2544" max="2544" width="8.5" style="12" customWidth="1"/>
    <col min="2545" max="2545" width="40" style="12" customWidth="1"/>
    <col min="2546" max="2546" width="6.375" style="12" customWidth="1"/>
    <col min="2547" max="2547" width="6.625" style="12" bestFit="1" customWidth="1"/>
    <col min="2548" max="2548" width="8.25" style="12" bestFit="1" customWidth="1"/>
    <col min="2549" max="2787" width="9" style="12"/>
    <col min="2788" max="2788" width="8.5" style="12" customWidth="1"/>
    <col min="2789" max="2789" width="40" style="12" customWidth="1"/>
    <col min="2790" max="2790" width="6.375" style="12" bestFit="1" customWidth="1"/>
    <col min="2791" max="2791" width="6.625" style="12" bestFit="1" customWidth="1"/>
    <col min="2792" max="2792" width="8.25" style="12" bestFit="1" customWidth="1"/>
    <col min="2793" max="2793" width="4.125" style="12" customWidth="1"/>
    <col min="2794" max="2794" width="8.5" style="12" customWidth="1"/>
    <col min="2795" max="2795" width="40" style="12" customWidth="1"/>
    <col min="2796" max="2796" width="6.375" style="12" customWidth="1"/>
    <col min="2797" max="2797" width="6.625" style="12" bestFit="1" customWidth="1"/>
    <col min="2798" max="2798" width="8.25" style="12" bestFit="1" customWidth="1"/>
    <col min="2799" max="2799" width="4.125" style="12" customWidth="1"/>
    <col min="2800" max="2800" width="8.5" style="12" customWidth="1"/>
    <col min="2801" max="2801" width="40" style="12" customWidth="1"/>
    <col min="2802" max="2802" width="6.375" style="12" customWidth="1"/>
    <col min="2803" max="2803" width="6.625" style="12" bestFit="1" customWidth="1"/>
    <col min="2804" max="2804" width="8.25" style="12" bestFit="1" customWidth="1"/>
    <col min="2805" max="3043" width="9" style="12"/>
    <col min="3044" max="3044" width="8.5" style="12" customWidth="1"/>
    <col min="3045" max="3045" width="40" style="12" customWidth="1"/>
    <col min="3046" max="3046" width="6.375" style="12" bestFit="1" customWidth="1"/>
    <col min="3047" max="3047" width="6.625" style="12" bestFit="1" customWidth="1"/>
    <col min="3048" max="3048" width="8.25" style="12" bestFit="1" customWidth="1"/>
    <col min="3049" max="3049" width="4.125" style="12" customWidth="1"/>
    <col min="3050" max="3050" width="8.5" style="12" customWidth="1"/>
    <col min="3051" max="3051" width="40" style="12" customWidth="1"/>
    <col min="3052" max="3052" width="6.375" style="12" customWidth="1"/>
    <col min="3053" max="3053" width="6.625" style="12" bestFit="1" customWidth="1"/>
    <col min="3054" max="3054" width="8.25" style="12" bestFit="1" customWidth="1"/>
    <col min="3055" max="3055" width="4.125" style="12" customWidth="1"/>
    <col min="3056" max="3056" width="8.5" style="12" customWidth="1"/>
    <col min="3057" max="3057" width="40" style="12" customWidth="1"/>
    <col min="3058" max="3058" width="6.375" style="12" customWidth="1"/>
    <col min="3059" max="3059" width="6.625" style="12" bestFit="1" customWidth="1"/>
    <col min="3060" max="3060" width="8.25" style="12" bestFit="1" customWidth="1"/>
    <col min="3061" max="3299" width="9" style="12"/>
    <col min="3300" max="3300" width="8.5" style="12" customWidth="1"/>
    <col min="3301" max="3301" width="40" style="12" customWidth="1"/>
    <col min="3302" max="3302" width="6.375" style="12" bestFit="1" customWidth="1"/>
    <col min="3303" max="3303" width="6.625" style="12" bestFit="1" customWidth="1"/>
    <col min="3304" max="3304" width="8.25" style="12" bestFit="1" customWidth="1"/>
    <col min="3305" max="3305" width="4.125" style="12" customWidth="1"/>
    <col min="3306" max="3306" width="8.5" style="12" customWidth="1"/>
    <col min="3307" max="3307" width="40" style="12" customWidth="1"/>
    <col min="3308" max="3308" width="6.375" style="12" customWidth="1"/>
    <col min="3309" max="3309" width="6.625" style="12" bestFit="1" customWidth="1"/>
    <col min="3310" max="3310" width="8.25" style="12" bestFit="1" customWidth="1"/>
    <col min="3311" max="3311" width="4.125" style="12" customWidth="1"/>
    <col min="3312" max="3312" width="8.5" style="12" customWidth="1"/>
    <col min="3313" max="3313" width="40" style="12" customWidth="1"/>
    <col min="3314" max="3314" width="6.375" style="12" customWidth="1"/>
    <col min="3315" max="3315" width="6.625" style="12" bestFit="1" customWidth="1"/>
    <col min="3316" max="3316" width="8.25" style="12" bestFit="1" customWidth="1"/>
    <col min="3317" max="3555" width="9" style="12"/>
    <col min="3556" max="3556" width="8.5" style="12" customWidth="1"/>
    <col min="3557" max="3557" width="40" style="12" customWidth="1"/>
    <col min="3558" max="3558" width="6.375" style="12" bestFit="1" customWidth="1"/>
    <col min="3559" max="3559" width="6.625" style="12" bestFit="1" customWidth="1"/>
    <col min="3560" max="3560" width="8.25" style="12" bestFit="1" customWidth="1"/>
    <col min="3561" max="3561" width="4.125" style="12" customWidth="1"/>
    <col min="3562" max="3562" width="8.5" style="12" customWidth="1"/>
    <col min="3563" max="3563" width="40" style="12" customWidth="1"/>
    <col min="3564" max="3564" width="6.375" style="12" customWidth="1"/>
    <col min="3565" max="3565" width="6.625" style="12" bestFit="1" customWidth="1"/>
    <col min="3566" max="3566" width="8.25" style="12" bestFit="1" customWidth="1"/>
    <col min="3567" max="3567" width="4.125" style="12" customWidth="1"/>
    <col min="3568" max="3568" width="8.5" style="12" customWidth="1"/>
    <col min="3569" max="3569" width="40" style="12" customWidth="1"/>
    <col min="3570" max="3570" width="6.375" style="12" customWidth="1"/>
    <col min="3571" max="3571" width="6.625" style="12" bestFit="1" customWidth="1"/>
    <col min="3572" max="3572" width="8.25" style="12" bestFit="1" customWidth="1"/>
    <col min="3573" max="3811" width="9" style="12"/>
    <col min="3812" max="3812" width="8.5" style="12" customWidth="1"/>
    <col min="3813" max="3813" width="40" style="12" customWidth="1"/>
    <col min="3814" max="3814" width="6.375" style="12" bestFit="1" customWidth="1"/>
    <col min="3815" max="3815" width="6.625" style="12" bestFit="1" customWidth="1"/>
    <col min="3816" max="3816" width="8.25" style="12" bestFit="1" customWidth="1"/>
    <col min="3817" max="3817" width="4.125" style="12" customWidth="1"/>
    <col min="3818" max="3818" width="8.5" style="12" customWidth="1"/>
    <col min="3819" max="3819" width="40" style="12" customWidth="1"/>
    <col min="3820" max="3820" width="6.375" style="12" customWidth="1"/>
    <col min="3821" max="3821" width="6.625" style="12" bestFit="1" customWidth="1"/>
    <col min="3822" max="3822" width="8.25" style="12" bestFit="1" customWidth="1"/>
    <col min="3823" max="3823" width="4.125" style="12" customWidth="1"/>
    <col min="3824" max="3824" width="8.5" style="12" customWidth="1"/>
    <col min="3825" max="3825" width="40" style="12" customWidth="1"/>
    <col min="3826" max="3826" width="6.375" style="12" customWidth="1"/>
    <col min="3827" max="3827" width="6.625" style="12" bestFit="1" customWidth="1"/>
    <col min="3828" max="3828" width="8.25" style="12" bestFit="1" customWidth="1"/>
    <col min="3829" max="4067" width="9" style="12"/>
    <col min="4068" max="4068" width="8.5" style="12" customWidth="1"/>
    <col min="4069" max="4069" width="40" style="12" customWidth="1"/>
    <col min="4070" max="4070" width="6.375" style="12" bestFit="1" customWidth="1"/>
    <col min="4071" max="4071" width="6.625" style="12" bestFit="1" customWidth="1"/>
    <col min="4072" max="4072" width="8.25" style="12" bestFit="1" customWidth="1"/>
    <col min="4073" max="4073" width="4.125" style="12" customWidth="1"/>
    <col min="4074" max="4074" width="8.5" style="12" customWidth="1"/>
    <col min="4075" max="4075" width="40" style="12" customWidth="1"/>
    <col min="4076" max="4076" width="6.375" style="12" customWidth="1"/>
    <col min="4077" max="4077" width="6.625" style="12" bestFit="1" customWidth="1"/>
    <col min="4078" max="4078" width="8.25" style="12" bestFit="1" customWidth="1"/>
    <col min="4079" max="4079" width="4.125" style="12" customWidth="1"/>
    <col min="4080" max="4080" width="8.5" style="12" customWidth="1"/>
    <col min="4081" max="4081" width="40" style="12" customWidth="1"/>
    <col min="4082" max="4082" width="6.375" style="12" customWidth="1"/>
    <col min="4083" max="4083" width="6.625" style="12" bestFit="1" customWidth="1"/>
    <col min="4084" max="4084" width="8.25" style="12" bestFit="1" customWidth="1"/>
    <col min="4085" max="4323" width="9" style="12"/>
    <col min="4324" max="4324" width="8.5" style="12" customWidth="1"/>
    <col min="4325" max="4325" width="40" style="12" customWidth="1"/>
    <col min="4326" max="4326" width="6.375" style="12" bestFit="1" customWidth="1"/>
    <col min="4327" max="4327" width="6.625" style="12" bestFit="1" customWidth="1"/>
    <col min="4328" max="4328" width="8.25" style="12" bestFit="1" customWidth="1"/>
    <col min="4329" max="4329" width="4.125" style="12" customWidth="1"/>
    <col min="4330" max="4330" width="8.5" style="12" customWidth="1"/>
    <col min="4331" max="4331" width="40" style="12" customWidth="1"/>
    <col min="4332" max="4332" width="6.375" style="12" customWidth="1"/>
    <col min="4333" max="4333" width="6.625" style="12" bestFit="1" customWidth="1"/>
    <col min="4334" max="4334" width="8.25" style="12" bestFit="1" customWidth="1"/>
    <col min="4335" max="4335" width="4.125" style="12" customWidth="1"/>
    <col min="4336" max="4336" width="8.5" style="12" customWidth="1"/>
    <col min="4337" max="4337" width="40" style="12" customWidth="1"/>
    <col min="4338" max="4338" width="6.375" style="12" customWidth="1"/>
    <col min="4339" max="4339" width="6.625" style="12" bestFit="1" customWidth="1"/>
    <col min="4340" max="4340" width="8.25" style="12" bestFit="1" customWidth="1"/>
    <col min="4341" max="4579" width="9" style="12"/>
    <col min="4580" max="4580" width="8.5" style="12" customWidth="1"/>
    <col min="4581" max="4581" width="40" style="12" customWidth="1"/>
    <col min="4582" max="4582" width="6.375" style="12" bestFit="1" customWidth="1"/>
    <col min="4583" max="4583" width="6.625" style="12" bestFit="1" customWidth="1"/>
    <col min="4584" max="4584" width="8.25" style="12" bestFit="1" customWidth="1"/>
    <col min="4585" max="4585" width="4.125" style="12" customWidth="1"/>
    <col min="4586" max="4586" width="8.5" style="12" customWidth="1"/>
    <col min="4587" max="4587" width="40" style="12" customWidth="1"/>
    <col min="4588" max="4588" width="6.375" style="12" customWidth="1"/>
    <col min="4589" max="4589" width="6.625" style="12" bestFit="1" customWidth="1"/>
    <col min="4590" max="4590" width="8.25" style="12" bestFit="1" customWidth="1"/>
    <col min="4591" max="4591" width="4.125" style="12" customWidth="1"/>
    <col min="4592" max="4592" width="8.5" style="12" customWidth="1"/>
    <col min="4593" max="4593" width="40" style="12" customWidth="1"/>
    <col min="4594" max="4594" width="6.375" style="12" customWidth="1"/>
    <col min="4595" max="4595" width="6.625" style="12" bestFit="1" customWidth="1"/>
    <col min="4596" max="4596" width="8.25" style="12" bestFit="1" customWidth="1"/>
    <col min="4597" max="4835" width="9" style="12"/>
    <col min="4836" max="4836" width="8.5" style="12" customWidth="1"/>
    <col min="4837" max="4837" width="40" style="12" customWidth="1"/>
    <col min="4838" max="4838" width="6.375" style="12" bestFit="1" customWidth="1"/>
    <col min="4839" max="4839" width="6.625" style="12" bestFit="1" customWidth="1"/>
    <col min="4840" max="4840" width="8.25" style="12" bestFit="1" customWidth="1"/>
    <col min="4841" max="4841" width="4.125" style="12" customWidth="1"/>
    <col min="4842" max="4842" width="8.5" style="12" customWidth="1"/>
    <col min="4843" max="4843" width="40" style="12" customWidth="1"/>
    <col min="4844" max="4844" width="6.375" style="12" customWidth="1"/>
    <col min="4845" max="4845" width="6.625" style="12" bestFit="1" customWidth="1"/>
    <col min="4846" max="4846" width="8.25" style="12" bestFit="1" customWidth="1"/>
    <col min="4847" max="4847" width="4.125" style="12" customWidth="1"/>
    <col min="4848" max="4848" width="8.5" style="12" customWidth="1"/>
    <col min="4849" max="4849" width="40" style="12" customWidth="1"/>
    <col min="4850" max="4850" width="6.375" style="12" customWidth="1"/>
    <col min="4851" max="4851" width="6.625" style="12" bestFit="1" customWidth="1"/>
    <col min="4852" max="4852" width="8.25" style="12" bestFit="1" customWidth="1"/>
    <col min="4853" max="5091" width="9" style="12"/>
    <col min="5092" max="5092" width="8.5" style="12" customWidth="1"/>
    <col min="5093" max="5093" width="40" style="12" customWidth="1"/>
    <col min="5094" max="5094" width="6.375" style="12" bestFit="1" customWidth="1"/>
    <col min="5095" max="5095" width="6.625" style="12" bestFit="1" customWidth="1"/>
    <col min="5096" max="5096" width="8.25" style="12" bestFit="1" customWidth="1"/>
    <col min="5097" max="5097" width="4.125" style="12" customWidth="1"/>
    <col min="5098" max="5098" width="8.5" style="12" customWidth="1"/>
    <col min="5099" max="5099" width="40" style="12" customWidth="1"/>
    <col min="5100" max="5100" width="6.375" style="12" customWidth="1"/>
    <col min="5101" max="5101" width="6.625" style="12" bestFit="1" customWidth="1"/>
    <col min="5102" max="5102" width="8.25" style="12" bestFit="1" customWidth="1"/>
    <col min="5103" max="5103" width="4.125" style="12" customWidth="1"/>
    <col min="5104" max="5104" width="8.5" style="12" customWidth="1"/>
    <col min="5105" max="5105" width="40" style="12" customWidth="1"/>
    <col min="5106" max="5106" width="6.375" style="12" customWidth="1"/>
    <col min="5107" max="5107" width="6.625" style="12" bestFit="1" customWidth="1"/>
    <col min="5108" max="5108" width="8.25" style="12" bestFit="1" customWidth="1"/>
    <col min="5109" max="5347" width="9" style="12"/>
    <col min="5348" max="5348" width="8.5" style="12" customWidth="1"/>
    <col min="5349" max="5349" width="40" style="12" customWidth="1"/>
    <col min="5350" max="5350" width="6.375" style="12" bestFit="1" customWidth="1"/>
    <col min="5351" max="5351" width="6.625" style="12" bestFit="1" customWidth="1"/>
    <col min="5352" max="5352" width="8.25" style="12" bestFit="1" customWidth="1"/>
    <col min="5353" max="5353" width="4.125" style="12" customWidth="1"/>
    <col min="5354" max="5354" width="8.5" style="12" customWidth="1"/>
    <col min="5355" max="5355" width="40" style="12" customWidth="1"/>
    <col min="5356" max="5356" width="6.375" style="12" customWidth="1"/>
    <col min="5357" max="5357" width="6.625" style="12" bestFit="1" customWidth="1"/>
    <col min="5358" max="5358" width="8.25" style="12" bestFit="1" customWidth="1"/>
    <col min="5359" max="5359" width="4.125" style="12" customWidth="1"/>
    <col min="5360" max="5360" width="8.5" style="12" customWidth="1"/>
    <col min="5361" max="5361" width="40" style="12" customWidth="1"/>
    <col min="5362" max="5362" width="6.375" style="12" customWidth="1"/>
    <col min="5363" max="5363" width="6.625" style="12" bestFit="1" customWidth="1"/>
    <col min="5364" max="5364" width="8.25" style="12" bestFit="1" customWidth="1"/>
    <col min="5365" max="5603" width="9" style="12"/>
    <col min="5604" max="5604" width="8.5" style="12" customWidth="1"/>
    <col min="5605" max="5605" width="40" style="12" customWidth="1"/>
    <col min="5606" max="5606" width="6.375" style="12" bestFit="1" customWidth="1"/>
    <col min="5607" max="5607" width="6.625" style="12" bestFit="1" customWidth="1"/>
    <col min="5608" max="5608" width="8.25" style="12" bestFit="1" customWidth="1"/>
    <col min="5609" max="5609" width="4.125" style="12" customWidth="1"/>
    <col min="5610" max="5610" width="8.5" style="12" customWidth="1"/>
    <col min="5611" max="5611" width="40" style="12" customWidth="1"/>
    <col min="5612" max="5612" width="6.375" style="12" customWidth="1"/>
    <col min="5613" max="5613" width="6.625" style="12" bestFit="1" customWidth="1"/>
    <col min="5614" max="5614" width="8.25" style="12" bestFit="1" customWidth="1"/>
    <col min="5615" max="5615" width="4.125" style="12" customWidth="1"/>
    <col min="5616" max="5616" width="8.5" style="12" customWidth="1"/>
    <col min="5617" max="5617" width="40" style="12" customWidth="1"/>
    <col min="5618" max="5618" width="6.375" style="12" customWidth="1"/>
    <col min="5619" max="5619" width="6.625" style="12" bestFit="1" customWidth="1"/>
    <col min="5620" max="5620" width="8.25" style="12" bestFit="1" customWidth="1"/>
    <col min="5621" max="5859" width="9" style="12"/>
    <col min="5860" max="5860" width="8.5" style="12" customWidth="1"/>
    <col min="5861" max="5861" width="40" style="12" customWidth="1"/>
    <col min="5862" max="5862" width="6.375" style="12" bestFit="1" customWidth="1"/>
    <col min="5863" max="5863" width="6.625" style="12" bestFit="1" customWidth="1"/>
    <col min="5864" max="5864" width="8.25" style="12" bestFit="1" customWidth="1"/>
    <col min="5865" max="5865" width="4.125" style="12" customWidth="1"/>
    <col min="5866" max="5866" width="8.5" style="12" customWidth="1"/>
    <col min="5867" max="5867" width="40" style="12" customWidth="1"/>
    <col min="5868" max="5868" width="6.375" style="12" customWidth="1"/>
    <col min="5869" max="5869" width="6.625" style="12" bestFit="1" customWidth="1"/>
    <col min="5870" max="5870" width="8.25" style="12" bestFit="1" customWidth="1"/>
    <col min="5871" max="5871" width="4.125" style="12" customWidth="1"/>
    <col min="5872" max="5872" width="8.5" style="12" customWidth="1"/>
    <col min="5873" max="5873" width="40" style="12" customWidth="1"/>
    <col min="5874" max="5874" width="6.375" style="12" customWidth="1"/>
    <col min="5875" max="5875" width="6.625" style="12" bestFit="1" customWidth="1"/>
    <col min="5876" max="5876" width="8.25" style="12" bestFit="1" customWidth="1"/>
    <col min="5877" max="6115" width="9" style="12"/>
    <col min="6116" max="6116" width="8.5" style="12" customWidth="1"/>
    <col min="6117" max="6117" width="40" style="12" customWidth="1"/>
    <col min="6118" max="6118" width="6.375" style="12" bestFit="1" customWidth="1"/>
    <col min="6119" max="6119" width="6.625" style="12" bestFit="1" customWidth="1"/>
    <col min="6120" max="6120" width="8.25" style="12" bestFit="1" customWidth="1"/>
    <col min="6121" max="6121" width="4.125" style="12" customWidth="1"/>
    <col min="6122" max="6122" width="8.5" style="12" customWidth="1"/>
    <col min="6123" max="6123" width="40" style="12" customWidth="1"/>
    <col min="6124" max="6124" width="6.375" style="12" customWidth="1"/>
    <col min="6125" max="6125" width="6.625" style="12" bestFit="1" customWidth="1"/>
    <col min="6126" max="6126" width="8.25" style="12" bestFit="1" customWidth="1"/>
    <col min="6127" max="6127" width="4.125" style="12" customWidth="1"/>
    <col min="6128" max="6128" width="8.5" style="12" customWidth="1"/>
    <col min="6129" max="6129" width="40" style="12" customWidth="1"/>
    <col min="6130" max="6130" width="6.375" style="12" customWidth="1"/>
    <col min="6131" max="6131" width="6.625" style="12" bestFit="1" customWidth="1"/>
    <col min="6132" max="6132" width="8.25" style="12" bestFit="1" customWidth="1"/>
    <col min="6133" max="6371" width="9" style="12"/>
    <col min="6372" max="6372" width="8.5" style="12" customWidth="1"/>
    <col min="6373" max="6373" width="40" style="12" customWidth="1"/>
    <col min="6374" max="6374" width="6.375" style="12" bestFit="1" customWidth="1"/>
    <col min="6375" max="6375" width="6.625" style="12" bestFit="1" customWidth="1"/>
    <col min="6376" max="6376" width="8.25" style="12" bestFit="1" customWidth="1"/>
    <col min="6377" max="6377" width="4.125" style="12" customWidth="1"/>
    <col min="6378" max="6378" width="8.5" style="12" customWidth="1"/>
    <col min="6379" max="6379" width="40" style="12" customWidth="1"/>
    <col min="6380" max="6380" width="6.375" style="12" customWidth="1"/>
    <col min="6381" max="6381" width="6.625" style="12" bestFit="1" customWidth="1"/>
    <col min="6382" max="6382" width="8.25" style="12" bestFit="1" customWidth="1"/>
    <col min="6383" max="6383" width="4.125" style="12" customWidth="1"/>
    <col min="6384" max="6384" width="8.5" style="12" customWidth="1"/>
    <col min="6385" max="6385" width="40" style="12" customWidth="1"/>
    <col min="6386" max="6386" width="6.375" style="12" customWidth="1"/>
    <col min="6387" max="6387" width="6.625" style="12" bestFit="1" customWidth="1"/>
    <col min="6388" max="6388" width="8.25" style="12" bestFit="1" customWidth="1"/>
    <col min="6389" max="6627" width="9" style="12"/>
    <col min="6628" max="6628" width="8.5" style="12" customWidth="1"/>
    <col min="6629" max="6629" width="40" style="12" customWidth="1"/>
    <col min="6630" max="6630" width="6.375" style="12" bestFit="1" customWidth="1"/>
    <col min="6631" max="6631" width="6.625" style="12" bestFit="1" customWidth="1"/>
    <col min="6632" max="6632" width="8.25" style="12" bestFit="1" customWidth="1"/>
    <col min="6633" max="6633" width="4.125" style="12" customWidth="1"/>
    <col min="6634" max="6634" width="8.5" style="12" customWidth="1"/>
    <col min="6635" max="6635" width="40" style="12" customWidth="1"/>
    <col min="6636" max="6636" width="6.375" style="12" customWidth="1"/>
    <col min="6637" max="6637" width="6.625" style="12" bestFit="1" customWidth="1"/>
    <col min="6638" max="6638" width="8.25" style="12" bestFit="1" customWidth="1"/>
    <col min="6639" max="6639" width="4.125" style="12" customWidth="1"/>
    <col min="6640" max="6640" width="8.5" style="12" customWidth="1"/>
    <col min="6641" max="6641" width="40" style="12" customWidth="1"/>
    <col min="6642" max="6642" width="6.375" style="12" customWidth="1"/>
    <col min="6643" max="6643" width="6.625" style="12" bestFit="1" customWidth="1"/>
    <col min="6644" max="6644" width="8.25" style="12" bestFit="1" customWidth="1"/>
    <col min="6645" max="6883" width="9" style="12"/>
    <col min="6884" max="6884" width="8.5" style="12" customWidth="1"/>
    <col min="6885" max="6885" width="40" style="12" customWidth="1"/>
    <col min="6886" max="6886" width="6.375" style="12" bestFit="1" customWidth="1"/>
    <col min="6887" max="6887" width="6.625" style="12" bestFit="1" customWidth="1"/>
    <col min="6888" max="6888" width="8.25" style="12" bestFit="1" customWidth="1"/>
    <col min="6889" max="6889" width="4.125" style="12" customWidth="1"/>
    <col min="6890" max="6890" width="8.5" style="12" customWidth="1"/>
    <col min="6891" max="6891" width="40" style="12" customWidth="1"/>
    <col min="6892" max="6892" width="6.375" style="12" customWidth="1"/>
    <col min="6893" max="6893" width="6.625" style="12" bestFit="1" customWidth="1"/>
    <col min="6894" max="6894" width="8.25" style="12" bestFit="1" customWidth="1"/>
    <col min="6895" max="6895" width="4.125" style="12" customWidth="1"/>
    <col min="6896" max="6896" width="8.5" style="12" customWidth="1"/>
    <col min="6897" max="6897" width="40" style="12" customWidth="1"/>
    <col min="6898" max="6898" width="6.375" style="12" customWidth="1"/>
    <col min="6899" max="6899" width="6.625" style="12" bestFit="1" customWidth="1"/>
    <col min="6900" max="6900" width="8.25" style="12" bestFit="1" customWidth="1"/>
    <col min="6901" max="7139" width="9" style="12"/>
    <col min="7140" max="7140" width="8.5" style="12" customWidth="1"/>
    <col min="7141" max="7141" width="40" style="12" customWidth="1"/>
    <col min="7142" max="7142" width="6.375" style="12" bestFit="1" customWidth="1"/>
    <col min="7143" max="7143" width="6.625" style="12" bestFit="1" customWidth="1"/>
    <col min="7144" max="7144" width="8.25" style="12" bestFit="1" customWidth="1"/>
    <col min="7145" max="7145" width="4.125" style="12" customWidth="1"/>
    <col min="7146" max="7146" width="8.5" style="12" customWidth="1"/>
    <col min="7147" max="7147" width="40" style="12" customWidth="1"/>
    <col min="7148" max="7148" width="6.375" style="12" customWidth="1"/>
    <col min="7149" max="7149" width="6.625" style="12" bestFit="1" customWidth="1"/>
    <col min="7150" max="7150" width="8.25" style="12" bestFit="1" customWidth="1"/>
    <col min="7151" max="7151" width="4.125" style="12" customWidth="1"/>
    <col min="7152" max="7152" width="8.5" style="12" customWidth="1"/>
    <col min="7153" max="7153" width="40" style="12" customWidth="1"/>
    <col min="7154" max="7154" width="6.375" style="12" customWidth="1"/>
    <col min="7155" max="7155" width="6.625" style="12" bestFit="1" customWidth="1"/>
    <col min="7156" max="7156" width="8.25" style="12" bestFit="1" customWidth="1"/>
    <col min="7157" max="7395" width="9" style="12"/>
    <col min="7396" max="7396" width="8.5" style="12" customWidth="1"/>
    <col min="7397" max="7397" width="40" style="12" customWidth="1"/>
    <col min="7398" max="7398" width="6.375" style="12" bestFit="1" customWidth="1"/>
    <col min="7399" max="7399" width="6.625" style="12" bestFit="1" customWidth="1"/>
    <col min="7400" max="7400" width="8.25" style="12" bestFit="1" customWidth="1"/>
    <col min="7401" max="7401" width="4.125" style="12" customWidth="1"/>
    <col min="7402" max="7402" width="8.5" style="12" customWidth="1"/>
    <col min="7403" max="7403" width="40" style="12" customWidth="1"/>
    <col min="7404" max="7404" width="6.375" style="12" customWidth="1"/>
    <col min="7405" max="7405" width="6.625" style="12" bestFit="1" customWidth="1"/>
    <col min="7406" max="7406" width="8.25" style="12" bestFit="1" customWidth="1"/>
    <col min="7407" max="7407" width="4.125" style="12" customWidth="1"/>
    <col min="7408" max="7408" width="8.5" style="12" customWidth="1"/>
    <col min="7409" max="7409" width="40" style="12" customWidth="1"/>
    <col min="7410" max="7410" width="6.375" style="12" customWidth="1"/>
    <col min="7411" max="7411" width="6.625" style="12" bestFit="1" customWidth="1"/>
    <col min="7412" max="7412" width="8.25" style="12" bestFit="1" customWidth="1"/>
    <col min="7413" max="7651" width="9" style="12"/>
    <col min="7652" max="7652" width="8.5" style="12" customWidth="1"/>
    <col min="7653" max="7653" width="40" style="12" customWidth="1"/>
    <col min="7654" max="7654" width="6.375" style="12" bestFit="1" customWidth="1"/>
    <col min="7655" max="7655" width="6.625" style="12" bestFit="1" customWidth="1"/>
    <col min="7656" max="7656" width="8.25" style="12" bestFit="1" customWidth="1"/>
    <col min="7657" max="7657" width="4.125" style="12" customWidth="1"/>
    <col min="7658" max="7658" width="8.5" style="12" customWidth="1"/>
    <col min="7659" max="7659" width="40" style="12" customWidth="1"/>
    <col min="7660" max="7660" width="6.375" style="12" customWidth="1"/>
    <col min="7661" max="7661" width="6.625" style="12" bestFit="1" customWidth="1"/>
    <col min="7662" max="7662" width="8.25" style="12" bestFit="1" customWidth="1"/>
    <col min="7663" max="7663" width="4.125" style="12" customWidth="1"/>
    <col min="7664" max="7664" width="8.5" style="12" customWidth="1"/>
    <col min="7665" max="7665" width="40" style="12" customWidth="1"/>
    <col min="7666" max="7666" width="6.375" style="12" customWidth="1"/>
    <col min="7667" max="7667" width="6.625" style="12" bestFit="1" customWidth="1"/>
    <col min="7668" max="7668" width="8.25" style="12" bestFit="1" customWidth="1"/>
    <col min="7669" max="7907" width="9" style="12"/>
    <col min="7908" max="7908" width="8.5" style="12" customWidth="1"/>
    <col min="7909" max="7909" width="40" style="12" customWidth="1"/>
    <col min="7910" max="7910" width="6.375" style="12" bestFit="1" customWidth="1"/>
    <col min="7911" max="7911" width="6.625" style="12" bestFit="1" customWidth="1"/>
    <col min="7912" max="7912" width="8.25" style="12" bestFit="1" customWidth="1"/>
    <col min="7913" max="7913" width="4.125" style="12" customWidth="1"/>
    <col min="7914" max="7914" width="8.5" style="12" customWidth="1"/>
    <col min="7915" max="7915" width="40" style="12" customWidth="1"/>
    <col min="7916" max="7916" width="6.375" style="12" customWidth="1"/>
    <col min="7917" max="7917" width="6.625" style="12" bestFit="1" customWidth="1"/>
    <col min="7918" max="7918" width="8.25" style="12" bestFit="1" customWidth="1"/>
    <col min="7919" max="7919" width="4.125" style="12" customWidth="1"/>
    <col min="7920" max="7920" width="8.5" style="12" customWidth="1"/>
    <col min="7921" max="7921" width="40" style="12" customWidth="1"/>
    <col min="7922" max="7922" width="6.375" style="12" customWidth="1"/>
    <col min="7923" max="7923" width="6.625" style="12" bestFit="1" customWidth="1"/>
    <col min="7924" max="7924" width="8.25" style="12" bestFit="1" customWidth="1"/>
    <col min="7925" max="8163" width="9" style="12"/>
    <col min="8164" max="8164" width="8.5" style="12" customWidth="1"/>
    <col min="8165" max="8165" width="40" style="12" customWidth="1"/>
    <col min="8166" max="8166" width="6.375" style="12" bestFit="1" customWidth="1"/>
    <col min="8167" max="8167" width="6.625" style="12" bestFit="1" customWidth="1"/>
    <col min="8168" max="8168" width="8.25" style="12" bestFit="1" customWidth="1"/>
    <col min="8169" max="8169" width="4.125" style="12" customWidth="1"/>
    <col min="8170" max="8170" width="8.5" style="12" customWidth="1"/>
    <col min="8171" max="8171" width="40" style="12" customWidth="1"/>
    <col min="8172" max="8172" width="6.375" style="12" customWidth="1"/>
    <col min="8173" max="8173" width="6.625" style="12" bestFit="1" customWidth="1"/>
    <col min="8174" max="8174" width="8.25" style="12" bestFit="1" customWidth="1"/>
    <col min="8175" max="8175" width="4.125" style="12" customWidth="1"/>
    <col min="8176" max="8176" width="8.5" style="12" customWidth="1"/>
    <col min="8177" max="8177" width="40" style="12" customWidth="1"/>
    <col min="8178" max="8178" width="6.375" style="12" customWidth="1"/>
    <col min="8179" max="8179" width="6.625" style="12" bestFit="1" customWidth="1"/>
    <col min="8180" max="8180" width="8.25" style="12" bestFit="1" customWidth="1"/>
    <col min="8181" max="8419" width="9" style="12"/>
    <col min="8420" max="8420" width="8.5" style="12" customWidth="1"/>
    <col min="8421" max="8421" width="40" style="12" customWidth="1"/>
    <col min="8422" max="8422" width="6.375" style="12" bestFit="1" customWidth="1"/>
    <col min="8423" max="8423" width="6.625" style="12" bestFit="1" customWidth="1"/>
    <col min="8424" max="8424" width="8.25" style="12" bestFit="1" customWidth="1"/>
    <col min="8425" max="8425" width="4.125" style="12" customWidth="1"/>
    <col min="8426" max="8426" width="8.5" style="12" customWidth="1"/>
    <col min="8427" max="8427" width="40" style="12" customWidth="1"/>
    <col min="8428" max="8428" width="6.375" style="12" customWidth="1"/>
    <col min="8429" max="8429" width="6.625" style="12" bestFit="1" customWidth="1"/>
    <col min="8430" max="8430" width="8.25" style="12" bestFit="1" customWidth="1"/>
    <col min="8431" max="8431" width="4.125" style="12" customWidth="1"/>
    <col min="8432" max="8432" width="8.5" style="12" customWidth="1"/>
    <col min="8433" max="8433" width="40" style="12" customWidth="1"/>
    <col min="8434" max="8434" width="6.375" style="12" customWidth="1"/>
    <col min="8435" max="8435" width="6.625" style="12" bestFit="1" customWidth="1"/>
    <col min="8436" max="8436" width="8.25" style="12" bestFit="1" customWidth="1"/>
    <col min="8437" max="8675" width="9" style="12"/>
    <col min="8676" max="8676" width="8.5" style="12" customWidth="1"/>
    <col min="8677" max="8677" width="40" style="12" customWidth="1"/>
    <col min="8678" max="8678" width="6.375" style="12" bestFit="1" customWidth="1"/>
    <col min="8679" max="8679" width="6.625" style="12" bestFit="1" customWidth="1"/>
    <col min="8680" max="8680" width="8.25" style="12" bestFit="1" customWidth="1"/>
    <col min="8681" max="8681" width="4.125" style="12" customWidth="1"/>
    <col min="8682" max="8682" width="8.5" style="12" customWidth="1"/>
    <col min="8683" max="8683" width="40" style="12" customWidth="1"/>
    <col min="8684" max="8684" width="6.375" style="12" customWidth="1"/>
    <col min="8685" max="8685" width="6.625" style="12" bestFit="1" customWidth="1"/>
    <col min="8686" max="8686" width="8.25" style="12" bestFit="1" customWidth="1"/>
    <col min="8687" max="8687" width="4.125" style="12" customWidth="1"/>
    <col min="8688" max="8688" width="8.5" style="12" customWidth="1"/>
    <col min="8689" max="8689" width="40" style="12" customWidth="1"/>
    <col min="8690" max="8690" width="6.375" style="12" customWidth="1"/>
    <col min="8691" max="8691" width="6.625" style="12" bestFit="1" customWidth="1"/>
    <col min="8692" max="8692" width="8.25" style="12" bestFit="1" customWidth="1"/>
    <col min="8693" max="8931" width="9" style="12"/>
    <col min="8932" max="8932" width="8.5" style="12" customWidth="1"/>
    <col min="8933" max="8933" width="40" style="12" customWidth="1"/>
    <col min="8934" max="8934" width="6.375" style="12" bestFit="1" customWidth="1"/>
    <col min="8935" max="8935" width="6.625" style="12" bestFit="1" customWidth="1"/>
    <col min="8936" max="8936" width="8.25" style="12" bestFit="1" customWidth="1"/>
    <col min="8937" max="8937" width="4.125" style="12" customWidth="1"/>
    <col min="8938" max="8938" width="8.5" style="12" customWidth="1"/>
    <col min="8939" max="8939" width="40" style="12" customWidth="1"/>
    <col min="8940" max="8940" width="6.375" style="12" customWidth="1"/>
    <col min="8941" max="8941" width="6.625" style="12" bestFit="1" customWidth="1"/>
    <col min="8942" max="8942" width="8.25" style="12" bestFit="1" customWidth="1"/>
    <col min="8943" max="8943" width="4.125" style="12" customWidth="1"/>
    <col min="8944" max="8944" width="8.5" style="12" customWidth="1"/>
    <col min="8945" max="8945" width="40" style="12" customWidth="1"/>
    <col min="8946" max="8946" width="6.375" style="12" customWidth="1"/>
    <col min="8947" max="8947" width="6.625" style="12" bestFit="1" customWidth="1"/>
    <col min="8948" max="8948" width="8.25" style="12" bestFit="1" customWidth="1"/>
    <col min="8949" max="9187" width="9" style="12"/>
    <col min="9188" max="9188" width="8.5" style="12" customWidth="1"/>
    <col min="9189" max="9189" width="40" style="12" customWidth="1"/>
    <col min="9190" max="9190" width="6.375" style="12" bestFit="1" customWidth="1"/>
    <col min="9191" max="9191" width="6.625" style="12" bestFit="1" customWidth="1"/>
    <col min="9192" max="9192" width="8.25" style="12" bestFit="1" customWidth="1"/>
    <col min="9193" max="9193" width="4.125" style="12" customWidth="1"/>
    <col min="9194" max="9194" width="8.5" style="12" customWidth="1"/>
    <col min="9195" max="9195" width="40" style="12" customWidth="1"/>
    <col min="9196" max="9196" width="6.375" style="12" customWidth="1"/>
    <col min="9197" max="9197" width="6.625" style="12" bestFit="1" customWidth="1"/>
    <col min="9198" max="9198" width="8.25" style="12" bestFit="1" customWidth="1"/>
    <col min="9199" max="9199" width="4.125" style="12" customWidth="1"/>
    <col min="9200" max="9200" width="8.5" style="12" customWidth="1"/>
    <col min="9201" max="9201" width="40" style="12" customWidth="1"/>
    <col min="9202" max="9202" width="6.375" style="12" customWidth="1"/>
    <col min="9203" max="9203" width="6.625" style="12" bestFit="1" customWidth="1"/>
    <col min="9204" max="9204" width="8.25" style="12" bestFit="1" customWidth="1"/>
    <col min="9205" max="9443" width="9" style="12"/>
    <col min="9444" max="9444" width="8.5" style="12" customWidth="1"/>
    <col min="9445" max="9445" width="40" style="12" customWidth="1"/>
    <col min="9446" max="9446" width="6.375" style="12" bestFit="1" customWidth="1"/>
    <col min="9447" max="9447" width="6.625" style="12" bestFit="1" customWidth="1"/>
    <col min="9448" max="9448" width="8.25" style="12" bestFit="1" customWidth="1"/>
    <col min="9449" max="9449" width="4.125" style="12" customWidth="1"/>
    <col min="9450" max="9450" width="8.5" style="12" customWidth="1"/>
    <col min="9451" max="9451" width="40" style="12" customWidth="1"/>
    <col min="9452" max="9452" width="6.375" style="12" customWidth="1"/>
    <col min="9453" max="9453" width="6.625" style="12" bestFit="1" customWidth="1"/>
    <col min="9454" max="9454" width="8.25" style="12" bestFit="1" customWidth="1"/>
    <col min="9455" max="9455" width="4.125" style="12" customWidth="1"/>
    <col min="9456" max="9456" width="8.5" style="12" customWidth="1"/>
    <col min="9457" max="9457" width="40" style="12" customWidth="1"/>
    <col min="9458" max="9458" width="6.375" style="12" customWidth="1"/>
    <col min="9459" max="9459" width="6.625" style="12" bestFit="1" customWidth="1"/>
    <col min="9460" max="9460" width="8.25" style="12" bestFit="1" customWidth="1"/>
    <col min="9461" max="9699" width="9" style="12"/>
    <col min="9700" max="9700" width="8.5" style="12" customWidth="1"/>
    <col min="9701" max="9701" width="40" style="12" customWidth="1"/>
    <col min="9702" max="9702" width="6.375" style="12" bestFit="1" customWidth="1"/>
    <col min="9703" max="9703" width="6.625" style="12" bestFit="1" customWidth="1"/>
    <col min="9704" max="9704" width="8.25" style="12" bestFit="1" customWidth="1"/>
    <col min="9705" max="9705" width="4.125" style="12" customWidth="1"/>
    <col min="9706" max="9706" width="8.5" style="12" customWidth="1"/>
    <col min="9707" max="9707" width="40" style="12" customWidth="1"/>
    <col min="9708" max="9708" width="6.375" style="12" customWidth="1"/>
    <col min="9709" max="9709" width="6.625" style="12" bestFit="1" customWidth="1"/>
    <col min="9710" max="9710" width="8.25" style="12" bestFit="1" customWidth="1"/>
    <col min="9711" max="9711" width="4.125" style="12" customWidth="1"/>
    <col min="9712" max="9712" width="8.5" style="12" customWidth="1"/>
    <col min="9713" max="9713" width="40" style="12" customWidth="1"/>
    <col min="9714" max="9714" width="6.375" style="12" customWidth="1"/>
    <col min="9715" max="9715" width="6.625" style="12" bestFit="1" customWidth="1"/>
    <col min="9716" max="9716" width="8.25" style="12" bestFit="1" customWidth="1"/>
    <col min="9717" max="9955" width="9" style="12"/>
    <col min="9956" max="9956" width="8.5" style="12" customWidth="1"/>
    <col min="9957" max="9957" width="40" style="12" customWidth="1"/>
    <col min="9958" max="9958" width="6.375" style="12" bestFit="1" customWidth="1"/>
    <col min="9959" max="9959" width="6.625" style="12" bestFit="1" customWidth="1"/>
    <col min="9960" max="9960" width="8.25" style="12" bestFit="1" customWidth="1"/>
    <col min="9961" max="9961" width="4.125" style="12" customWidth="1"/>
    <col min="9962" max="9962" width="8.5" style="12" customWidth="1"/>
    <col min="9963" max="9963" width="40" style="12" customWidth="1"/>
    <col min="9964" max="9964" width="6.375" style="12" customWidth="1"/>
    <col min="9965" max="9965" width="6.625" style="12" bestFit="1" customWidth="1"/>
    <col min="9966" max="9966" width="8.25" style="12" bestFit="1" customWidth="1"/>
    <col min="9967" max="9967" width="4.125" style="12" customWidth="1"/>
    <col min="9968" max="9968" width="8.5" style="12" customWidth="1"/>
    <col min="9969" max="9969" width="40" style="12" customWidth="1"/>
    <col min="9970" max="9970" width="6.375" style="12" customWidth="1"/>
    <col min="9971" max="9971" width="6.625" style="12" bestFit="1" customWidth="1"/>
    <col min="9972" max="9972" width="8.25" style="12" bestFit="1" customWidth="1"/>
    <col min="9973" max="10211" width="9" style="12"/>
    <col min="10212" max="10212" width="8.5" style="12" customWidth="1"/>
    <col min="10213" max="10213" width="40" style="12" customWidth="1"/>
    <col min="10214" max="10214" width="6.375" style="12" bestFit="1" customWidth="1"/>
    <col min="10215" max="10215" width="6.625" style="12" bestFit="1" customWidth="1"/>
    <col min="10216" max="10216" width="8.25" style="12" bestFit="1" customWidth="1"/>
    <col min="10217" max="10217" width="4.125" style="12" customWidth="1"/>
    <col min="10218" max="10218" width="8.5" style="12" customWidth="1"/>
    <col min="10219" max="10219" width="40" style="12" customWidth="1"/>
    <col min="10220" max="10220" width="6.375" style="12" customWidth="1"/>
    <col min="10221" max="10221" width="6.625" style="12" bestFit="1" customWidth="1"/>
    <col min="10222" max="10222" width="8.25" style="12" bestFit="1" customWidth="1"/>
    <col min="10223" max="10223" width="4.125" style="12" customWidth="1"/>
    <col min="10224" max="10224" width="8.5" style="12" customWidth="1"/>
    <col min="10225" max="10225" width="40" style="12" customWidth="1"/>
    <col min="10226" max="10226" width="6.375" style="12" customWidth="1"/>
    <col min="10227" max="10227" width="6.625" style="12" bestFit="1" customWidth="1"/>
    <col min="10228" max="10228" width="8.25" style="12" bestFit="1" customWidth="1"/>
    <col min="10229" max="10467" width="9" style="12"/>
    <col min="10468" max="10468" width="8.5" style="12" customWidth="1"/>
    <col min="10469" max="10469" width="40" style="12" customWidth="1"/>
    <col min="10470" max="10470" width="6.375" style="12" bestFit="1" customWidth="1"/>
    <col min="10471" max="10471" width="6.625" style="12" bestFit="1" customWidth="1"/>
    <col min="10472" max="10472" width="8.25" style="12" bestFit="1" customWidth="1"/>
    <col min="10473" max="10473" width="4.125" style="12" customWidth="1"/>
    <col min="10474" max="10474" width="8.5" style="12" customWidth="1"/>
    <col min="10475" max="10475" width="40" style="12" customWidth="1"/>
    <col min="10476" max="10476" width="6.375" style="12" customWidth="1"/>
    <col min="10477" max="10477" width="6.625" style="12" bestFit="1" customWidth="1"/>
    <col min="10478" max="10478" width="8.25" style="12" bestFit="1" customWidth="1"/>
    <col min="10479" max="10479" width="4.125" style="12" customWidth="1"/>
    <col min="10480" max="10480" width="8.5" style="12" customWidth="1"/>
    <col min="10481" max="10481" width="40" style="12" customWidth="1"/>
    <col min="10482" max="10482" width="6.375" style="12" customWidth="1"/>
    <col min="10483" max="10483" width="6.625" style="12" bestFit="1" customWidth="1"/>
    <col min="10484" max="10484" width="8.25" style="12" bestFit="1" customWidth="1"/>
    <col min="10485" max="10723" width="9" style="12"/>
    <col min="10724" max="10724" width="8.5" style="12" customWidth="1"/>
    <col min="10725" max="10725" width="40" style="12" customWidth="1"/>
    <col min="10726" max="10726" width="6.375" style="12" bestFit="1" customWidth="1"/>
    <col min="10727" max="10727" width="6.625" style="12" bestFit="1" customWidth="1"/>
    <col min="10728" max="10728" width="8.25" style="12" bestFit="1" customWidth="1"/>
    <col min="10729" max="10729" width="4.125" style="12" customWidth="1"/>
    <col min="10730" max="10730" width="8.5" style="12" customWidth="1"/>
    <col min="10731" max="10731" width="40" style="12" customWidth="1"/>
    <col min="10732" max="10732" width="6.375" style="12" customWidth="1"/>
    <col min="10733" max="10733" width="6.625" style="12" bestFit="1" customWidth="1"/>
    <col min="10734" max="10734" width="8.25" style="12" bestFit="1" customWidth="1"/>
    <col min="10735" max="10735" width="4.125" style="12" customWidth="1"/>
    <col min="10736" max="10736" width="8.5" style="12" customWidth="1"/>
    <col min="10737" max="10737" width="40" style="12" customWidth="1"/>
    <col min="10738" max="10738" width="6.375" style="12" customWidth="1"/>
    <col min="10739" max="10739" width="6.625" style="12" bestFit="1" customWidth="1"/>
    <col min="10740" max="10740" width="8.25" style="12" bestFit="1" customWidth="1"/>
    <col min="10741" max="10979" width="9" style="12"/>
    <col min="10980" max="10980" width="8.5" style="12" customWidth="1"/>
    <col min="10981" max="10981" width="40" style="12" customWidth="1"/>
    <col min="10982" max="10982" width="6.375" style="12" bestFit="1" customWidth="1"/>
    <col min="10983" max="10983" width="6.625" style="12" bestFit="1" customWidth="1"/>
    <col min="10984" max="10984" width="8.25" style="12" bestFit="1" customWidth="1"/>
    <col min="10985" max="10985" width="4.125" style="12" customWidth="1"/>
    <col min="10986" max="10986" width="8.5" style="12" customWidth="1"/>
    <col min="10987" max="10987" width="40" style="12" customWidth="1"/>
    <col min="10988" max="10988" width="6.375" style="12" customWidth="1"/>
    <col min="10989" max="10989" width="6.625" style="12" bestFit="1" customWidth="1"/>
    <col min="10990" max="10990" width="8.25" style="12" bestFit="1" customWidth="1"/>
    <col min="10991" max="10991" width="4.125" style="12" customWidth="1"/>
    <col min="10992" max="10992" width="8.5" style="12" customWidth="1"/>
    <col min="10993" max="10993" width="40" style="12" customWidth="1"/>
    <col min="10994" max="10994" width="6.375" style="12" customWidth="1"/>
    <col min="10995" max="10995" width="6.625" style="12" bestFit="1" customWidth="1"/>
    <col min="10996" max="10996" width="8.25" style="12" bestFit="1" customWidth="1"/>
    <col min="10997" max="11235" width="9" style="12"/>
    <col min="11236" max="11236" width="8.5" style="12" customWidth="1"/>
    <col min="11237" max="11237" width="40" style="12" customWidth="1"/>
    <col min="11238" max="11238" width="6.375" style="12" bestFit="1" customWidth="1"/>
    <col min="11239" max="11239" width="6.625" style="12" bestFit="1" customWidth="1"/>
    <col min="11240" max="11240" width="8.25" style="12" bestFit="1" customWidth="1"/>
    <col min="11241" max="11241" width="4.125" style="12" customWidth="1"/>
    <col min="11242" max="11242" width="8.5" style="12" customWidth="1"/>
    <col min="11243" max="11243" width="40" style="12" customWidth="1"/>
    <col min="11244" max="11244" width="6.375" style="12" customWidth="1"/>
    <col min="11245" max="11245" width="6.625" style="12" bestFit="1" customWidth="1"/>
    <col min="11246" max="11246" width="8.25" style="12" bestFit="1" customWidth="1"/>
    <col min="11247" max="11247" width="4.125" style="12" customWidth="1"/>
    <col min="11248" max="11248" width="8.5" style="12" customWidth="1"/>
    <col min="11249" max="11249" width="40" style="12" customWidth="1"/>
    <col min="11250" max="11250" width="6.375" style="12" customWidth="1"/>
    <col min="11251" max="11251" width="6.625" style="12" bestFit="1" customWidth="1"/>
    <col min="11252" max="11252" width="8.25" style="12" bestFit="1" customWidth="1"/>
    <col min="11253" max="11491" width="9" style="12"/>
    <col min="11492" max="11492" width="8.5" style="12" customWidth="1"/>
    <col min="11493" max="11493" width="40" style="12" customWidth="1"/>
    <col min="11494" max="11494" width="6.375" style="12" bestFit="1" customWidth="1"/>
    <col min="11495" max="11495" width="6.625" style="12" bestFit="1" customWidth="1"/>
    <col min="11496" max="11496" width="8.25" style="12" bestFit="1" customWidth="1"/>
    <col min="11497" max="11497" width="4.125" style="12" customWidth="1"/>
    <col min="11498" max="11498" width="8.5" style="12" customWidth="1"/>
    <col min="11499" max="11499" width="40" style="12" customWidth="1"/>
    <col min="11500" max="11500" width="6.375" style="12" customWidth="1"/>
    <col min="11501" max="11501" width="6.625" style="12" bestFit="1" customWidth="1"/>
    <col min="11502" max="11502" width="8.25" style="12" bestFit="1" customWidth="1"/>
    <col min="11503" max="11503" width="4.125" style="12" customWidth="1"/>
    <col min="11504" max="11504" width="8.5" style="12" customWidth="1"/>
    <col min="11505" max="11505" width="40" style="12" customWidth="1"/>
    <col min="11506" max="11506" width="6.375" style="12" customWidth="1"/>
    <col min="11507" max="11507" width="6.625" style="12" bestFit="1" customWidth="1"/>
    <col min="11508" max="11508" width="8.25" style="12" bestFit="1" customWidth="1"/>
    <col min="11509" max="11747" width="9" style="12"/>
    <col min="11748" max="11748" width="8.5" style="12" customWidth="1"/>
    <col min="11749" max="11749" width="40" style="12" customWidth="1"/>
    <col min="11750" max="11750" width="6.375" style="12" bestFit="1" customWidth="1"/>
    <col min="11751" max="11751" width="6.625" style="12" bestFit="1" customWidth="1"/>
    <col min="11752" max="11752" width="8.25" style="12" bestFit="1" customWidth="1"/>
    <col min="11753" max="11753" width="4.125" style="12" customWidth="1"/>
    <col min="11754" max="11754" width="8.5" style="12" customWidth="1"/>
    <col min="11755" max="11755" width="40" style="12" customWidth="1"/>
    <col min="11756" max="11756" width="6.375" style="12" customWidth="1"/>
    <col min="11757" max="11757" width="6.625" style="12" bestFit="1" customWidth="1"/>
    <col min="11758" max="11758" width="8.25" style="12" bestFit="1" customWidth="1"/>
    <col min="11759" max="11759" width="4.125" style="12" customWidth="1"/>
    <col min="11760" max="11760" width="8.5" style="12" customWidth="1"/>
    <col min="11761" max="11761" width="40" style="12" customWidth="1"/>
    <col min="11762" max="11762" width="6.375" style="12" customWidth="1"/>
    <col min="11763" max="11763" width="6.625" style="12" bestFit="1" customWidth="1"/>
    <col min="11764" max="11764" width="8.25" style="12" bestFit="1" customWidth="1"/>
    <col min="11765" max="12003" width="9" style="12"/>
    <col min="12004" max="12004" width="8.5" style="12" customWidth="1"/>
    <col min="12005" max="12005" width="40" style="12" customWidth="1"/>
    <col min="12006" max="12006" width="6.375" style="12" bestFit="1" customWidth="1"/>
    <col min="12007" max="12007" width="6.625" style="12" bestFit="1" customWidth="1"/>
    <col min="12008" max="12008" width="8.25" style="12" bestFit="1" customWidth="1"/>
    <col min="12009" max="12009" width="4.125" style="12" customWidth="1"/>
    <col min="12010" max="12010" width="8.5" style="12" customWidth="1"/>
    <col min="12011" max="12011" width="40" style="12" customWidth="1"/>
    <col min="12012" max="12012" width="6.375" style="12" customWidth="1"/>
    <col min="12013" max="12013" width="6.625" style="12" bestFit="1" customWidth="1"/>
    <col min="12014" max="12014" width="8.25" style="12" bestFit="1" customWidth="1"/>
    <col min="12015" max="12015" width="4.125" style="12" customWidth="1"/>
    <col min="12016" max="12016" width="8.5" style="12" customWidth="1"/>
    <col min="12017" max="12017" width="40" style="12" customWidth="1"/>
    <col min="12018" max="12018" width="6.375" style="12" customWidth="1"/>
    <col min="12019" max="12019" width="6.625" style="12" bestFit="1" customWidth="1"/>
    <col min="12020" max="12020" width="8.25" style="12" bestFit="1" customWidth="1"/>
    <col min="12021" max="12259" width="9" style="12"/>
    <col min="12260" max="12260" width="8.5" style="12" customWidth="1"/>
    <col min="12261" max="12261" width="40" style="12" customWidth="1"/>
    <col min="12262" max="12262" width="6.375" style="12" bestFit="1" customWidth="1"/>
    <col min="12263" max="12263" width="6.625" style="12" bestFit="1" customWidth="1"/>
    <col min="12264" max="12264" width="8.25" style="12" bestFit="1" customWidth="1"/>
    <col min="12265" max="12265" width="4.125" style="12" customWidth="1"/>
    <col min="12266" max="12266" width="8.5" style="12" customWidth="1"/>
    <col min="12267" max="12267" width="40" style="12" customWidth="1"/>
    <col min="12268" max="12268" width="6.375" style="12" customWidth="1"/>
    <col min="12269" max="12269" width="6.625" style="12" bestFit="1" customWidth="1"/>
    <col min="12270" max="12270" width="8.25" style="12" bestFit="1" customWidth="1"/>
    <col min="12271" max="12271" width="4.125" style="12" customWidth="1"/>
    <col min="12272" max="12272" width="8.5" style="12" customWidth="1"/>
    <col min="12273" max="12273" width="40" style="12" customWidth="1"/>
    <col min="12274" max="12274" width="6.375" style="12" customWidth="1"/>
    <col min="12275" max="12275" width="6.625" style="12" bestFit="1" customWidth="1"/>
    <col min="12276" max="12276" width="8.25" style="12" bestFit="1" customWidth="1"/>
    <col min="12277" max="12515" width="9" style="12"/>
    <col min="12516" max="12516" width="8.5" style="12" customWidth="1"/>
    <col min="12517" max="12517" width="40" style="12" customWidth="1"/>
    <col min="12518" max="12518" width="6.375" style="12" bestFit="1" customWidth="1"/>
    <col min="12519" max="12519" width="6.625" style="12" bestFit="1" customWidth="1"/>
    <col min="12520" max="12520" width="8.25" style="12" bestFit="1" customWidth="1"/>
    <col min="12521" max="12521" width="4.125" style="12" customWidth="1"/>
    <col min="12522" max="12522" width="8.5" style="12" customWidth="1"/>
    <col min="12523" max="12523" width="40" style="12" customWidth="1"/>
    <col min="12524" max="12524" width="6.375" style="12" customWidth="1"/>
    <col min="12525" max="12525" width="6.625" style="12" bestFit="1" customWidth="1"/>
    <col min="12526" max="12526" width="8.25" style="12" bestFit="1" customWidth="1"/>
    <col min="12527" max="12527" width="4.125" style="12" customWidth="1"/>
    <col min="12528" max="12528" width="8.5" style="12" customWidth="1"/>
    <col min="12529" max="12529" width="40" style="12" customWidth="1"/>
    <col min="12530" max="12530" width="6.375" style="12" customWidth="1"/>
    <col min="12531" max="12531" width="6.625" style="12" bestFit="1" customWidth="1"/>
    <col min="12532" max="12532" width="8.25" style="12" bestFit="1" customWidth="1"/>
    <col min="12533" max="12771" width="9" style="12"/>
    <col min="12772" max="12772" width="8.5" style="12" customWidth="1"/>
    <col min="12773" max="12773" width="40" style="12" customWidth="1"/>
    <col min="12774" max="12774" width="6.375" style="12" bestFit="1" customWidth="1"/>
    <col min="12775" max="12775" width="6.625" style="12" bestFit="1" customWidth="1"/>
    <col min="12776" max="12776" width="8.25" style="12" bestFit="1" customWidth="1"/>
    <col min="12777" max="12777" width="4.125" style="12" customWidth="1"/>
    <col min="12778" max="12778" width="8.5" style="12" customWidth="1"/>
    <col min="12779" max="12779" width="40" style="12" customWidth="1"/>
    <col min="12780" max="12780" width="6.375" style="12" customWidth="1"/>
    <col min="12781" max="12781" width="6.625" style="12" bestFit="1" customWidth="1"/>
    <col min="12782" max="12782" width="8.25" style="12" bestFit="1" customWidth="1"/>
    <col min="12783" max="12783" width="4.125" style="12" customWidth="1"/>
    <col min="12784" max="12784" width="8.5" style="12" customWidth="1"/>
    <col min="12785" max="12785" width="40" style="12" customWidth="1"/>
    <col min="12786" max="12786" width="6.375" style="12" customWidth="1"/>
    <col min="12787" max="12787" width="6.625" style="12" bestFit="1" customWidth="1"/>
    <col min="12788" max="12788" width="8.25" style="12" bestFit="1" customWidth="1"/>
    <col min="12789" max="13027" width="9" style="12"/>
    <col min="13028" max="13028" width="8.5" style="12" customWidth="1"/>
    <col min="13029" max="13029" width="40" style="12" customWidth="1"/>
    <col min="13030" max="13030" width="6.375" style="12" bestFit="1" customWidth="1"/>
    <col min="13031" max="13031" width="6.625" style="12" bestFit="1" customWidth="1"/>
    <col min="13032" max="13032" width="8.25" style="12" bestFit="1" customWidth="1"/>
    <col min="13033" max="13033" width="4.125" style="12" customWidth="1"/>
    <col min="13034" max="13034" width="8.5" style="12" customWidth="1"/>
    <col min="13035" max="13035" width="40" style="12" customWidth="1"/>
    <col min="13036" max="13036" width="6.375" style="12" customWidth="1"/>
    <col min="13037" max="13037" width="6.625" style="12" bestFit="1" customWidth="1"/>
    <col min="13038" max="13038" width="8.25" style="12" bestFit="1" customWidth="1"/>
    <col min="13039" max="13039" width="4.125" style="12" customWidth="1"/>
    <col min="13040" max="13040" width="8.5" style="12" customWidth="1"/>
    <col min="13041" max="13041" width="40" style="12" customWidth="1"/>
    <col min="13042" max="13042" width="6.375" style="12" customWidth="1"/>
    <col min="13043" max="13043" width="6.625" style="12" bestFit="1" customWidth="1"/>
    <col min="13044" max="13044" width="8.25" style="12" bestFit="1" customWidth="1"/>
    <col min="13045" max="13283" width="9" style="12"/>
    <col min="13284" max="13284" width="8.5" style="12" customWidth="1"/>
    <col min="13285" max="13285" width="40" style="12" customWidth="1"/>
    <col min="13286" max="13286" width="6.375" style="12" bestFit="1" customWidth="1"/>
    <col min="13287" max="13287" width="6.625" style="12" bestFit="1" customWidth="1"/>
    <col min="13288" max="13288" width="8.25" style="12" bestFit="1" customWidth="1"/>
    <col min="13289" max="13289" width="4.125" style="12" customWidth="1"/>
    <col min="13290" max="13290" width="8.5" style="12" customWidth="1"/>
    <col min="13291" max="13291" width="40" style="12" customWidth="1"/>
    <col min="13292" max="13292" width="6.375" style="12" customWidth="1"/>
    <col min="13293" max="13293" width="6.625" style="12" bestFit="1" customWidth="1"/>
    <col min="13294" max="13294" width="8.25" style="12" bestFit="1" customWidth="1"/>
    <col min="13295" max="13295" width="4.125" style="12" customWidth="1"/>
    <col min="13296" max="13296" width="8.5" style="12" customWidth="1"/>
    <col min="13297" max="13297" width="40" style="12" customWidth="1"/>
    <col min="13298" max="13298" width="6.375" style="12" customWidth="1"/>
    <col min="13299" max="13299" width="6.625" style="12" bestFit="1" customWidth="1"/>
    <col min="13300" max="13300" width="8.25" style="12" bestFit="1" customWidth="1"/>
    <col min="13301" max="13539" width="9" style="12"/>
    <col min="13540" max="13540" width="8.5" style="12" customWidth="1"/>
    <col min="13541" max="13541" width="40" style="12" customWidth="1"/>
    <col min="13542" max="13542" width="6.375" style="12" bestFit="1" customWidth="1"/>
    <col min="13543" max="13543" width="6.625" style="12" bestFit="1" customWidth="1"/>
    <col min="13544" max="13544" width="8.25" style="12" bestFit="1" customWidth="1"/>
    <col min="13545" max="13545" width="4.125" style="12" customWidth="1"/>
    <col min="13546" max="13546" width="8.5" style="12" customWidth="1"/>
    <col min="13547" max="13547" width="40" style="12" customWidth="1"/>
    <col min="13548" max="13548" width="6.375" style="12" customWidth="1"/>
    <col min="13549" max="13549" width="6.625" style="12" bestFit="1" customWidth="1"/>
    <col min="13550" max="13550" width="8.25" style="12" bestFit="1" customWidth="1"/>
    <col min="13551" max="13551" width="4.125" style="12" customWidth="1"/>
    <col min="13552" max="13552" width="8.5" style="12" customWidth="1"/>
    <col min="13553" max="13553" width="40" style="12" customWidth="1"/>
    <col min="13554" max="13554" width="6.375" style="12" customWidth="1"/>
    <col min="13555" max="13555" width="6.625" style="12" bestFit="1" customWidth="1"/>
    <col min="13556" max="13556" width="8.25" style="12" bestFit="1" customWidth="1"/>
    <col min="13557" max="13795" width="9" style="12"/>
    <col min="13796" max="13796" width="8.5" style="12" customWidth="1"/>
    <col min="13797" max="13797" width="40" style="12" customWidth="1"/>
    <col min="13798" max="13798" width="6.375" style="12" bestFit="1" customWidth="1"/>
    <col min="13799" max="13799" width="6.625" style="12" bestFit="1" customWidth="1"/>
    <col min="13800" max="13800" width="8.25" style="12" bestFit="1" customWidth="1"/>
    <col min="13801" max="13801" width="4.125" style="12" customWidth="1"/>
    <col min="13802" max="13802" width="8.5" style="12" customWidth="1"/>
    <col min="13803" max="13803" width="40" style="12" customWidth="1"/>
    <col min="13804" max="13804" width="6.375" style="12" customWidth="1"/>
    <col min="13805" max="13805" width="6.625" style="12" bestFit="1" customWidth="1"/>
    <col min="13806" max="13806" width="8.25" style="12" bestFit="1" customWidth="1"/>
    <col min="13807" max="13807" width="4.125" style="12" customWidth="1"/>
    <col min="13808" max="13808" width="8.5" style="12" customWidth="1"/>
    <col min="13809" max="13809" width="40" style="12" customWidth="1"/>
    <col min="13810" max="13810" width="6.375" style="12" customWidth="1"/>
    <col min="13811" max="13811" width="6.625" style="12" bestFit="1" customWidth="1"/>
    <col min="13812" max="13812" width="8.25" style="12" bestFit="1" customWidth="1"/>
    <col min="13813" max="14051" width="9" style="12"/>
    <col min="14052" max="14052" width="8.5" style="12" customWidth="1"/>
    <col min="14053" max="14053" width="40" style="12" customWidth="1"/>
    <col min="14054" max="14054" width="6.375" style="12" bestFit="1" customWidth="1"/>
    <col min="14055" max="14055" width="6.625" style="12" bestFit="1" customWidth="1"/>
    <col min="14056" max="14056" width="8.25" style="12" bestFit="1" customWidth="1"/>
    <col min="14057" max="14057" width="4.125" style="12" customWidth="1"/>
    <col min="14058" max="14058" width="8.5" style="12" customWidth="1"/>
    <col min="14059" max="14059" width="40" style="12" customWidth="1"/>
    <col min="14060" max="14060" width="6.375" style="12" customWidth="1"/>
    <col min="14061" max="14061" width="6.625" style="12" bestFit="1" customWidth="1"/>
    <col min="14062" max="14062" width="8.25" style="12" bestFit="1" customWidth="1"/>
    <col min="14063" max="14063" width="4.125" style="12" customWidth="1"/>
    <col min="14064" max="14064" width="8.5" style="12" customWidth="1"/>
    <col min="14065" max="14065" width="40" style="12" customWidth="1"/>
    <col min="14066" max="14066" width="6.375" style="12" customWidth="1"/>
    <col min="14067" max="14067" width="6.625" style="12" bestFit="1" customWidth="1"/>
    <col min="14068" max="14068" width="8.25" style="12" bestFit="1" customWidth="1"/>
    <col min="14069" max="14307" width="9" style="12"/>
    <col min="14308" max="14308" width="8.5" style="12" customWidth="1"/>
    <col min="14309" max="14309" width="40" style="12" customWidth="1"/>
    <col min="14310" max="14310" width="6.375" style="12" bestFit="1" customWidth="1"/>
    <col min="14311" max="14311" width="6.625" style="12" bestFit="1" customWidth="1"/>
    <col min="14312" max="14312" width="8.25" style="12" bestFit="1" customWidth="1"/>
    <col min="14313" max="14313" width="4.125" style="12" customWidth="1"/>
    <col min="14314" max="14314" width="8.5" style="12" customWidth="1"/>
    <col min="14315" max="14315" width="40" style="12" customWidth="1"/>
    <col min="14316" max="14316" width="6.375" style="12" customWidth="1"/>
    <col min="14317" max="14317" width="6.625" style="12" bestFit="1" customWidth="1"/>
    <col min="14318" max="14318" width="8.25" style="12" bestFit="1" customWidth="1"/>
    <col min="14319" max="14319" width="4.125" style="12" customWidth="1"/>
    <col min="14320" max="14320" width="8.5" style="12" customWidth="1"/>
    <col min="14321" max="14321" width="40" style="12" customWidth="1"/>
    <col min="14322" max="14322" width="6.375" style="12" customWidth="1"/>
    <col min="14323" max="14323" width="6.625" style="12" bestFit="1" customWidth="1"/>
    <col min="14324" max="14324" width="8.25" style="12" bestFit="1" customWidth="1"/>
    <col min="14325" max="14563" width="9" style="12"/>
    <col min="14564" max="14564" width="8.5" style="12" customWidth="1"/>
    <col min="14565" max="14565" width="40" style="12" customWidth="1"/>
    <col min="14566" max="14566" width="6.375" style="12" bestFit="1" customWidth="1"/>
    <col min="14567" max="14567" width="6.625" style="12" bestFit="1" customWidth="1"/>
    <col min="14568" max="14568" width="8.25" style="12" bestFit="1" customWidth="1"/>
    <col min="14569" max="14569" width="4.125" style="12" customWidth="1"/>
    <col min="14570" max="14570" width="8.5" style="12" customWidth="1"/>
    <col min="14571" max="14571" width="40" style="12" customWidth="1"/>
    <col min="14572" max="14572" width="6.375" style="12" customWidth="1"/>
    <col min="14573" max="14573" width="6.625" style="12" bestFit="1" customWidth="1"/>
    <col min="14574" max="14574" width="8.25" style="12" bestFit="1" customWidth="1"/>
    <col min="14575" max="14575" width="4.125" style="12" customWidth="1"/>
    <col min="14576" max="14576" width="8.5" style="12" customWidth="1"/>
    <col min="14577" max="14577" width="40" style="12" customWidth="1"/>
    <col min="14578" max="14578" width="6.375" style="12" customWidth="1"/>
    <col min="14579" max="14579" width="6.625" style="12" bestFit="1" customWidth="1"/>
    <col min="14580" max="14580" width="8.25" style="12" bestFit="1" customWidth="1"/>
    <col min="14581" max="14819" width="9" style="12"/>
    <col min="14820" max="14820" width="8.5" style="12" customWidth="1"/>
    <col min="14821" max="14821" width="40" style="12" customWidth="1"/>
    <col min="14822" max="14822" width="6.375" style="12" bestFit="1" customWidth="1"/>
    <col min="14823" max="14823" width="6.625" style="12" bestFit="1" customWidth="1"/>
    <col min="14824" max="14824" width="8.25" style="12" bestFit="1" customWidth="1"/>
    <col min="14825" max="14825" width="4.125" style="12" customWidth="1"/>
    <col min="14826" max="14826" width="8.5" style="12" customWidth="1"/>
    <col min="14827" max="14827" width="40" style="12" customWidth="1"/>
    <col min="14828" max="14828" width="6.375" style="12" customWidth="1"/>
    <col min="14829" max="14829" width="6.625" style="12" bestFit="1" customWidth="1"/>
    <col min="14830" max="14830" width="8.25" style="12" bestFit="1" customWidth="1"/>
    <col min="14831" max="14831" width="4.125" style="12" customWidth="1"/>
    <col min="14832" max="14832" width="8.5" style="12" customWidth="1"/>
    <col min="14833" max="14833" width="40" style="12" customWidth="1"/>
    <col min="14834" max="14834" width="6.375" style="12" customWidth="1"/>
    <col min="14835" max="14835" width="6.625" style="12" bestFit="1" customWidth="1"/>
    <col min="14836" max="14836" width="8.25" style="12" bestFit="1" customWidth="1"/>
    <col min="14837" max="15075" width="9" style="12"/>
    <col min="15076" max="15076" width="8.5" style="12" customWidth="1"/>
    <col min="15077" max="15077" width="40" style="12" customWidth="1"/>
    <col min="15078" max="15078" width="6.375" style="12" bestFit="1" customWidth="1"/>
    <col min="15079" max="15079" width="6.625" style="12" bestFit="1" customWidth="1"/>
    <col min="15080" max="15080" width="8.25" style="12" bestFit="1" customWidth="1"/>
    <col min="15081" max="15081" width="4.125" style="12" customWidth="1"/>
    <col min="15082" max="15082" width="8.5" style="12" customWidth="1"/>
    <col min="15083" max="15083" width="40" style="12" customWidth="1"/>
    <col min="15084" max="15084" width="6.375" style="12" customWidth="1"/>
    <col min="15085" max="15085" width="6.625" style="12" bestFit="1" customWidth="1"/>
    <col min="15086" max="15086" width="8.25" style="12" bestFit="1" customWidth="1"/>
    <col min="15087" max="15087" width="4.125" style="12" customWidth="1"/>
    <col min="15088" max="15088" width="8.5" style="12" customWidth="1"/>
    <col min="15089" max="15089" width="40" style="12" customWidth="1"/>
    <col min="15090" max="15090" width="6.375" style="12" customWidth="1"/>
    <col min="15091" max="15091" width="6.625" style="12" bestFit="1" customWidth="1"/>
    <col min="15092" max="15092" width="8.25" style="12" bestFit="1" customWidth="1"/>
    <col min="15093" max="15331" width="9" style="12"/>
    <col min="15332" max="15332" width="8.5" style="12" customWidth="1"/>
    <col min="15333" max="15333" width="40" style="12" customWidth="1"/>
    <col min="15334" max="15334" width="6.375" style="12" bestFit="1" customWidth="1"/>
    <col min="15335" max="15335" width="6.625" style="12" bestFit="1" customWidth="1"/>
    <col min="15336" max="15336" width="8.25" style="12" bestFit="1" customWidth="1"/>
    <col min="15337" max="15337" width="4.125" style="12" customWidth="1"/>
    <col min="15338" max="15338" width="8.5" style="12" customWidth="1"/>
    <col min="15339" max="15339" width="40" style="12" customWidth="1"/>
    <col min="15340" max="15340" width="6.375" style="12" customWidth="1"/>
    <col min="15341" max="15341" width="6.625" style="12" bestFit="1" customWidth="1"/>
    <col min="15342" max="15342" width="8.25" style="12" bestFit="1" customWidth="1"/>
    <col min="15343" max="15343" width="4.125" style="12" customWidth="1"/>
    <col min="15344" max="15344" width="8.5" style="12" customWidth="1"/>
    <col min="15345" max="15345" width="40" style="12" customWidth="1"/>
    <col min="15346" max="15346" width="6.375" style="12" customWidth="1"/>
    <col min="15347" max="15347" width="6.625" style="12" bestFit="1" customWidth="1"/>
    <col min="15348" max="15348" width="8.25" style="12" bestFit="1" customWidth="1"/>
    <col min="15349" max="15587" width="9" style="12"/>
    <col min="15588" max="15588" width="8.5" style="12" customWidth="1"/>
    <col min="15589" max="15589" width="40" style="12" customWidth="1"/>
    <col min="15590" max="15590" width="6.375" style="12" bestFit="1" customWidth="1"/>
    <col min="15591" max="15591" width="6.625" style="12" bestFit="1" customWidth="1"/>
    <col min="15592" max="15592" width="8.25" style="12" bestFit="1" customWidth="1"/>
    <col min="15593" max="15593" width="4.125" style="12" customWidth="1"/>
    <col min="15594" max="15594" width="8.5" style="12" customWidth="1"/>
    <col min="15595" max="15595" width="40" style="12" customWidth="1"/>
    <col min="15596" max="15596" width="6.375" style="12" customWidth="1"/>
    <col min="15597" max="15597" width="6.625" style="12" bestFit="1" customWidth="1"/>
    <col min="15598" max="15598" width="8.25" style="12" bestFit="1" customWidth="1"/>
    <col min="15599" max="15599" width="4.125" style="12" customWidth="1"/>
    <col min="15600" max="15600" width="8.5" style="12" customWidth="1"/>
    <col min="15601" max="15601" width="40" style="12" customWidth="1"/>
    <col min="15602" max="15602" width="6.375" style="12" customWidth="1"/>
    <col min="15603" max="15603" width="6.625" style="12" bestFit="1" customWidth="1"/>
    <col min="15604" max="15604" width="8.25" style="12" bestFit="1" customWidth="1"/>
    <col min="15605" max="15843" width="9" style="12"/>
    <col min="15844" max="15844" width="8.5" style="12" customWidth="1"/>
    <col min="15845" max="15845" width="40" style="12" customWidth="1"/>
    <col min="15846" max="15846" width="6.375" style="12" bestFit="1" customWidth="1"/>
    <col min="15847" max="15847" width="6.625" style="12" bestFit="1" customWidth="1"/>
    <col min="15848" max="15848" width="8.25" style="12" bestFit="1" customWidth="1"/>
    <col min="15849" max="15849" width="4.125" style="12" customWidth="1"/>
    <col min="15850" max="15850" width="8.5" style="12" customWidth="1"/>
    <col min="15851" max="15851" width="40" style="12" customWidth="1"/>
    <col min="15852" max="15852" width="6.375" style="12" customWidth="1"/>
    <col min="15853" max="15853" width="6.625" style="12" bestFit="1" customWidth="1"/>
    <col min="15854" max="15854" width="8.25" style="12" bestFit="1" customWidth="1"/>
    <col min="15855" max="15855" width="4.125" style="12" customWidth="1"/>
    <col min="15856" max="15856" width="8.5" style="12" customWidth="1"/>
    <col min="15857" max="15857" width="40" style="12" customWidth="1"/>
    <col min="15858" max="15858" width="6.375" style="12" customWidth="1"/>
    <col min="15859" max="15859" width="6.625" style="12" bestFit="1" customWidth="1"/>
    <col min="15860" max="15860" width="8.25" style="12" bestFit="1" customWidth="1"/>
    <col min="15861" max="16099" width="9" style="12"/>
    <col min="16100" max="16100" width="8.5" style="12" customWidth="1"/>
    <col min="16101" max="16101" width="40" style="12" customWidth="1"/>
    <col min="16102" max="16102" width="6.375" style="12" bestFit="1" customWidth="1"/>
    <col min="16103" max="16103" width="6.625" style="12" bestFit="1" customWidth="1"/>
    <col min="16104" max="16104" width="8.25" style="12" bestFit="1" customWidth="1"/>
    <col min="16105" max="16105" width="4.125" style="12" customWidth="1"/>
    <col min="16106" max="16106" width="8.5" style="12" customWidth="1"/>
    <col min="16107" max="16107" width="40" style="12" customWidth="1"/>
    <col min="16108" max="16108" width="6.375" style="12" customWidth="1"/>
    <col min="16109" max="16109" width="6.625" style="12" bestFit="1" customWidth="1"/>
    <col min="16110" max="16110" width="8.25" style="12" bestFit="1" customWidth="1"/>
    <col min="16111" max="16111" width="4.125" style="12" customWidth="1"/>
    <col min="16112" max="16112" width="8.5" style="12" customWidth="1"/>
    <col min="16113" max="16113" width="40" style="12" customWidth="1"/>
    <col min="16114" max="16114" width="6.375" style="12" customWidth="1"/>
    <col min="16115" max="16115" width="6.625" style="12" bestFit="1" customWidth="1"/>
    <col min="16116" max="16116" width="8.25" style="12" bestFit="1" customWidth="1"/>
    <col min="16117" max="16384" width="9" style="12"/>
  </cols>
  <sheetData>
    <row r="1" spans="1:23" ht="15" customHeight="1" x14ac:dyDescent="0.2">
      <c r="A1" s="100" t="s">
        <v>588</v>
      </c>
      <c r="B1" s="5"/>
      <c r="C1" s="10"/>
      <c r="D1" s="11"/>
      <c r="E1" s="7"/>
      <c r="F1" s="7"/>
      <c r="G1" s="8"/>
    </row>
    <row r="2" spans="1:23" s="128" customFormat="1" ht="15" customHeight="1" x14ac:dyDescent="0.2">
      <c r="A2" s="500" t="s">
        <v>585</v>
      </c>
      <c r="B2" s="199"/>
      <c r="C2" s="199"/>
      <c r="D2" s="199"/>
      <c r="E2" s="199"/>
      <c r="F2" s="199"/>
      <c r="G2" s="199"/>
      <c r="H2" s="199"/>
      <c r="I2" s="199"/>
      <c r="J2" s="199"/>
      <c r="K2" s="199"/>
      <c r="L2" s="199"/>
    </row>
    <row r="3" spans="1:23" s="128" customFormat="1" ht="15.95" customHeight="1" x14ac:dyDescent="0.2">
      <c r="A3" s="619" t="s">
        <v>0</v>
      </c>
      <c r="B3" s="619"/>
      <c r="C3" s="619"/>
      <c r="D3" s="619"/>
      <c r="E3" s="619"/>
      <c r="F3" s="619"/>
      <c r="G3" s="619"/>
      <c r="H3" s="382"/>
      <c r="I3" s="619" t="s">
        <v>1</v>
      </c>
      <c r="J3" s="619"/>
      <c r="K3" s="619"/>
      <c r="L3" s="619"/>
      <c r="M3" s="619"/>
      <c r="N3" s="619"/>
      <c r="O3" s="619"/>
      <c r="P3" s="597"/>
      <c r="Q3" s="619" t="s">
        <v>2</v>
      </c>
      <c r="R3" s="619"/>
      <c r="S3" s="619"/>
      <c r="T3" s="619"/>
      <c r="U3" s="619"/>
      <c r="V3" s="619"/>
      <c r="W3" s="619"/>
    </row>
    <row r="4" spans="1:23" s="20" customFormat="1" ht="63.75" x14ac:dyDescent="0.2">
      <c r="A4" s="110" t="s">
        <v>39</v>
      </c>
      <c r="B4" s="126" t="s">
        <v>40</v>
      </c>
      <c r="C4" s="19" t="s">
        <v>75</v>
      </c>
      <c r="D4" s="127" t="s">
        <v>38</v>
      </c>
      <c r="E4" s="127" t="s">
        <v>565</v>
      </c>
      <c r="F4" s="127" t="s">
        <v>29</v>
      </c>
      <c r="G4" s="19" t="s">
        <v>560</v>
      </c>
      <c r="H4" s="305"/>
      <c r="I4" s="110" t="s">
        <v>39</v>
      </c>
      <c r="J4" s="126" t="s">
        <v>40</v>
      </c>
      <c r="K4" s="19" t="s">
        <v>75</v>
      </c>
      <c r="L4" s="127" t="s">
        <v>38</v>
      </c>
      <c r="M4" s="127" t="s">
        <v>565</v>
      </c>
      <c r="N4" s="127" t="s">
        <v>29</v>
      </c>
      <c r="O4" s="19" t="s">
        <v>560</v>
      </c>
      <c r="P4" s="305"/>
      <c r="Q4" s="110" t="s">
        <v>39</v>
      </c>
      <c r="R4" s="126" t="s">
        <v>40</v>
      </c>
      <c r="S4" s="19" t="s">
        <v>75</v>
      </c>
      <c r="T4" s="127" t="s">
        <v>38</v>
      </c>
      <c r="U4" s="127" t="s">
        <v>565</v>
      </c>
      <c r="V4" s="127" t="s">
        <v>29</v>
      </c>
      <c r="W4" s="19" t="s">
        <v>560</v>
      </c>
    </row>
    <row r="5" spans="1:23" s="25" customFormat="1" ht="12.75" x14ac:dyDescent="0.2">
      <c r="A5" s="102">
        <v>1</v>
      </c>
      <c r="B5" s="62" t="s">
        <v>42</v>
      </c>
      <c r="C5" s="34">
        <v>901</v>
      </c>
      <c r="D5" s="30">
        <v>12.8</v>
      </c>
      <c r="E5" s="64">
        <v>68.2</v>
      </c>
      <c r="F5" s="64"/>
      <c r="G5" s="30">
        <v>140.9</v>
      </c>
      <c r="I5" s="102">
        <v>1</v>
      </c>
      <c r="J5" s="62" t="s">
        <v>49</v>
      </c>
      <c r="K5" s="34">
        <v>527</v>
      </c>
      <c r="L5" s="30">
        <v>8.9</v>
      </c>
      <c r="M5" s="64">
        <v>40.200000000000003</v>
      </c>
      <c r="N5" s="64"/>
      <c r="O5" s="30">
        <v>77.599999999999994</v>
      </c>
      <c r="Q5" s="102">
        <v>1</v>
      </c>
      <c r="R5" s="62" t="s">
        <v>42</v>
      </c>
      <c r="S5" s="34">
        <v>1425</v>
      </c>
      <c r="T5" s="30">
        <v>11</v>
      </c>
      <c r="U5" s="64">
        <v>54.1</v>
      </c>
      <c r="V5" s="64"/>
      <c r="W5" s="30">
        <v>106.4</v>
      </c>
    </row>
    <row r="6" spans="1:23" s="25" customFormat="1" ht="12.75" x14ac:dyDescent="0.2">
      <c r="A6" s="102">
        <v>2</v>
      </c>
      <c r="B6" s="62" t="s">
        <v>53</v>
      </c>
      <c r="C6" s="34">
        <v>476</v>
      </c>
      <c r="D6" s="30">
        <v>6.8</v>
      </c>
      <c r="E6" s="64">
        <v>36</v>
      </c>
      <c r="F6" s="64"/>
      <c r="G6" s="30">
        <v>41.9</v>
      </c>
      <c r="I6" s="102">
        <v>2</v>
      </c>
      <c r="J6" s="62" t="s">
        <v>42</v>
      </c>
      <c r="K6" s="34">
        <v>524</v>
      </c>
      <c r="L6" s="30">
        <v>8.9</v>
      </c>
      <c r="M6" s="64">
        <v>39.9</v>
      </c>
      <c r="N6" s="64"/>
      <c r="O6" s="30">
        <v>76.7</v>
      </c>
      <c r="Q6" s="102">
        <v>2</v>
      </c>
      <c r="R6" s="62" t="s">
        <v>49</v>
      </c>
      <c r="S6" s="34">
        <v>937</v>
      </c>
      <c r="T6" s="30">
        <v>7.2</v>
      </c>
      <c r="U6" s="64">
        <v>35.6</v>
      </c>
      <c r="V6" s="64"/>
      <c r="W6" s="30">
        <v>71.3</v>
      </c>
    </row>
    <row r="7" spans="1:23" s="25" customFormat="1" ht="12.75" x14ac:dyDescent="0.2">
      <c r="A7" s="102">
        <v>3</v>
      </c>
      <c r="B7" s="62" t="s">
        <v>49</v>
      </c>
      <c r="C7" s="34">
        <v>410</v>
      </c>
      <c r="D7" s="30">
        <v>5.8</v>
      </c>
      <c r="E7" s="64">
        <v>31</v>
      </c>
      <c r="F7" s="64"/>
      <c r="G7" s="30">
        <v>63</v>
      </c>
      <c r="I7" s="102">
        <v>3</v>
      </c>
      <c r="J7" s="62" t="s">
        <v>570</v>
      </c>
      <c r="K7" s="34">
        <v>404</v>
      </c>
      <c r="L7" s="30">
        <v>6.9</v>
      </c>
      <c r="M7" s="64">
        <v>30.8</v>
      </c>
      <c r="N7" s="64"/>
      <c r="O7" s="30">
        <v>61.4</v>
      </c>
      <c r="Q7" s="102">
        <v>3</v>
      </c>
      <c r="R7" s="62" t="s">
        <v>570</v>
      </c>
      <c r="S7" s="34">
        <v>802</v>
      </c>
      <c r="T7" s="30">
        <v>6.2</v>
      </c>
      <c r="U7" s="64">
        <v>30.5</v>
      </c>
      <c r="V7" s="64"/>
      <c r="W7" s="30">
        <v>65.400000000000006</v>
      </c>
    </row>
    <row r="8" spans="1:23" s="25" customFormat="1" ht="12.75" x14ac:dyDescent="0.2">
      <c r="A8" s="102">
        <v>4</v>
      </c>
      <c r="B8" s="62" t="s">
        <v>44</v>
      </c>
      <c r="C8" s="34">
        <v>400</v>
      </c>
      <c r="D8" s="30">
        <v>5.7</v>
      </c>
      <c r="E8" s="64">
        <v>30.3</v>
      </c>
      <c r="F8" s="64"/>
      <c r="G8" s="30">
        <v>66.400000000000006</v>
      </c>
      <c r="I8" s="102">
        <v>4</v>
      </c>
      <c r="J8" s="62" t="s">
        <v>44</v>
      </c>
      <c r="K8" s="34">
        <v>380</v>
      </c>
      <c r="L8" s="30">
        <v>6.4</v>
      </c>
      <c r="M8" s="64">
        <v>29</v>
      </c>
      <c r="N8" s="64"/>
      <c r="O8" s="30">
        <v>53.9</v>
      </c>
      <c r="Q8" s="102">
        <v>4</v>
      </c>
      <c r="R8" s="62" t="s">
        <v>44</v>
      </c>
      <c r="S8" s="34">
        <v>780</v>
      </c>
      <c r="T8" s="30">
        <v>6</v>
      </c>
      <c r="U8" s="64">
        <v>29.6</v>
      </c>
      <c r="V8" s="64"/>
      <c r="W8" s="30">
        <v>59.6</v>
      </c>
    </row>
    <row r="9" spans="1:23" s="25" customFormat="1" ht="25.5" x14ac:dyDescent="0.2">
      <c r="A9" s="102">
        <v>5</v>
      </c>
      <c r="B9" s="62" t="s">
        <v>570</v>
      </c>
      <c r="C9" s="34">
        <v>398</v>
      </c>
      <c r="D9" s="30">
        <v>5.6</v>
      </c>
      <c r="E9" s="64">
        <v>30.1</v>
      </c>
      <c r="F9" s="64"/>
      <c r="G9" s="30">
        <v>70</v>
      </c>
      <c r="I9" s="102">
        <v>5</v>
      </c>
      <c r="J9" s="62" t="s">
        <v>43</v>
      </c>
      <c r="K9" s="34">
        <v>287</v>
      </c>
      <c r="L9" s="30">
        <v>4.9000000000000004</v>
      </c>
      <c r="M9" s="64">
        <v>21.9</v>
      </c>
      <c r="N9" s="64"/>
      <c r="O9" s="30">
        <v>63.7</v>
      </c>
      <c r="Q9" s="102">
        <v>5</v>
      </c>
      <c r="R9" s="62" t="s">
        <v>53</v>
      </c>
      <c r="S9" s="34">
        <v>650</v>
      </c>
      <c r="T9" s="30">
        <v>5</v>
      </c>
      <c r="U9" s="64">
        <v>24.7</v>
      </c>
      <c r="V9" s="64"/>
      <c r="W9" s="30">
        <v>27.4</v>
      </c>
    </row>
    <row r="10" spans="1:23" s="25" customFormat="1" ht="25.5" x14ac:dyDescent="0.2">
      <c r="A10" s="102">
        <v>6</v>
      </c>
      <c r="B10" s="62" t="s">
        <v>100</v>
      </c>
      <c r="C10" s="34">
        <v>240</v>
      </c>
      <c r="D10" s="30">
        <v>3.4</v>
      </c>
      <c r="E10" s="64">
        <v>18.2</v>
      </c>
      <c r="F10" s="64"/>
      <c r="G10" s="30">
        <v>19.8</v>
      </c>
      <c r="I10" s="102">
        <v>6</v>
      </c>
      <c r="J10" s="62" t="s">
        <v>45</v>
      </c>
      <c r="K10" s="34">
        <v>259</v>
      </c>
      <c r="L10" s="30">
        <v>4.4000000000000004</v>
      </c>
      <c r="M10" s="64">
        <v>19.7</v>
      </c>
      <c r="N10" s="64"/>
      <c r="O10" s="30">
        <v>39.299999999999997</v>
      </c>
      <c r="Q10" s="102">
        <v>6</v>
      </c>
      <c r="R10" s="62" t="s">
        <v>43</v>
      </c>
      <c r="S10" s="34">
        <v>452</v>
      </c>
      <c r="T10" s="30">
        <v>3.5</v>
      </c>
      <c r="U10" s="64">
        <v>17.2</v>
      </c>
      <c r="V10" s="64"/>
      <c r="W10" s="30">
        <v>56</v>
      </c>
    </row>
    <row r="11" spans="1:23" s="25" customFormat="1" ht="12.75" x14ac:dyDescent="0.2">
      <c r="A11" s="102">
        <v>7</v>
      </c>
      <c r="B11" s="62" t="s">
        <v>60</v>
      </c>
      <c r="C11" s="34">
        <v>225</v>
      </c>
      <c r="D11" s="30">
        <v>3.2</v>
      </c>
      <c r="E11" s="64">
        <v>17</v>
      </c>
      <c r="F11" s="64"/>
      <c r="G11" s="30">
        <v>26.4</v>
      </c>
      <c r="I11" s="102">
        <v>7</v>
      </c>
      <c r="J11" s="62" t="s">
        <v>53</v>
      </c>
      <c r="K11" s="34">
        <v>174</v>
      </c>
      <c r="L11" s="30">
        <v>3</v>
      </c>
      <c r="M11" s="64">
        <v>13.3</v>
      </c>
      <c r="N11" s="64"/>
      <c r="O11" s="30">
        <v>13.4</v>
      </c>
      <c r="Q11" s="102">
        <v>7</v>
      </c>
      <c r="R11" s="62" t="s">
        <v>45</v>
      </c>
      <c r="S11" s="34">
        <v>448</v>
      </c>
      <c r="T11" s="30">
        <v>3.5</v>
      </c>
      <c r="U11" s="64">
        <v>17</v>
      </c>
      <c r="V11" s="64"/>
      <c r="W11" s="30">
        <v>37.200000000000003</v>
      </c>
    </row>
    <row r="12" spans="1:23" s="25" customFormat="1" ht="12.75" x14ac:dyDescent="0.2">
      <c r="A12" s="102">
        <v>8</v>
      </c>
      <c r="B12" s="62" t="s">
        <v>89</v>
      </c>
      <c r="C12" s="34">
        <v>209</v>
      </c>
      <c r="D12" s="30">
        <v>3</v>
      </c>
      <c r="E12" s="64">
        <v>15.8</v>
      </c>
      <c r="F12" s="64"/>
      <c r="G12" s="30">
        <v>21.2</v>
      </c>
      <c r="I12" s="102">
        <v>8</v>
      </c>
      <c r="J12" s="62" t="s">
        <v>60</v>
      </c>
      <c r="K12" s="34">
        <v>162</v>
      </c>
      <c r="L12" s="30">
        <v>2.7</v>
      </c>
      <c r="M12" s="64">
        <v>12.3</v>
      </c>
      <c r="N12" s="64"/>
      <c r="O12" s="30">
        <v>17.8</v>
      </c>
      <c r="Q12" s="102">
        <v>8</v>
      </c>
      <c r="R12" s="62" t="s">
        <v>60</v>
      </c>
      <c r="S12" s="34">
        <v>387</v>
      </c>
      <c r="T12" s="30">
        <v>3</v>
      </c>
      <c r="U12" s="64">
        <v>14.7</v>
      </c>
      <c r="V12" s="64"/>
      <c r="W12" s="30">
        <v>21.9</v>
      </c>
    </row>
    <row r="13" spans="1:23" s="25" customFormat="1" ht="25.5" x14ac:dyDescent="0.2">
      <c r="A13" s="102">
        <v>9</v>
      </c>
      <c r="B13" s="62" t="s">
        <v>55</v>
      </c>
      <c r="C13" s="34">
        <v>195</v>
      </c>
      <c r="D13" s="30">
        <v>2.8</v>
      </c>
      <c r="E13" s="64">
        <v>14.8</v>
      </c>
      <c r="F13" s="64"/>
      <c r="G13" s="30">
        <v>21</v>
      </c>
      <c r="I13" s="102">
        <v>9</v>
      </c>
      <c r="J13" s="62" t="s">
        <v>48</v>
      </c>
      <c r="K13" s="34">
        <v>151</v>
      </c>
      <c r="L13" s="30">
        <v>2.6</v>
      </c>
      <c r="M13" s="64">
        <v>11.5</v>
      </c>
      <c r="N13" s="64"/>
      <c r="O13" s="30">
        <v>20.100000000000001</v>
      </c>
      <c r="Q13" s="102">
        <v>9</v>
      </c>
      <c r="R13" s="62" t="s">
        <v>100</v>
      </c>
      <c r="S13" s="34">
        <v>338</v>
      </c>
      <c r="T13" s="30">
        <v>2.6</v>
      </c>
      <c r="U13" s="64">
        <v>12.8</v>
      </c>
      <c r="V13" s="64"/>
      <c r="W13" s="30">
        <v>14.1</v>
      </c>
    </row>
    <row r="14" spans="1:23" s="25" customFormat="1" ht="25.5" x14ac:dyDescent="0.2">
      <c r="A14" s="102">
        <v>10</v>
      </c>
      <c r="B14" s="62" t="s">
        <v>45</v>
      </c>
      <c r="C14" s="34">
        <v>189</v>
      </c>
      <c r="D14" s="30">
        <v>2.7</v>
      </c>
      <c r="E14" s="64">
        <v>14.3</v>
      </c>
      <c r="F14" s="64"/>
      <c r="G14" s="30">
        <v>34.9</v>
      </c>
      <c r="I14" s="102">
        <v>10</v>
      </c>
      <c r="J14" s="62" t="s">
        <v>51</v>
      </c>
      <c r="K14" s="34">
        <v>128</v>
      </c>
      <c r="L14" s="30">
        <v>2.2000000000000002</v>
      </c>
      <c r="M14" s="64">
        <v>9.8000000000000007</v>
      </c>
      <c r="N14" s="64"/>
      <c r="O14" s="30">
        <v>22.2</v>
      </c>
      <c r="Q14" s="102">
        <v>10</v>
      </c>
      <c r="R14" s="62" t="s">
        <v>55</v>
      </c>
      <c r="S14" s="34">
        <v>308</v>
      </c>
      <c r="T14" s="30">
        <v>2.4</v>
      </c>
      <c r="U14" s="64">
        <v>11.7</v>
      </c>
      <c r="V14" s="64"/>
      <c r="W14" s="30">
        <v>16</v>
      </c>
    </row>
    <row r="15" spans="1:23" s="25" customFormat="1" ht="51" x14ac:dyDescent="0.2">
      <c r="A15" s="32">
        <v>11</v>
      </c>
      <c r="B15" s="33" t="s">
        <v>77</v>
      </c>
      <c r="C15" s="34">
        <v>168</v>
      </c>
      <c r="D15" s="30">
        <v>2.4</v>
      </c>
      <c r="E15" s="64">
        <v>12.7</v>
      </c>
      <c r="F15" s="64"/>
      <c r="G15" s="35">
        <v>8.6999999999999993</v>
      </c>
      <c r="I15" s="32">
        <v>11</v>
      </c>
      <c r="J15" s="33" t="s">
        <v>77</v>
      </c>
      <c r="K15" s="34">
        <v>125</v>
      </c>
      <c r="L15" s="30">
        <v>2.1</v>
      </c>
      <c r="M15" s="64">
        <v>9.5</v>
      </c>
      <c r="N15" s="64"/>
      <c r="O15" s="35">
        <v>6.8</v>
      </c>
      <c r="Q15" s="32">
        <v>11</v>
      </c>
      <c r="R15" s="33" t="s">
        <v>89</v>
      </c>
      <c r="S15" s="34">
        <v>296</v>
      </c>
      <c r="T15" s="30">
        <v>2.2999999999999998</v>
      </c>
      <c r="U15" s="64">
        <v>11.2</v>
      </c>
      <c r="V15" s="64"/>
      <c r="W15" s="35">
        <v>14.6</v>
      </c>
    </row>
    <row r="16" spans="1:23" s="25" customFormat="1" ht="51" x14ac:dyDescent="0.2">
      <c r="A16" s="32">
        <v>12</v>
      </c>
      <c r="B16" s="33" t="s">
        <v>43</v>
      </c>
      <c r="C16" s="34">
        <v>165</v>
      </c>
      <c r="D16" s="30">
        <v>2.2999999999999998</v>
      </c>
      <c r="E16" s="64">
        <v>12.5</v>
      </c>
      <c r="F16" s="64"/>
      <c r="G16" s="35">
        <v>46</v>
      </c>
      <c r="I16" s="32">
        <v>12</v>
      </c>
      <c r="J16" s="33" t="s">
        <v>63</v>
      </c>
      <c r="K16" s="34">
        <v>118</v>
      </c>
      <c r="L16" s="30">
        <v>2</v>
      </c>
      <c r="M16" s="64">
        <v>9</v>
      </c>
      <c r="N16" s="64"/>
      <c r="O16" s="35">
        <v>20</v>
      </c>
      <c r="Q16" s="32">
        <v>12</v>
      </c>
      <c r="R16" s="33" t="s">
        <v>77</v>
      </c>
      <c r="S16" s="34">
        <v>293</v>
      </c>
      <c r="T16" s="30">
        <v>2.2999999999999998</v>
      </c>
      <c r="U16" s="64">
        <v>11.1</v>
      </c>
      <c r="V16" s="64"/>
      <c r="W16" s="35">
        <v>7.8</v>
      </c>
    </row>
    <row r="17" spans="1:23" s="25" customFormat="1" ht="25.5" x14ac:dyDescent="0.2">
      <c r="A17" s="32">
        <v>13</v>
      </c>
      <c r="B17" s="33" t="s">
        <v>64</v>
      </c>
      <c r="C17" s="34">
        <v>142</v>
      </c>
      <c r="D17" s="30">
        <v>2</v>
      </c>
      <c r="E17" s="64">
        <v>10.8</v>
      </c>
      <c r="F17" s="64"/>
      <c r="G17" s="35">
        <v>21.9</v>
      </c>
      <c r="I17" s="32">
        <v>13</v>
      </c>
      <c r="J17" s="33" t="s">
        <v>55</v>
      </c>
      <c r="K17" s="34">
        <v>113</v>
      </c>
      <c r="L17" s="30">
        <v>1.9</v>
      </c>
      <c r="M17" s="64">
        <v>8.6</v>
      </c>
      <c r="N17" s="64"/>
      <c r="O17" s="35">
        <v>11.4</v>
      </c>
      <c r="Q17" s="32">
        <v>13</v>
      </c>
      <c r="R17" s="33" t="s">
        <v>50</v>
      </c>
      <c r="S17" s="34">
        <v>241</v>
      </c>
      <c r="T17" s="30">
        <v>1.9</v>
      </c>
      <c r="U17" s="64">
        <v>9.1999999999999993</v>
      </c>
      <c r="V17" s="64"/>
      <c r="W17" s="35">
        <v>18.8</v>
      </c>
    </row>
    <row r="18" spans="1:23" s="25" customFormat="1" ht="12.75" x14ac:dyDescent="0.2">
      <c r="A18" s="32">
        <v>14</v>
      </c>
      <c r="B18" s="33" t="s">
        <v>50</v>
      </c>
      <c r="C18" s="34">
        <v>134</v>
      </c>
      <c r="D18" s="30">
        <v>1.9</v>
      </c>
      <c r="E18" s="64">
        <v>10.1</v>
      </c>
      <c r="F18" s="64"/>
      <c r="G18" s="35">
        <v>23.8</v>
      </c>
      <c r="I18" s="32">
        <v>14</v>
      </c>
      <c r="J18" s="33" t="s">
        <v>50</v>
      </c>
      <c r="K18" s="34">
        <v>107</v>
      </c>
      <c r="L18" s="30">
        <v>1.8</v>
      </c>
      <c r="M18" s="64">
        <v>8.1999999999999993</v>
      </c>
      <c r="N18" s="64"/>
      <c r="O18" s="35">
        <v>14.9</v>
      </c>
      <c r="Q18" s="32">
        <v>14</v>
      </c>
      <c r="R18" s="33" t="s">
        <v>51</v>
      </c>
      <c r="S18" s="34">
        <v>241</v>
      </c>
      <c r="T18" s="30">
        <v>1.9</v>
      </c>
      <c r="U18" s="64">
        <v>9.1999999999999993</v>
      </c>
      <c r="V18" s="64"/>
      <c r="W18" s="35">
        <v>22.2</v>
      </c>
    </row>
    <row r="19" spans="1:23" s="25" customFormat="1" ht="25.5" x14ac:dyDescent="0.2">
      <c r="A19" s="32">
        <v>15</v>
      </c>
      <c r="B19" s="33" t="s">
        <v>58</v>
      </c>
      <c r="C19" s="34">
        <v>131</v>
      </c>
      <c r="D19" s="30">
        <v>1.9</v>
      </c>
      <c r="E19" s="64">
        <v>9.9</v>
      </c>
      <c r="F19" s="64"/>
      <c r="G19" s="35">
        <v>22.7</v>
      </c>
      <c r="I19" s="32">
        <v>15</v>
      </c>
      <c r="J19" s="33" t="s">
        <v>100</v>
      </c>
      <c r="K19" s="34">
        <v>98</v>
      </c>
      <c r="L19" s="30">
        <v>1.7</v>
      </c>
      <c r="M19" s="64">
        <v>7.5</v>
      </c>
      <c r="N19" s="64"/>
      <c r="O19" s="35">
        <v>8.5</v>
      </c>
      <c r="Q19" s="32">
        <v>15</v>
      </c>
      <c r="R19" s="33" t="s">
        <v>64</v>
      </c>
      <c r="S19" s="34">
        <v>233</v>
      </c>
      <c r="T19" s="30">
        <v>1.8</v>
      </c>
      <c r="U19" s="64">
        <v>8.8000000000000007</v>
      </c>
      <c r="V19" s="64"/>
      <c r="W19" s="35">
        <v>16.600000000000001</v>
      </c>
    </row>
    <row r="20" spans="1:23" s="25" customFormat="1" ht="25.5" x14ac:dyDescent="0.2">
      <c r="A20" s="32">
        <v>16</v>
      </c>
      <c r="B20" s="33" t="s">
        <v>56</v>
      </c>
      <c r="C20" s="34">
        <v>114</v>
      </c>
      <c r="D20" s="30">
        <v>1.6</v>
      </c>
      <c r="E20" s="64">
        <v>8.6</v>
      </c>
      <c r="F20" s="64"/>
      <c r="G20" s="35">
        <v>16.2</v>
      </c>
      <c r="I20" s="32">
        <v>16</v>
      </c>
      <c r="J20" s="33" t="s">
        <v>58</v>
      </c>
      <c r="K20" s="34">
        <v>97</v>
      </c>
      <c r="L20" s="30">
        <v>1.6</v>
      </c>
      <c r="M20" s="64">
        <v>7.4</v>
      </c>
      <c r="N20" s="64"/>
      <c r="O20" s="35">
        <v>15.9</v>
      </c>
      <c r="Q20" s="32">
        <v>16</v>
      </c>
      <c r="R20" s="33" t="s">
        <v>58</v>
      </c>
      <c r="S20" s="34">
        <v>228</v>
      </c>
      <c r="T20" s="30">
        <v>1.8</v>
      </c>
      <c r="U20" s="64">
        <v>8.6999999999999993</v>
      </c>
      <c r="V20" s="64"/>
      <c r="W20" s="35">
        <v>19</v>
      </c>
    </row>
    <row r="21" spans="1:23" s="25" customFormat="1" ht="12.75" x14ac:dyDescent="0.2">
      <c r="A21" s="32">
        <v>17</v>
      </c>
      <c r="B21" s="33" t="s">
        <v>51</v>
      </c>
      <c r="C21" s="34">
        <v>113</v>
      </c>
      <c r="D21" s="30">
        <v>1.6</v>
      </c>
      <c r="E21" s="64">
        <v>8.6</v>
      </c>
      <c r="F21" s="64"/>
      <c r="G21" s="35">
        <v>22.2</v>
      </c>
      <c r="I21" s="32">
        <v>17</v>
      </c>
      <c r="J21" s="33" t="s">
        <v>91</v>
      </c>
      <c r="K21" s="34">
        <v>97</v>
      </c>
      <c r="L21" s="30">
        <v>1.6</v>
      </c>
      <c r="M21" s="64">
        <v>7.4</v>
      </c>
      <c r="N21" s="64"/>
      <c r="O21" s="35">
        <v>11.6</v>
      </c>
      <c r="Q21" s="32">
        <v>17</v>
      </c>
      <c r="R21" s="33" t="s">
        <v>56</v>
      </c>
      <c r="S21" s="34">
        <v>204</v>
      </c>
      <c r="T21" s="30">
        <v>1.6</v>
      </c>
      <c r="U21" s="64">
        <v>7.7</v>
      </c>
      <c r="V21" s="64"/>
      <c r="W21" s="35">
        <v>14.5</v>
      </c>
    </row>
    <row r="22" spans="1:23" s="25" customFormat="1" ht="12.75" x14ac:dyDescent="0.2">
      <c r="A22" s="32">
        <v>18</v>
      </c>
      <c r="B22" s="33" t="s">
        <v>47</v>
      </c>
      <c r="C22" s="34">
        <v>107</v>
      </c>
      <c r="D22" s="30">
        <v>1.5</v>
      </c>
      <c r="E22" s="64">
        <v>8.1</v>
      </c>
      <c r="F22" s="64"/>
      <c r="G22" s="35">
        <v>24.8</v>
      </c>
      <c r="I22" s="32">
        <v>18</v>
      </c>
      <c r="J22" s="33" t="s">
        <v>64</v>
      </c>
      <c r="K22" s="34">
        <v>91</v>
      </c>
      <c r="L22" s="30">
        <v>1.5</v>
      </c>
      <c r="M22" s="64">
        <v>6.9</v>
      </c>
      <c r="N22" s="64"/>
      <c r="O22" s="35">
        <v>12.1</v>
      </c>
      <c r="Q22" s="32">
        <v>18</v>
      </c>
      <c r="R22" s="33" t="s">
        <v>63</v>
      </c>
      <c r="S22" s="34">
        <v>196</v>
      </c>
      <c r="T22" s="30">
        <v>1.5</v>
      </c>
      <c r="U22" s="64">
        <v>7.4</v>
      </c>
      <c r="V22" s="64"/>
      <c r="W22" s="35">
        <v>18</v>
      </c>
    </row>
    <row r="23" spans="1:23" s="25" customFormat="1" ht="25.5" x14ac:dyDescent="0.2">
      <c r="A23" s="32">
        <v>19</v>
      </c>
      <c r="B23" s="33" t="s">
        <v>237</v>
      </c>
      <c r="C23" s="34">
        <v>97</v>
      </c>
      <c r="D23" s="30">
        <v>1.4</v>
      </c>
      <c r="E23" s="64">
        <v>7.3</v>
      </c>
      <c r="F23" s="64"/>
      <c r="G23" s="35">
        <v>14.1</v>
      </c>
      <c r="I23" s="32">
        <v>19</v>
      </c>
      <c r="J23" s="33" t="s">
        <v>56</v>
      </c>
      <c r="K23" s="34">
        <v>90</v>
      </c>
      <c r="L23" s="30">
        <v>1.5</v>
      </c>
      <c r="M23" s="64">
        <v>6.9</v>
      </c>
      <c r="N23" s="64"/>
      <c r="O23" s="35">
        <v>12.8</v>
      </c>
      <c r="Q23" s="32">
        <v>19</v>
      </c>
      <c r="R23" s="33" t="s">
        <v>61</v>
      </c>
      <c r="S23" s="34">
        <v>173</v>
      </c>
      <c r="T23" s="30">
        <v>1.3</v>
      </c>
      <c r="U23" s="64">
        <v>6.6</v>
      </c>
      <c r="V23" s="64"/>
      <c r="W23" s="35">
        <v>13.3</v>
      </c>
    </row>
    <row r="24" spans="1:23" s="25" customFormat="1" ht="12.75" x14ac:dyDescent="0.2">
      <c r="A24" s="32">
        <v>20</v>
      </c>
      <c r="B24" s="33" t="s">
        <v>61</v>
      </c>
      <c r="C24" s="34">
        <v>92</v>
      </c>
      <c r="D24" s="30">
        <v>1.3</v>
      </c>
      <c r="E24" s="64">
        <v>7</v>
      </c>
      <c r="F24" s="64"/>
      <c r="G24" s="35">
        <v>15.6</v>
      </c>
      <c r="I24" s="32">
        <v>20</v>
      </c>
      <c r="J24" s="33" t="s">
        <v>89</v>
      </c>
      <c r="K24" s="34">
        <v>87</v>
      </c>
      <c r="L24" s="30">
        <v>1.5</v>
      </c>
      <c r="M24" s="64">
        <v>6.6</v>
      </c>
      <c r="N24" s="64"/>
      <c r="O24" s="35">
        <v>8.3000000000000007</v>
      </c>
      <c r="Q24" s="32">
        <v>20</v>
      </c>
      <c r="R24" s="33" t="s">
        <v>48</v>
      </c>
      <c r="S24" s="34">
        <v>151</v>
      </c>
      <c r="T24" s="30">
        <v>1.2</v>
      </c>
      <c r="U24" s="64">
        <v>5.7</v>
      </c>
      <c r="V24" s="64"/>
      <c r="W24" s="35">
        <v>10.8</v>
      </c>
    </row>
    <row r="25" spans="1:23" s="43" customFormat="1" ht="12.75" x14ac:dyDescent="0.2">
      <c r="A25" s="40"/>
      <c r="B25" s="147" t="s">
        <v>569</v>
      </c>
      <c r="C25" s="41">
        <v>4906</v>
      </c>
      <c r="D25" s="38">
        <v>69.599999999999994</v>
      </c>
      <c r="E25" s="67">
        <v>371.5</v>
      </c>
      <c r="F25" s="67"/>
      <c r="G25" s="475" t="s">
        <v>70</v>
      </c>
      <c r="I25" s="40"/>
      <c r="J25" s="147" t="s">
        <v>569</v>
      </c>
      <c r="K25" s="41">
        <v>4019</v>
      </c>
      <c r="L25" s="38">
        <v>68.2</v>
      </c>
      <c r="M25" s="67">
        <v>306.2</v>
      </c>
      <c r="N25" s="67"/>
      <c r="O25" s="475" t="s">
        <v>70</v>
      </c>
      <c r="Q25" s="40"/>
      <c r="R25" s="147" t="s">
        <v>569</v>
      </c>
      <c r="S25" s="41">
        <v>8783</v>
      </c>
      <c r="T25" s="38">
        <v>67.8</v>
      </c>
      <c r="U25" s="67">
        <v>333.6</v>
      </c>
      <c r="V25" s="67"/>
      <c r="W25" s="475" t="s">
        <v>70</v>
      </c>
    </row>
    <row r="26" spans="1:23" s="54" customFormat="1" ht="15" customHeight="1" x14ac:dyDescent="0.2">
      <c r="A26" s="50"/>
      <c r="B26" s="51" t="s">
        <v>67</v>
      </c>
      <c r="C26" s="52">
        <v>7051</v>
      </c>
      <c r="D26" s="48">
        <v>100</v>
      </c>
      <c r="E26" s="70">
        <v>534</v>
      </c>
      <c r="F26" s="70">
        <v>60.6</v>
      </c>
      <c r="G26" s="53">
        <v>1054.9000000000001</v>
      </c>
      <c r="H26" s="72"/>
      <c r="I26" s="50"/>
      <c r="J26" s="51" t="s">
        <v>67</v>
      </c>
      <c r="K26" s="52">
        <v>5896</v>
      </c>
      <c r="L26" s="48">
        <v>100</v>
      </c>
      <c r="M26" s="70">
        <v>449.3</v>
      </c>
      <c r="N26" s="70">
        <v>65.900000000000006</v>
      </c>
      <c r="O26" s="53">
        <v>843.4</v>
      </c>
      <c r="P26" s="72"/>
      <c r="Q26" s="50"/>
      <c r="R26" s="51" t="s">
        <v>67</v>
      </c>
      <c r="S26" s="52">
        <v>12947</v>
      </c>
      <c r="T26" s="48">
        <v>100</v>
      </c>
      <c r="U26" s="70">
        <v>491.7</v>
      </c>
      <c r="V26" s="70">
        <v>63.1</v>
      </c>
      <c r="W26" s="53">
        <v>943.9</v>
      </c>
    </row>
    <row r="27" spans="1:23" ht="15" customHeight="1" x14ac:dyDescent="0.2">
      <c r="A27" s="92" t="s">
        <v>238</v>
      </c>
      <c r="B27" s="92"/>
      <c r="E27" s="268"/>
    </row>
    <row r="28" spans="1:23" s="473" customFormat="1" ht="15" customHeight="1" x14ac:dyDescent="0.2">
      <c r="A28" s="470" t="s">
        <v>70</v>
      </c>
      <c r="B28" s="376" t="s">
        <v>71</v>
      </c>
      <c r="C28" s="377"/>
      <c r="D28" s="471"/>
      <c r="E28" s="379"/>
      <c r="F28" s="379"/>
      <c r="G28" s="472"/>
    </row>
    <row r="29" spans="1:23" s="28" customFormat="1" ht="15" customHeight="1" x14ac:dyDescent="0.2">
      <c r="A29" s="474" t="s">
        <v>4</v>
      </c>
      <c r="B29" s="92"/>
      <c r="C29" s="90"/>
      <c r="D29" s="91"/>
      <c r="E29" s="91"/>
      <c r="F29" s="91"/>
      <c r="G29" s="91"/>
    </row>
    <row r="30" spans="1:23" ht="27.95" customHeight="1" x14ac:dyDescent="0.2">
      <c r="A30" s="617" t="s">
        <v>240</v>
      </c>
      <c r="B30" s="603"/>
      <c r="C30" s="603"/>
      <c r="D30" s="603"/>
      <c r="E30" s="603"/>
      <c r="F30" s="603"/>
      <c r="G30" s="603"/>
      <c r="H30" s="603"/>
      <c r="I30" s="603"/>
      <c r="J30" s="603"/>
      <c r="K30" s="603"/>
      <c r="L30" s="603"/>
      <c r="M30" s="603"/>
      <c r="N30" s="603"/>
      <c r="O30" s="603"/>
    </row>
    <row r="31" spans="1:23" ht="15" customHeight="1" x14ac:dyDescent="0.2">
      <c r="A31" s="617" t="s">
        <v>241</v>
      </c>
      <c r="B31" s="603"/>
      <c r="C31" s="603"/>
      <c r="D31" s="603"/>
      <c r="E31" s="603"/>
      <c r="F31" s="603"/>
      <c r="G31" s="603"/>
      <c r="H31" s="603"/>
      <c r="I31" s="603"/>
      <c r="J31" s="603"/>
      <c r="K31" s="603"/>
      <c r="L31" s="603"/>
      <c r="M31" s="603"/>
      <c r="N31" s="603"/>
      <c r="O31" s="603"/>
    </row>
    <row r="32" spans="1:23" s="25" customFormat="1" ht="15" customHeight="1" x14ac:dyDescent="0.2">
      <c r="A32" s="617" t="s">
        <v>582</v>
      </c>
      <c r="B32" s="603"/>
      <c r="C32" s="603"/>
      <c r="D32" s="603"/>
      <c r="E32" s="603"/>
      <c r="F32" s="603"/>
      <c r="G32" s="603"/>
      <c r="H32" s="603"/>
      <c r="I32" s="603"/>
      <c r="J32" s="603"/>
      <c r="K32" s="603"/>
      <c r="L32" s="603"/>
      <c r="M32" s="603"/>
      <c r="N32" s="603"/>
      <c r="O32" s="603"/>
    </row>
    <row r="33" spans="1:15" s="25" customFormat="1" ht="27.95" customHeight="1" x14ac:dyDescent="0.2">
      <c r="A33" s="617" t="s">
        <v>243</v>
      </c>
      <c r="B33" s="603"/>
      <c r="C33" s="603"/>
      <c r="D33" s="603"/>
      <c r="E33" s="603"/>
      <c r="F33" s="603"/>
      <c r="G33" s="603"/>
      <c r="H33" s="603"/>
      <c r="I33" s="603"/>
      <c r="J33" s="603"/>
      <c r="K33" s="603"/>
      <c r="L33" s="603"/>
      <c r="M33" s="603"/>
      <c r="N33" s="603"/>
      <c r="O33" s="603"/>
    </row>
    <row r="34" spans="1:15" s="25" customFormat="1" ht="27.95" customHeight="1" x14ac:dyDescent="0.2">
      <c r="A34" s="617" t="s">
        <v>244</v>
      </c>
      <c r="B34" s="603"/>
      <c r="C34" s="603"/>
      <c r="D34" s="603"/>
      <c r="E34" s="603"/>
      <c r="F34" s="603"/>
      <c r="G34" s="603"/>
      <c r="H34" s="603"/>
      <c r="I34" s="603"/>
      <c r="J34" s="603"/>
      <c r="K34" s="603"/>
      <c r="L34" s="603"/>
      <c r="M34" s="603"/>
      <c r="N34" s="603"/>
      <c r="O34" s="603"/>
    </row>
    <row r="35" spans="1:15" s="29" customFormat="1" ht="15" customHeight="1" x14ac:dyDescent="0.2">
      <c r="A35" s="617" t="s">
        <v>245</v>
      </c>
      <c r="B35" s="603"/>
      <c r="C35" s="603"/>
      <c r="D35" s="603"/>
      <c r="E35" s="603"/>
      <c r="F35" s="603"/>
      <c r="G35" s="603"/>
      <c r="H35" s="603"/>
      <c r="I35" s="603"/>
      <c r="J35" s="603"/>
      <c r="K35" s="603"/>
      <c r="L35" s="603"/>
      <c r="M35" s="603"/>
      <c r="N35" s="603"/>
      <c r="O35" s="603"/>
    </row>
    <row r="36" spans="1:15" s="29" customFormat="1" ht="15" customHeight="1" x14ac:dyDescent="0.2">
      <c r="A36" s="92" t="s">
        <v>99</v>
      </c>
      <c r="B36" s="92"/>
      <c r="C36" s="90"/>
      <c r="D36" s="91"/>
      <c r="E36" s="91"/>
      <c r="F36" s="91"/>
    </row>
    <row r="37" spans="1:15" ht="15" customHeight="1" x14ac:dyDescent="0.2">
      <c r="B37" s="98"/>
      <c r="D37" s="29"/>
    </row>
  </sheetData>
  <mergeCells count="9">
    <mergeCell ref="A35:O35"/>
    <mergeCell ref="A3:G3"/>
    <mergeCell ref="I3:O3"/>
    <mergeCell ref="Q3:W3"/>
    <mergeCell ref="A30:O30"/>
    <mergeCell ref="A31:O31"/>
    <mergeCell ref="A32:O32"/>
    <mergeCell ref="A33:O33"/>
    <mergeCell ref="A34:O34"/>
  </mergeCells>
  <hyperlinks>
    <hyperlink ref="A2" location="Contents!A1" display="Back to contents" xr:uid="{2F9D7DE1-58CF-4DB8-9FFB-FE18EF7FCAC4}"/>
  </hyperlinks>
  <pageMargins left="0.7" right="0.7" top="0.75" bottom="0.75" header="0.3" footer="0.3"/>
  <pageSetup paperSize="9" orientation="portrait" horizontalDpi="4294967292"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A262B-D7A4-4773-BF64-C09C15B69FE3}">
  <dimension ref="A1:W36"/>
  <sheetViews>
    <sheetView showGridLines="0" zoomScaleNormal="100" workbookViewId="0">
      <pane ySplit="4" topLeftCell="A5" activePane="bottomLeft" state="frozen"/>
      <selection activeCell="M33" sqref="M33:N33"/>
      <selection pane="bottomLeft" activeCell="A5" sqref="A5"/>
    </sheetView>
  </sheetViews>
  <sheetFormatPr defaultRowHeight="15" customHeight="1" x14ac:dyDescent="0.2"/>
  <cols>
    <col min="1" max="1" width="6.625" style="92" customWidth="1"/>
    <col min="2" max="2" width="37.625" style="101" customWidth="1"/>
    <col min="3" max="3" width="8.625" style="90" customWidth="1"/>
    <col min="4" max="6" width="8.625" style="91" customWidth="1"/>
    <col min="7" max="7" width="8.625" style="29" customWidth="1"/>
    <col min="8" max="8" width="4.625" style="12" customWidth="1"/>
    <col min="9" max="9" width="6.625" style="12" customWidth="1"/>
    <col min="10" max="10" width="37.625" style="12" customWidth="1"/>
    <col min="11" max="15" width="8.625" style="12" customWidth="1"/>
    <col min="16" max="16" width="4.625" style="12" customWidth="1"/>
    <col min="17" max="17" width="6.625" style="12" customWidth="1"/>
    <col min="18" max="18" width="37.625" style="12" customWidth="1"/>
    <col min="19" max="23" width="8.625" style="12" customWidth="1"/>
    <col min="24" max="227" width="9" style="12"/>
    <col min="228" max="228" width="8.5" style="12" customWidth="1"/>
    <col min="229" max="229" width="40" style="12" customWidth="1"/>
    <col min="230" max="230" width="6.375" style="12" bestFit="1" customWidth="1"/>
    <col min="231" max="231" width="6.625" style="12" bestFit="1" customWidth="1"/>
    <col min="232" max="232" width="8.25" style="12" bestFit="1" customWidth="1"/>
    <col min="233" max="233" width="4.125" style="12" customWidth="1"/>
    <col min="234" max="234" width="8.5" style="12" customWidth="1"/>
    <col min="235" max="235" width="40" style="12" customWidth="1"/>
    <col min="236" max="236" width="6.375" style="12" customWidth="1"/>
    <col min="237" max="237" width="6.625" style="12" bestFit="1" customWidth="1"/>
    <col min="238" max="238" width="8.25" style="12" bestFit="1" customWidth="1"/>
    <col min="239" max="239" width="4.125" style="12" customWidth="1"/>
    <col min="240" max="240" width="8.5" style="12" customWidth="1"/>
    <col min="241" max="241" width="40" style="12" customWidth="1"/>
    <col min="242" max="242" width="6.375" style="12" customWidth="1"/>
    <col min="243" max="243" width="6.625" style="12" bestFit="1" customWidth="1"/>
    <col min="244" max="244" width="8.25" style="12" bestFit="1" customWidth="1"/>
    <col min="245" max="483" width="9" style="12"/>
    <col min="484" max="484" width="8.5" style="12" customWidth="1"/>
    <col min="485" max="485" width="40" style="12" customWidth="1"/>
    <col min="486" max="486" width="6.375" style="12" bestFit="1" customWidth="1"/>
    <col min="487" max="487" width="6.625" style="12" bestFit="1" customWidth="1"/>
    <col min="488" max="488" width="8.25" style="12" bestFit="1" customWidth="1"/>
    <col min="489" max="489" width="4.125" style="12" customWidth="1"/>
    <col min="490" max="490" width="8.5" style="12" customWidth="1"/>
    <col min="491" max="491" width="40" style="12" customWidth="1"/>
    <col min="492" max="492" width="6.375" style="12" customWidth="1"/>
    <col min="493" max="493" width="6.625" style="12" bestFit="1" customWidth="1"/>
    <col min="494" max="494" width="8.25" style="12" bestFit="1" customWidth="1"/>
    <col min="495" max="495" width="4.125" style="12" customWidth="1"/>
    <col min="496" max="496" width="8.5" style="12" customWidth="1"/>
    <col min="497" max="497" width="40" style="12" customWidth="1"/>
    <col min="498" max="498" width="6.375" style="12" customWidth="1"/>
    <col min="499" max="499" width="6.625" style="12" bestFit="1" customWidth="1"/>
    <col min="500" max="500" width="8.25" style="12" bestFit="1" customWidth="1"/>
    <col min="501" max="739" width="9" style="12"/>
    <col min="740" max="740" width="8.5" style="12" customWidth="1"/>
    <col min="741" max="741" width="40" style="12" customWidth="1"/>
    <col min="742" max="742" width="6.375" style="12" bestFit="1" customWidth="1"/>
    <col min="743" max="743" width="6.625" style="12" bestFit="1" customWidth="1"/>
    <col min="744" max="744" width="8.25" style="12" bestFit="1" customWidth="1"/>
    <col min="745" max="745" width="4.125" style="12" customWidth="1"/>
    <col min="746" max="746" width="8.5" style="12" customWidth="1"/>
    <col min="747" max="747" width="40" style="12" customWidth="1"/>
    <col min="748" max="748" width="6.375" style="12" customWidth="1"/>
    <col min="749" max="749" width="6.625" style="12" bestFit="1" customWidth="1"/>
    <col min="750" max="750" width="8.25" style="12" bestFit="1" customWidth="1"/>
    <col min="751" max="751" width="4.125" style="12" customWidth="1"/>
    <col min="752" max="752" width="8.5" style="12" customWidth="1"/>
    <col min="753" max="753" width="40" style="12" customWidth="1"/>
    <col min="754" max="754" width="6.375" style="12" customWidth="1"/>
    <col min="755" max="755" width="6.625" style="12" bestFit="1" customWidth="1"/>
    <col min="756" max="756" width="8.25" style="12" bestFit="1" customWidth="1"/>
    <col min="757" max="995" width="9" style="12"/>
    <col min="996" max="996" width="8.5" style="12" customWidth="1"/>
    <col min="997" max="997" width="40" style="12" customWidth="1"/>
    <col min="998" max="998" width="6.375" style="12" bestFit="1" customWidth="1"/>
    <col min="999" max="999" width="6.625" style="12" bestFit="1" customWidth="1"/>
    <col min="1000" max="1000" width="8.25" style="12" bestFit="1" customWidth="1"/>
    <col min="1001" max="1001" width="4.125" style="12" customWidth="1"/>
    <col min="1002" max="1002" width="8.5" style="12" customWidth="1"/>
    <col min="1003" max="1003" width="40" style="12" customWidth="1"/>
    <col min="1004" max="1004" width="6.375" style="12" customWidth="1"/>
    <col min="1005" max="1005" width="6.625" style="12" bestFit="1" customWidth="1"/>
    <col min="1006" max="1006" width="8.25" style="12" bestFit="1" customWidth="1"/>
    <col min="1007" max="1007" width="4.125" style="12" customWidth="1"/>
    <col min="1008" max="1008" width="8.5" style="12" customWidth="1"/>
    <col min="1009" max="1009" width="40" style="12" customWidth="1"/>
    <col min="1010" max="1010" width="6.375" style="12" customWidth="1"/>
    <col min="1011" max="1011" width="6.625" style="12" bestFit="1" customWidth="1"/>
    <col min="1012" max="1012" width="8.25" style="12" bestFit="1" customWidth="1"/>
    <col min="1013" max="1251" width="9" style="12"/>
    <col min="1252" max="1252" width="8.5" style="12" customWidth="1"/>
    <col min="1253" max="1253" width="40" style="12" customWidth="1"/>
    <col min="1254" max="1254" width="6.375" style="12" bestFit="1" customWidth="1"/>
    <col min="1255" max="1255" width="6.625" style="12" bestFit="1" customWidth="1"/>
    <col min="1256" max="1256" width="8.25" style="12" bestFit="1" customWidth="1"/>
    <col min="1257" max="1257" width="4.125" style="12" customWidth="1"/>
    <col min="1258" max="1258" width="8.5" style="12" customWidth="1"/>
    <col min="1259" max="1259" width="40" style="12" customWidth="1"/>
    <col min="1260" max="1260" width="6.375" style="12" customWidth="1"/>
    <col min="1261" max="1261" width="6.625" style="12" bestFit="1" customWidth="1"/>
    <col min="1262" max="1262" width="8.25" style="12" bestFit="1" customWidth="1"/>
    <col min="1263" max="1263" width="4.125" style="12" customWidth="1"/>
    <col min="1264" max="1264" width="8.5" style="12" customWidth="1"/>
    <col min="1265" max="1265" width="40" style="12" customWidth="1"/>
    <col min="1266" max="1266" width="6.375" style="12" customWidth="1"/>
    <col min="1267" max="1267" width="6.625" style="12" bestFit="1" customWidth="1"/>
    <col min="1268" max="1268" width="8.25" style="12" bestFit="1" customWidth="1"/>
    <col min="1269" max="1507" width="9" style="12"/>
    <col min="1508" max="1508" width="8.5" style="12" customWidth="1"/>
    <col min="1509" max="1509" width="40" style="12" customWidth="1"/>
    <col min="1510" max="1510" width="6.375" style="12" bestFit="1" customWidth="1"/>
    <col min="1511" max="1511" width="6.625" style="12" bestFit="1" customWidth="1"/>
    <col min="1512" max="1512" width="8.25" style="12" bestFit="1" customWidth="1"/>
    <col min="1513" max="1513" width="4.125" style="12" customWidth="1"/>
    <col min="1514" max="1514" width="8.5" style="12" customWidth="1"/>
    <col min="1515" max="1515" width="40" style="12" customWidth="1"/>
    <col min="1516" max="1516" width="6.375" style="12" customWidth="1"/>
    <col min="1517" max="1517" width="6.625" style="12" bestFit="1" customWidth="1"/>
    <col min="1518" max="1518" width="8.25" style="12" bestFit="1" customWidth="1"/>
    <col min="1519" max="1519" width="4.125" style="12" customWidth="1"/>
    <col min="1520" max="1520" width="8.5" style="12" customWidth="1"/>
    <col min="1521" max="1521" width="40" style="12" customWidth="1"/>
    <col min="1522" max="1522" width="6.375" style="12" customWidth="1"/>
    <col min="1523" max="1523" width="6.625" style="12" bestFit="1" customWidth="1"/>
    <col min="1524" max="1524" width="8.25" style="12" bestFit="1" customWidth="1"/>
    <col min="1525" max="1763" width="9" style="12"/>
    <col min="1764" max="1764" width="8.5" style="12" customWidth="1"/>
    <col min="1765" max="1765" width="40" style="12" customWidth="1"/>
    <col min="1766" max="1766" width="6.375" style="12" bestFit="1" customWidth="1"/>
    <col min="1767" max="1767" width="6.625" style="12" bestFit="1" customWidth="1"/>
    <col min="1768" max="1768" width="8.25" style="12" bestFit="1" customWidth="1"/>
    <col min="1769" max="1769" width="4.125" style="12" customWidth="1"/>
    <col min="1770" max="1770" width="8.5" style="12" customWidth="1"/>
    <col min="1771" max="1771" width="40" style="12" customWidth="1"/>
    <col min="1772" max="1772" width="6.375" style="12" customWidth="1"/>
    <col min="1773" max="1773" width="6.625" style="12" bestFit="1" customWidth="1"/>
    <col min="1774" max="1774" width="8.25" style="12" bestFit="1" customWidth="1"/>
    <col min="1775" max="1775" width="4.125" style="12" customWidth="1"/>
    <col min="1776" max="1776" width="8.5" style="12" customWidth="1"/>
    <col min="1777" max="1777" width="40" style="12" customWidth="1"/>
    <col min="1778" max="1778" width="6.375" style="12" customWidth="1"/>
    <col min="1779" max="1779" width="6.625" style="12" bestFit="1" customWidth="1"/>
    <col min="1780" max="1780" width="8.25" style="12" bestFit="1" customWidth="1"/>
    <col min="1781" max="2019" width="9" style="12"/>
    <col min="2020" max="2020" width="8.5" style="12" customWidth="1"/>
    <col min="2021" max="2021" width="40" style="12" customWidth="1"/>
    <col min="2022" max="2022" width="6.375" style="12" bestFit="1" customWidth="1"/>
    <col min="2023" max="2023" width="6.625" style="12" bestFit="1" customWidth="1"/>
    <col min="2024" max="2024" width="8.25" style="12" bestFit="1" customWidth="1"/>
    <col min="2025" max="2025" width="4.125" style="12" customWidth="1"/>
    <col min="2026" max="2026" width="8.5" style="12" customWidth="1"/>
    <col min="2027" max="2027" width="40" style="12" customWidth="1"/>
    <col min="2028" max="2028" width="6.375" style="12" customWidth="1"/>
    <col min="2029" max="2029" width="6.625" style="12" bestFit="1" customWidth="1"/>
    <col min="2030" max="2030" width="8.25" style="12" bestFit="1" customWidth="1"/>
    <col min="2031" max="2031" width="4.125" style="12" customWidth="1"/>
    <col min="2032" max="2032" width="8.5" style="12" customWidth="1"/>
    <col min="2033" max="2033" width="40" style="12" customWidth="1"/>
    <col min="2034" max="2034" width="6.375" style="12" customWidth="1"/>
    <col min="2035" max="2035" width="6.625" style="12" bestFit="1" customWidth="1"/>
    <col min="2036" max="2036" width="8.25" style="12" bestFit="1" customWidth="1"/>
    <col min="2037" max="2275" width="9" style="12"/>
    <col min="2276" max="2276" width="8.5" style="12" customWidth="1"/>
    <col min="2277" max="2277" width="40" style="12" customWidth="1"/>
    <col min="2278" max="2278" width="6.375" style="12" bestFit="1" customWidth="1"/>
    <col min="2279" max="2279" width="6.625" style="12" bestFit="1" customWidth="1"/>
    <col min="2280" max="2280" width="8.25" style="12" bestFit="1" customWidth="1"/>
    <col min="2281" max="2281" width="4.125" style="12" customWidth="1"/>
    <col min="2282" max="2282" width="8.5" style="12" customWidth="1"/>
    <col min="2283" max="2283" width="40" style="12" customWidth="1"/>
    <col min="2284" max="2284" width="6.375" style="12" customWidth="1"/>
    <col min="2285" max="2285" width="6.625" style="12" bestFit="1" customWidth="1"/>
    <col min="2286" max="2286" width="8.25" style="12" bestFit="1" customWidth="1"/>
    <col min="2287" max="2287" width="4.125" style="12" customWidth="1"/>
    <col min="2288" max="2288" width="8.5" style="12" customWidth="1"/>
    <col min="2289" max="2289" width="40" style="12" customWidth="1"/>
    <col min="2290" max="2290" width="6.375" style="12" customWidth="1"/>
    <col min="2291" max="2291" width="6.625" style="12" bestFit="1" customWidth="1"/>
    <col min="2292" max="2292" width="8.25" style="12" bestFit="1" customWidth="1"/>
    <col min="2293" max="2531" width="9" style="12"/>
    <col min="2532" max="2532" width="8.5" style="12" customWidth="1"/>
    <col min="2533" max="2533" width="40" style="12" customWidth="1"/>
    <col min="2534" max="2534" width="6.375" style="12" bestFit="1" customWidth="1"/>
    <col min="2535" max="2535" width="6.625" style="12" bestFit="1" customWidth="1"/>
    <col min="2536" max="2536" width="8.25" style="12" bestFit="1" customWidth="1"/>
    <col min="2537" max="2537" width="4.125" style="12" customWidth="1"/>
    <col min="2538" max="2538" width="8.5" style="12" customWidth="1"/>
    <col min="2539" max="2539" width="40" style="12" customWidth="1"/>
    <col min="2540" max="2540" width="6.375" style="12" customWidth="1"/>
    <col min="2541" max="2541" width="6.625" style="12" bestFit="1" customWidth="1"/>
    <col min="2542" max="2542" width="8.25" style="12" bestFit="1" customWidth="1"/>
    <col min="2543" max="2543" width="4.125" style="12" customWidth="1"/>
    <col min="2544" max="2544" width="8.5" style="12" customWidth="1"/>
    <col min="2545" max="2545" width="40" style="12" customWidth="1"/>
    <col min="2546" max="2546" width="6.375" style="12" customWidth="1"/>
    <col min="2547" max="2547" width="6.625" style="12" bestFit="1" customWidth="1"/>
    <col min="2548" max="2548" width="8.25" style="12" bestFit="1" customWidth="1"/>
    <col min="2549" max="2787" width="9" style="12"/>
    <col min="2788" max="2788" width="8.5" style="12" customWidth="1"/>
    <col min="2789" max="2789" width="40" style="12" customWidth="1"/>
    <col min="2790" max="2790" width="6.375" style="12" bestFit="1" customWidth="1"/>
    <col min="2791" max="2791" width="6.625" style="12" bestFit="1" customWidth="1"/>
    <col min="2792" max="2792" width="8.25" style="12" bestFit="1" customWidth="1"/>
    <col min="2793" max="2793" width="4.125" style="12" customWidth="1"/>
    <col min="2794" max="2794" width="8.5" style="12" customWidth="1"/>
    <col min="2795" max="2795" width="40" style="12" customWidth="1"/>
    <col min="2796" max="2796" width="6.375" style="12" customWidth="1"/>
    <col min="2797" max="2797" width="6.625" style="12" bestFit="1" customWidth="1"/>
    <col min="2798" max="2798" width="8.25" style="12" bestFit="1" customWidth="1"/>
    <col min="2799" max="2799" width="4.125" style="12" customWidth="1"/>
    <col min="2800" max="2800" width="8.5" style="12" customWidth="1"/>
    <col min="2801" max="2801" width="40" style="12" customWidth="1"/>
    <col min="2802" max="2802" width="6.375" style="12" customWidth="1"/>
    <col min="2803" max="2803" width="6.625" style="12" bestFit="1" customWidth="1"/>
    <col min="2804" max="2804" width="8.25" style="12" bestFit="1" customWidth="1"/>
    <col min="2805" max="3043" width="9" style="12"/>
    <col min="3044" max="3044" width="8.5" style="12" customWidth="1"/>
    <col min="3045" max="3045" width="40" style="12" customWidth="1"/>
    <col min="3046" max="3046" width="6.375" style="12" bestFit="1" customWidth="1"/>
    <col min="3047" max="3047" width="6.625" style="12" bestFit="1" customWidth="1"/>
    <col min="3048" max="3048" width="8.25" style="12" bestFit="1" customWidth="1"/>
    <col min="3049" max="3049" width="4.125" style="12" customWidth="1"/>
    <col min="3050" max="3050" width="8.5" style="12" customWidth="1"/>
    <col min="3051" max="3051" width="40" style="12" customWidth="1"/>
    <col min="3052" max="3052" width="6.375" style="12" customWidth="1"/>
    <col min="3053" max="3053" width="6.625" style="12" bestFit="1" customWidth="1"/>
    <col min="3054" max="3054" width="8.25" style="12" bestFit="1" customWidth="1"/>
    <col min="3055" max="3055" width="4.125" style="12" customWidth="1"/>
    <col min="3056" max="3056" width="8.5" style="12" customWidth="1"/>
    <col min="3057" max="3057" width="40" style="12" customWidth="1"/>
    <col min="3058" max="3058" width="6.375" style="12" customWidth="1"/>
    <col min="3059" max="3059" width="6.625" style="12" bestFit="1" customWidth="1"/>
    <col min="3060" max="3060" width="8.25" style="12" bestFit="1" customWidth="1"/>
    <col min="3061" max="3299" width="9" style="12"/>
    <col min="3300" max="3300" width="8.5" style="12" customWidth="1"/>
    <col min="3301" max="3301" width="40" style="12" customWidth="1"/>
    <col min="3302" max="3302" width="6.375" style="12" bestFit="1" customWidth="1"/>
    <col min="3303" max="3303" width="6.625" style="12" bestFit="1" customWidth="1"/>
    <col min="3304" max="3304" width="8.25" style="12" bestFit="1" customWidth="1"/>
    <col min="3305" max="3305" width="4.125" style="12" customWidth="1"/>
    <col min="3306" max="3306" width="8.5" style="12" customWidth="1"/>
    <col min="3307" max="3307" width="40" style="12" customWidth="1"/>
    <col min="3308" max="3308" width="6.375" style="12" customWidth="1"/>
    <col min="3309" max="3309" width="6.625" style="12" bestFit="1" customWidth="1"/>
    <col min="3310" max="3310" width="8.25" style="12" bestFit="1" customWidth="1"/>
    <col min="3311" max="3311" width="4.125" style="12" customWidth="1"/>
    <col min="3312" max="3312" width="8.5" style="12" customWidth="1"/>
    <col min="3313" max="3313" width="40" style="12" customWidth="1"/>
    <col min="3314" max="3314" width="6.375" style="12" customWidth="1"/>
    <col min="3315" max="3315" width="6.625" style="12" bestFit="1" customWidth="1"/>
    <col min="3316" max="3316" width="8.25" style="12" bestFit="1" customWidth="1"/>
    <col min="3317" max="3555" width="9" style="12"/>
    <col min="3556" max="3556" width="8.5" style="12" customWidth="1"/>
    <col min="3557" max="3557" width="40" style="12" customWidth="1"/>
    <col min="3558" max="3558" width="6.375" style="12" bestFit="1" customWidth="1"/>
    <col min="3559" max="3559" width="6.625" style="12" bestFit="1" customWidth="1"/>
    <col min="3560" max="3560" width="8.25" style="12" bestFit="1" customWidth="1"/>
    <col min="3561" max="3561" width="4.125" style="12" customWidth="1"/>
    <col min="3562" max="3562" width="8.5" style="12" customWidth="1"/>
    <col min="3563" max="3563" width="40" style="12" customWidth="1"/>
    <col min="3564" max="3564" width="6.375" style="12" customWidth="1"/>
    <col min="3565" max="3565" width="6.625" style="12" bestFit="1" customWidth="1"/>
    <col min="3566" max="3566" width="8.25" style="12" bestFit="1" customWidth="1"/>
    <col min="3567" max="3567" width="4.125" style="12" customWidth="1"/>
    <col min="3568" max="3568" width="8.5" style="12" customWidth="1"/>
    <col min="3569" max="3569" width="40" style="12" customWidth="1"/>
    <col min="3570" max="3570" width="6.375" style="12" customWidth="1"/>
    <col min="3571" max="3571" width="6.625" style="12" bestFit="1" customWidth="1"/>
    <col min="3572" max="3572" width="8.25" style="12" bestFit="1" customWidth="1"/>
    <col min="3573" max="3811" width="9" style="12"/>
    <col min="3812" max="3812" width="8.5" style="12" customWidth="1"/>
    <col min="3813" max="3813" width="40" style="12" customWidth="1"/>
    <col min="3814" max="3814" width="6.375" style="12" bestFit="1" customWidth="1"/>
    <col min="3815" max="3815" width="6.625" style="12" bestFit="1" customWidth="1"/>
    <col min="3816" max="3816" width="8.25" style="12" bestFit="1" customWidth="1"/>
    <col min="3817" max="3817" width="4.125" style="12" customWidth="1"/>
    <col min="3818" max="3818" width="8.5" style="12" customWidth="1"/>
    <col min="3819" max="3819" width="40" style="12" customWidth="1"/>
    <col min="3820" max="3820" width="6.375" style="12" customWidth="1"/>
    <col min="3821" max="3821" width="6.625" style="12" bestFit="1" customWidth="1"/>
    <col min="3822" max="3822" width="8.25" style="12" bestFit="1" customWidth="1"/>
    <col min="3823" max="3823" width="4.125" style="12" customWidth="1"/>
    <col min="3824" max="3824" width="8.5" style="12" customWidth="1"/>
    <col min="3825" max="3825" width="40" style="12" customWidth="1"/>
    <col min="3826" max="3826" width="6.375" style="12" customWidth="1"/>
    <col min="3827" max="3827" width="6.625" style="12" bestFit="1" customWidth="1"/>
    <col min="3828" max="3828" width="8.25" style="12" bestFit="1" customWidth="1"/>
    <col min="3829" max="4067" width="9" style="12"/>
    <col min="4068" max="4068" width="8.5" style="12" customWidth="1"/>
    <col min="4069" max="4069" width="40" style="12" customWidth="1"/>
    <col min="4070" max="4070" width="6.375" style="12" bestFit="1" customWidth="1"/>
    <col min="4071" max="4071" width="6.625" style="12" bestFit="1" customWidth="1"/>
    <col min="4072" max="4072" width="8.25" style="12" bestFit="1" customWidth="1"/>
    <col min="4073" max="4073" width="4.125" style="12" customWidth="1"/>
    <col min="4074" max="4074" width="8.5" style="12" customWidth="1"/>
    <col min="4075" max="4075" width="40" style="12" customWidth="1"/>
    <col min="4076" max="4076" width="6.375" style="12" customWidth="1"/>
    <col min="4077" max="4077" width="6.625" style="12" bestFit="1" customWidth="1"/>
    <col min="4078" max="4078" width="8.25" style="12" bestFit="1" customWidth="1"/>
    <col min="4079" max="4079" width="4.125" style="12" customWidth="1"/>
    <col min="4080" max="4080" width="8.5" style="12" customWidth="1"/>
    <col min="4081" max="4081" width="40" style="12" customWidth="1"/>
    <col min="4082" max="4082" width="6.375" style="12" customWidth="1"/>
    <col min="4083" max="4083" width="6.625" style="12" bestFit="1" customWidth="1"/>
    <col min="4084" max="4084" width="8.25" style="12" bestFit="1" customWidth="1"/>
    <col min="4085" max="4323" width="9" style="12"/>
    <col min="4324" max="4324" width="8.5" style="12" customWidth="1"/>
    <col min="4325" max="4325" width="40" style="12" customWidth="1"/>
    <col min="4326" max="4326" width="6.375" style="12" bestFit="1" customWidth="1"/>
    <col min="4327" max="4327" width="6.625" style="12" bestFit="1" customWidth="1"/>
    <col min="4328" max="4328" width="8.25" style="12" bestFit="1" customWidth="1"/>
    <col min="4329" max="4329" width="4.125" style="12" customWidth="1"/>
    <col min="4330" max="4330" width="8.5" style="12" customWidth="1"/>
    <col min="4331" max="4331" width="40" style="12" customWidth="1"/>
    <col min="4332" max="4332" width="6.375" style="12" customWidth="1"/>
    <col min="4333" max="4333" width="6.625" style="12" bestFit="1" customWidth="1"/>
    <col min="4334" max="4334" width="8.25" style="12" bestFit="1" customWidth="1"/>
    <col min="4335" max="4335" width="4.125" style="12" customWidth="1"/>
    <col min="4336" max="4336" width="8.5" style="12" customWidth="1"/>
    <col min="4337" max="4337" width="40" style="12" customWidth="1"/>
    <col min="4338" max="4338" width="6.375" style="12" customWidth="1"/>
    <col min="4339" max="4339" width="6.625" style="12" bestFit="1" customWidth="1"/>
    <col min="4340" max="4340" width="8.25" style="12" bestFit="1" customWidth="1"/>
    <col min="4341" max="4579" width="9" style="12"/>
    <col min="4580" max="4580" width="8.5" style="12" customWidth="1"/>
    <col min="4581" max="4581" width="40" style="12" customWidth="1"/>
    <col min="4582" max="4582" width="6.375" style="12" bestFit="1" customWidth="1"/>
    <col min="4583" max="4583" width="6.625" style="12" bestFit="1" customWidth="1"/>
    <col min="4584" max="4584" width="8.25" style="12" bestFit="1" customWidth="1"/>
    <col min="4585" max="4585" width="4.125" style="12" customWidth="1"/>
    <col min="4586" max="4586" width="8.5" style="12" customWidth="1"/>
    <col min="4587" max="4587" width="40" style="12" customWidth="1"/>
    <col min="4588" max="4588" width="6.375" style="12" customWidth="1"/>
    <col min="4589" max="4589" width="6.625" style="12" bestFit="1" customWidth="1"/>
    <col min="4590" max="4590" width="8.25" style="12" bestFit="1" customWidth="1"/>
    <col min="4591" max="4591" width="4.125" style="12" customWidth="1"/>
    <col min="4592" max="4592" width="8.5" style="12" customWidth="1"/>
    <col min="4593" max="4593" width="40" style="12" customWidth="1"/>
    <col min="4594" max="4594" width="6.375" style="12" customWidth="1"/>
    <col min="4595" max="4595" width="6.625" style="12" bestFit="1" customWidth="1"/>
    <col min="4596" max="4596" width="8.25" style="12" bestFit="1" customWidth="1"/>
    <col min="4597" max="4835" width="9" style="12"/>
    <col min="4836" max="4836" width="8.5" style="12" customWidth="1"/>
    <col min="4837" max="4837" width="40" style="12" customWidth="1"/>
    <col min="4838" max="4838" width="6.375" style="12" bestFit="1" customWidth="1"/>
    <col min="4839" max="4839" width="6.625" style="12" bestFit="1" customWidth="1"/>
    <col min="4840" max="4840" width="8.25" style="12" bestFit="1" customWidth="1"/>
    <col min="4841" max="4841" width="4.125" style="12" customWidth="1"/>
    <col min="4842" max="4842" width="8.5" style="12" customWidth="1"/>
    <col min="4843" max="4843" width="40" style="12" customWidth="1"/>
    <col min="4844" max="4844" width="6.375" style="12" customWidth="1"/>
    <col min="4845" max="4845" width="6.625" style="12" bestFit="1" customWidth="1"/>
    <col min="4846" max="4846" width="8.25" style="12" bestFit="1" customWidth="1"/>
    <col min="4847" max="4847" width="4.125" style="12" customWidth="1"/>
    <col min="4848" max="4848" width="8.5" style="12" customWidth="1"/>
    <col min="4849" max="4849" width="40" style="12" customWidth="1"/>
    <col min="4850" max="4850" width="6.375" style="12" customWidth="1"/>
    <col min="4851" max="4851" width="6.625" style="12" bestFit="1" customWidth="1"/>
    <col min="4852" max="4852" width="8.25" style="12" bestFit="1" customWidth="1"/>
    <col min="4853" max="5091" width="9" style="12"/>
    <col min="5092" max="5092" width="8.5" style="12" customWidth="1"/>
    <col min="5093" max="5093" width="40" style="12" customWidth="1"/>
    <col min="5094" max="5094" width="6.375" style="12" bestFit="1" customWidth="1"/>
    <col min="5095" max="5095" width="6.625" style="12" bestFit="1" customWidth="1"/>
    <col min="5096" max="5096" width="8.25" style="12" bestFit="1" customWidth="1"/>
    <col min="5097" max="5097" width="4.125" style="12" customWidth="1"/>
    <col min="5098" max="5098" width="8.5" style="12" customWidth="1"/>
    <col min="5099" max="5099" width="40" style="12" customWidth="1"/>
    <col min="5100" max="5100" width="6.375" style="12" customWidth="1"/>
    <col min="5101" max="5101" width="6.625" style="12" bestFit="1" customWidth="1"/>
    <col min="5102" max="5102" width="8.25" style="12" bestFit="1" customWidth="1"/>
    <col min="5103" max="5103" width="4.125" style="12" customWidth="1"/>
    <col min="5104" max="5104" width="8.5" style="12" customWidth="1"/>
    <col min="5105" max="5105" width="40" style="12" customWidth="1"/>
    <col min="5106" max="5106" width="6.375" style="12" customWidth="1"/>
    <col min="5107" max="5107" width="6.625" style="12" bestFit="1" customWidth="1"/>
    <col min="5108" max="5108" width="8.25" style="12" bestFit="1" customWidth="1"/>
    <col min="5109" max="5347" width="9" style="12"/>
    <col min="5348" max="5348" width="8.5" style="12" customWidth="1"/>
    <col min="5349" max="5349" width="40" style="12" customWidth="1"/>
    <col min="5350" max="5350" width="6.375" style="12" bestFit="1" customWidth="1"/>
    <col min="5351" max="5351" width="6.625" style="12" bestFit="1" customWidth="1"/>
    <col min="5352" max="5352" width="8.25" style="12" bestFit="1" customWidth="1"/>
    <col min="5353" max="5353" width="4.125" style="12" customWidth="1"/>
    <col min="5354" max="5354" width="8.5" style="12" customWidth="1"/>
    <col min="5355" max="5355" width="40" style="12" customWidth="1"/>
    <col min="5356" max="5356" width="6.375" style="12" customWidth="1"/>
    <col min="5357" max="5357" width="6.625" style="12" bestFit="1" customWidth="1"/>
    <col min="5358" max="5358" width="8.25" style="12" bestFit="1" customWidth="1"/>
    <col min="5359" max="5359" width="4.125" style="12" customWidth="1"/>
    <col min="5360" max="5360" width="8.5" style="12" customWidth="1"/>
    <col min="5361" max="5361" width="40" style="12" customWidth="1"/>
    <col min="5362" max="5362" width="6.375" style="12" customWidth="1"/>
    <col min="5363" max="5363" width="6.625" style="12" bestFit="1" customWidth="1"/>
    <col min="5364" max="5364" width="8.25" style="12" bestFit="1" customWidth="1"/>
    <col min="5365" max="5603" width="9" style="12"/>
    <col min="5604" max="5604" width="8.5" style="12" customWidth="1"/>
    <col min="5605" max="5605" width="40" style="12" customWidth="1"/>
    <col min="5606" max="5606" width="6.375" style="12" bestFit="1" customWidth="1"/>
    <col min="5607" max="5607" width="6.625" style="12" bestFit="1" customWidth="1"/>
    <col min="5608" max="5608" width="8.25" style="12" bestFit="1" customWidth="1"/>
    <col min="5609" max="5609" width="4.125" style="12" customWidth="1"/>
    <col min="5610" max="5610" width="8.5" style="12" customWidth="1"/>
    <col min="5611" max="5611" width="40" style="12" customWidth="1"/>
    <col min="5612" max="5612" width="6.375" style="12" customWidth="1"/>
    <col min="5613" max="5613" width="6.625" style="12" bestFit="1" customWidth="1"/>
    <col min="5614" max="5614" width="8.25" style="12" bestFit="1" customWidth="1"/>
    <col min="5615" max="5615" width="4.125" style="12" customWidth="1"/>
    <col min="5616" max="5616" width="8.5" style="12" customWidth="1"/>
    <col min="5617" max="5617" width="40" style="12" customWidth="1"/>
    <col min="5618" max="5618" width="6.375" style="12" customWidth="1"/>
    <col min="5619" max="5619" width="6.625" style="12" bestFit="1" customWidth="1"/>
    <col min="5620" max="5620" width="8.25" style="12" bestFit="1" customWidth="1"/>
    <col min="5621" max="5859" width="9" style="12"/>
    <col min="5860" max="5860" width="8.5" style="12" customWidth="1"/>
    <col min="5861" max="5861" width="40" style="12" customWidth="1"/>
    <col min="5862" max="5862" width="6.375" style="12" bestFit="1" customWidth="1"/>
    <col min="5863" max="5863" width="6.625" style="12" bestFit="1" customWidth="1"/>
    <col min="5864" max="5864" width="8.25" style="12" bestFit="1" customWidth="1"/>
    <col min="5865" max="5865" width="4.125" style="12" customWidth="1"/>
    <col min="5866" max="5866" width="8.5" style="12" customWidth="1"/>
    <col min="5867" max="5867" width="40" style="12" customWidth="1"/>
    <col min="5868" max="5868" width="6.375" style="12" customWidth="1"/>
    <col min="5869" max="5869" width="6.625" style="12" bestFit="1" customWidth="1"/>
    <col min="5870" max="5870" width="8.25" style="12" bestFit="1" customWidth="1"/>
    <col min="5871" max="5871" width="4.125" style="12" customWidth="1"/>
    <col min="5872" max="5872" width="8.5" style="12" customWidth="1"/>
    <col min="5873" max="5873" width="40" style="12" customWidth="1"/>
    <col min="5874" max="5874" width="6.375" style="12" customWidth="1"/>
    <col min="5875" max="5875" width="6.625" style="12" bestFit="1" customWidth="1"/>
    <col min="5876" max="5876" width="8.25" style="12" bestFit="1" customWidth="1"/>
    <col min="5877" max="6115" width="9" style="12"/>
    <col min="6116" max="6116" width="8.5" style="12" customWidth="1"/>
    <col min="6117" max="6117" width="40" style="12" customWidth="1"/>
    <col min="6118" max="6118" width="6.375" style="12" bestFit="1" customWidth="1"/>
    <col min="6119" max="6119" width="6.625" style="12" bestFit="1" customWidth="1"/>
    <col min="6120" max="6120" width="8.25" style="12" bestFit="1" customWidth="1"/>
    <col min="6121" max="6121" width="4.125" style="12" customWidth="1"/>
    <col min="6122" max="6122" width="8.5" style="12" customWidth="1"/>
    <col min="6123" max="6123" width="40" style="12" customWidth="1"/>
    <col min="6124" max="6124" width="6.375" style="12" customWidth="1"/>
    <col min="6125" max="6125" width="6.625" style="12" bestFit="1" customWidth="1"/>
    <col min="6126" max="6126" width="8.25" style="12" bestFit="1" customWidth="1"/>
    <col min="6127" max="6127" width="4.125" style="12" customWidth="1"/>
    <col min="6128" max="6128" width="8.5" style="12" customWidth="1"/>
    <col min="6129" max="6129" width="40" style="12" customWidth="1"/>
    <col min="6130" max="6130" width="6.375" style="12" customWidth="1"/>
    <col min="6131" max="6131" width="6.625" style="12" bestFit="1" customWidth="1"/>
    <col min="6132" max="6132" width="8.25" style="12" bestFit="1" customWidth="1"/>
    <col min="6133" max="6371" width="9" style="12"/>
    <col min="6372" max="6372" width="8.5" style="12" customWidth="1"/>
    <col min="6373" max="6373" width="40" style="12" customWidth="1"/>
    <col min="6374" max="6374" width="6.375" style="12" bestFit="1" customWidth="1"/>
    <col min="6375" max="6375" width="6.625" style="12" bestFit="1" customWidth="1"/>
    <col min="6376" max="6376" width="8.25" style="12" bestFit="1" customWidth="1"/>
    <col min="6377" max="6377" width="4.125" style="12" customWidth="1"/>
    <col min="6378" max="6378" width="8.5" style="12" customWidth="1"/>
    <col min="6379" max="6379" width="40" style="12" customWidth="1"/>
    <col min="6380" max="6380" width="6.375" style="12" customWidth="1"/>
    <col min="6381" max="6381" width="6.625" style="12" bestFit="1" customWidth="1"/>
    <col min="6382" max="6382" width="8.25" style="12" bestFit="1" customWidth="1"/>
    <col min="6383" max="6383" width="4.125" style="12" customWidth="1"/>
    <col min="6384" max="6384" width="8.5" style="12" customWidth="1"/>
    <col min="6385" max="6385" width="40" style="12" customWidth="1"/>
    <col min="6386" max="6386" width="6.375" style="12" customWidth="1"/>
    <col min="6387" max="6387" width="6.625" style="12" bestFit="1" customWidth="1"/>
    <col min="6388" max="6388" width="8.25" style="12" bestFit="1" customWidth="1"/>
    <col min="6389" max="6627" width="9" style="12"/>
    <col min="6628" max="6628" width="8.5" style="12" customWidth="1"/>
    <col min="6629" max="6629" width="40" style="12" customWidth="1"/>
    <col min="6630" max="6630" width="6.375" style="12" bestFit="1" customWidth="1"/>
    <col min="6631" max="6631" width="6.625" style="12" bestFit="1" customWidth="1"/>
    <col min="6632" max="6632" width="8.25" style="12" bestFit="1" customWidth="1"/>
    <col min="6633" max="6633" width="4.125" style="12" customWidth="1"/>
    <col min="6634" max="6634" width="8.5" style="12" customWidth="1"/>
    <col min="6635" max="6635" width="40" style="12" customWidth="1"/>
    <col min="6636" max="6636" width="6.375" style="12" customWidth="1"/>
    <col min="6637" max="6637" width="6.625" style="12" bestFit="1" customWidth="1"/>
    <col min="6638" max="6638" width="8.25" style="12" bestFit="1" customWidth="1"/>
    <col min="6639" max="6639" width="4.125" style="12" customWidth="1"/>
    <col min="6640" max="6640" width="8.5" style="12" customWidth="1"/>
    <col min="6641" max="6641" width="40" style="12" customWidth="1"/>
    <col min="6642" max="6642" width="6.375" style="12" customWidth="1"/>
    <col min="6643" max="6643" width="6.625" style="12" bestFit="1" customWidth="1"/>
    <col min="6644" max="6644" width="8.25" style="12" bestFit="1" customWidth="1"/>
    <col min="6645" max="6883" width="9" style="12"/>
    <col min="6884" max="6884" width="8.5" style="12" customWidth="1"/>
    <col min="6885" max="6885" width="40" style="12" customWidth="1"/>
    <col min="6886" max="6886" width="6.375" style="12" bestFit="1" customWidth="1"/>
    <col min="6887" max="6887" width="6.625" style="12" bestFit="1" customWidth="1"/>
    <col min="6888" max="6888" width="8.25" style="12" bestFit="1" customWidth="1"/>
    <col min="6889" max="6889" width="4.125" style="12" customWidth="1"/>
    <col min="6890" max="6890" width="8.5" style="12" customWidth="1"/>
    <col min="6891" max="6891" width="40" style="12" customWidth="1"/>
    <col min="6892" max="6892" width="6.375" style="12" customWidth="1"/>
    <col min="6893" max="6893" width="6.625" style="12" bestFit="1" customWidth="1"/>
    <col min="6894" max="6894" width="8.25" style="12" bestFit="1" customWidth="1"/>
    <col min="6895" max="6895" width="4.125" style="12" customWidth="1"/>
    <col min="6896" max="6896" width="8.5" style="12" customWidth="1"/>
    <col min="6897" max="6897" width="40" style="12" customWidth="1"/>
    <col min="6898" max="6898" width="6.375" style="12" customWidth="1"/>
    <col min="6899" max="6899" width="6.625" style="12" bestFit="1" customWidth="1"/>
    <col min="6900" max="6900" width="8.25" style="12" bestFit="1" customWidth="1"/>
    <col min="6901" max="7139" width="9" style="12"/>
    <col min="7140" max="7140" width="8.5" style="12" customWidth="1"/>
    <col min="7141" max="7141" width="40" style="12" customWidth="1"/>
    <col min="7142" max="7142" width="6.375" style="12" bestFit="1" customWidth="1"/>
    <col min="7143" max="7143" width="6.625" style="12" bestFit="1" customWidth="1"/>
    <col min="7144" max="7144" width="8.25" style="12" bestFit="1" customWidth="1"/>
    <col min="7145" max="7145" width="4.125" style="12" customWidth="1"/>
    <col min="7146" max="7146" width="8.5" style="12" customWidth="1"/>
    <col min="7147" max="7147" width="40" style="12" customWidth="1"/>
    <col min="7148" max="7148" width="6.375" style="12" customWidth="1"/>
    <col min="7149" max="7149" width="6.625" style="12" bestFit="1" customWidth="1"/>
    <col min="7150" max="7150" width="8.25" style="12" bestFit="1" customWidth="1"/>
    <col min="7151" max="7151" width="4.125" style="12" customWidth="1"/>
    <col min="7152" max="7152" width="8.5" style="12" customWidth="1"/>
    <col min="7153" max="7153" width="40" style="12" customWidth="1"/>
    <col min="7154" max="7154" width="6.375" style="12" customWidth="1"/>
    <col min="7155" max="7155" width="6.625" style="12" bestFit="1" customWidth="1"/>
    <col min="7156" max="7156" width="8.25" style="12" bestFit="1" customWidth="1"/>
    <col min="7157" max="7395" width="9" style="12"/>
    <col min="7396" max="7396" width="8.5" style="12" customWidth="1"/>
    <col min="7397" max="7397" width="40" style="12" customWidth="1"/>
    <col min="7398" max="7398" width="6.375" style="12" bestFit="1" customWidth="1"/>
    <col min="7399" max="7399" width="6.625" style="12" bestFit="1" customWidth="1"/>
    <col min="7400" max="7400" width="8.25" style="12" bestFit="1" customWidth="1"/>
    <col min="7401" max="7401" width="4.125" style="12" customWidth="1"/>
    <col min="7402" max="7402" width="8.5" style="12" customWidth="1"/>
    <col min="7403" max="7403" width="40" style="12" customWidth="1"/>
    <col min="7404" max="7404" width="6.375" style="12" customWidth="1"/>
    <col min="7405" max="7405" width="6.625" style="12" bestFit="1" customWidth="1"/>
    <col min="7406" max="7406" width="8.25" style="12" bestFit="1" customWidth="1"/>
    <col min="7407" max="7407" width="4.125" style="12" customWidth="1"/>
    <col min="7408" max="7408" width="8.5" style="12" customWidth="1"/>
    <col min="7409" max="7409" width="40" style="12" customWidth="1"/>
    <col min="7410" max="7410" width="6.375" style="12" customWidth="1"/>
    <col min="7411" max="7411" width="6.625" style="12" bestFit="1" customWidth="1"/>
    <col min="7412" max="7412" width="8.25" style="12" bestFit="1" customWidth="1"/>
    <col min="7413" max="7651" width="9" style="12"/>
    <col min="7652" max="7652" width="8.5" style="12" customWidth="1"/>
    <col min="7653" max="7653" width="40" style="12" customWidth="1"/>
    <col min="7654" max="7654" width="6.375" style="12" bestFit="1" customWidth="1"/>
    <col min="7655" max="7655" width="6.625" style="12" bestFit="1" customWidth="1"/>
    <col min="7656" max="7656" width="8.25" style="12" bestFit="1" customWidth="1"/>
    <col min="7657" max="7657" width="4.125" style="12" customWidth="1"/>
    <col min="7658" max="7658" width="8.5" style="12" customWidth="1"/>
    <col min="7659" max="7659" width="40" style="12" customWidth="1"/>
    <col min="7660" max="7660" width="6.375" style="12" customWidth="1"/>
    <col min="7661" max="7661" width="6.625" style="12" bestFit="1" customWidth="1"/>
    <col min="7662" max="7662" width="8.25" style="12" bestFit="1" customWidth="1"/>
    <col min="7663" max="7663" width="4.125" style="12" customWidth="1"/>
    <col min="7664" max="7664" width="8.5" style="12" customWidth="1"/>
    <col min="7665" max="7665" width="40" style="12" customWidth="1"/>
    <col min="7666" max="7666" width="6.375" style="12" customWidth="1"/>
    <col min="7667" max="7667" width="6.625" style="12" bestFit="1" customWidth="1"/>
    <col min="7668" max="7668" width="8.25" style="12" bestFit="1" customWidth="1"/>
    <col min="7669" max="7907" width="9" style="12"/>
    <col min="7908" max="7908" width="8.5" style="12" customWidth="1"/>
    <col min="7909" max="7909" width="40" style="12" customWidth="1"/>
    <col min="7910" max="7910" width="6.375" style="12" bestFit="1" customWidth="1"/>
    <col min="7911" max="7911" width="6.625" style="12" bestFit="1" customWidth="1"/>
    <col min="7912" max="7912" width="8.25" style="12" bestFit="1" customWidth="1"/>
    <col min="7913" max="7913" width="4.125" style="12" customWidth="1"/>
    <col min="7914" max="7914" width="8.5" style="12" customWidth="1"/>
    <col min="7915" max="7915" width="40" style="12" customWidth="1"/>
    <col min="7916" max="7916" width="6.375" style="12" customWidth="1"/>
    <col min="7917" max="7917" width="6.625" style="12" bestFit="1" customWidth="1"/>
    <col min="7918" max="7918" width="8.25" style="12" bestFit="1" customWidth="1"/>
    <col min="7919" max="7919" width="4.125" style="12" customWidth="1"/>
    <col min="7920" max="7920" width="8.5" style="12" customWidth="1"/>
    <col min="7921" max="7921" width="40" style="12" customWidth="1"/>
    <col min="7922" max="7922" width="6.375" style="12" customWidth="1"/>
    <col min="7923" max="7923" width="6.625" style="12" bestFit="1" customWidth="1"/>
    <col min="7924" max="7924" width="8.25" style="12" bestFit="1" customWidth="1"/>
    <col min="7925" max="8163" width="9" style="12"/>
    <col min="8164" max="8164" width="8.5" style="12" customWidth="1"/>
    <col min="8165" max="8165" width="40" style="12" customWidth="1"/>
    <col min="8166" max="8166" width="6.375" style="12" bestFit="1" customWidth="1"/>
    <col min="8167" max="8167" width="6.625" style="12" bestFit="1" customWidth="1"/>
    <col min="8168" max="8168" width="8.25" style="12" bestFit="1" customWidth="1"/>
    <col min="8169" max="8169" width="4.125" style="12" customWidth="1"/>
    <col min="8170" max="8170" width="8.5" style="12" customWidth="1"/>
    <col min="8171" max="8171" width="40" style="12" customWidth="1"/>
    <col min="8172" max="8172" width="6.375" style="12" customWidth="1"/>
    <col min="8173" max="8173" width="6.625" style="12" bestFit="1" customWidth="1"/>
    <col min="8174" max="8174" width="8.25" style="12" bestFit="1" customWidth="1"/>
    <col min="8175" max="8175" width="4.125" style="12" customWidth="1"/>
    <col min="8176" max="8176" width="8.5" style="12" customWidth="1"/>
    <col min="8177" max="8177" width="40" style="12" customWidth="1"/>
    <col min="8178" max="8178" width="6.375" style="12" customWidth="1"/>
    <col min="8179" max="8179" width="6.625" style="12" bestFit="1" customWidth="1"/>
    <col min="8180" max="8180" width="8.25" style="12" bestFit="1" customWidth="1"/>
    <col min="8181" max="8419" width="9" style="12"/>
    <col min="8420" max="8420" width="8.5" style="12" customWidth="1"/>
    <col min="8421" max="8421" width="40" style="12" customWidth="1"/>
    <col min="8422" max="8422" width="6.375" style="12" bestFit="1" customWidth="1"/>
    <col min="8423" max="8423" width="6.625" style="12" bestFit="1" customWidth="1"/>
    <col min="8424" max="8424" width="8.25" style="12" bestFit="1" customWidth="1"/>
    <col min="8425" max="8425" width="4.125" style="12" customWidth="1"/>
    <col min="8426" max="8426" width="8.5" style="12" customWidth="1"/>
    <col min="8427" max="8427" width="40" style="12" customWidth="1"/>
    <col min="8428" max="8428" width="6.375" style="12" customWidth="1"/>
    <col min="8429" max="8429" width="6.625" style="12" bestFit="1" customWidth="1"/>
    <col min="8430" max="8430" width="8.25" style="12" bestFit="1" customWidth="1"/>
    <col min="8431" max="8431" width="4.125" style="12" customWidth="1"/>
    <col min="8432" max="8432" width="8.5" style="12" customWidth="1"/>
    <col min="8433" max="8433" width="40" style="12" customWidth="1"/>
    <col min="8434" max="8434" width="6.375" style="12" customWidth="1"/>
    <col min="8435" max="8435" width="6.625" style="12" bestFit="1" customWidth="1"/>
    <col min="8436" max="8436" width="8.25" style="12" bestFit="1" customWidth="1"/>
    <col min="8437" max="8675" width="9" style="12"/>
    <col min="8676" max="8676" width="8.5" style="12" customWidth="1"/>
    <col min="8677" max="8677" width="40" style="12" customWidth="1"/>
    <col min="8678" max="8678" width="6.375" style="12" bestFit="1" customWidth="1"/>
    <col min="8679" max="8679" width="6.625" style="12" bestFit="1" customWidth="1"/>
    <col min="8680" max="8680" width="8.25" style="12" bestFit="1" customWidth="1"/>
    <col min="8681" max="8681" width="4.125" style="12" customWidth="1"/>
    <col min="8682" max="8682" width="8.5" style="12" customWidth="1"/>
    <col min="8683" max="8683" width="40" style="12" customWidth="1"/>
    <col min="8684" max="8684" width="6.375" style="12" customWidth="1"/>
    <col min="8685" max="8685" width="6.625" style="12" bestFit="1" customWidth="1"/>
    <col min="8686" max="8686" width="8.25" style="12" bestFit="1" customWidth="1"/>
    <col min="8687" max="8687" width="4.125" style="12" customWidth="1"/>
    <col min="8688" max="8688" width="8.5" style="12" customWidth="1"/>
    <col min="8689" max="8689" width="40" style="12" customWidth="1"/>
    <col min="8690" max="8690" width="6.375" style="12" customWidth="1"/>
    <col min="8691" max="8691" width="6.625" style="12" bestFit="1" customWidth="1"/>
    <col min="8692" max="8692" width="8.25" style="12" bestFit="1" customWidth="1"/>
    <col min="8693" max="8931" width="9" style="12"/>
    <col min="8932" max="8932" width="8.5" style="12" customWidth="1"/>
    <col min="8933" max="8933" width="40" style="12" customWidth="1"/>
    <col min="8934" max="8934" width="6.375" style="12" bestFit="1" customWidth="1"/>
    <col min="8935" max="8935" width="6.625" style="12" bestFit="1" customWidth="1"/>
    <col min="8936" max="8936" width="8.25" style="12" bestFit="1" customWidth="1"/>
    <col min="8937" max="8937" width="4.125" style="12" customWidth="1"/>
    <col min="8938" max="8938" width="8.5" style="12" customWidth="1"/>
    <col min="8939" max="8939" width="40" style="12" customWidth="1"/>
    <col min="8940" max="8940" width="6.375" style="12" customWidth="1"/>
    <col min="8941" max="8941" width="6.625" style="12" bestFit="1" customWidth="1"/>
    <col min="8942" max="8942" width="8.25" style="12" bestFit="1" customWidth="1"/>
    <col min="8943" max="8943" width="4.125" style="12" customWidth="1"/>
    <col min="8944" max="8944" width="8.5" style="12" customWidth="1"/>
    <col min="8945" max="8945" width="40" style="12" customWidth="1"/>
    <col min="8946" max="8946" width="6.375" style="12" customWidth="1"/>
    <col min="8947" max="8947" width="6.625" style="12" bestFit="1" customWidth="1"/>
    <col min="8948" max="8948" width="8.25" style="12" bestFit="1" customWidth="1"/>
    <col min="8949" max="9187" width="9" style="12"/>
    <col min="9188" max="9188" width="8.5" style="12" customWidth="1"/>
    <col min="9189" max="9189" width="40" style="12" customWidth="1"/>
    <col min="9190" max="9190" width="6.375" style="12" bestFit="1" customWidth="1"/>
    <col min="9191" max="9191" width="6.625" style="12" bestFit="1" customWidth="1"/>
    <col min="9192" max="9192" width="8.25" style="12" bestFit="1" customWidth="1"/>
    <col min="9193" max="9193" width="4.125" style="12" customWidth="1"/>
    <col min="9194" max="9194" width="8.5" style="12" customWidth="1"/>
    <col min="9195" max="9195" width="40" style="12" customWidth="1"/>
    <col min="9196" max="9196" width="6.375" style="12" customWidth="1"/>
    <col min="9197" max="9197" width="6.625" style="12" bestFit="1" customWidth="1"/>
    <col min="9198" max="9198" width="8.25" style="12" bestFit="1" customWidth="1"/>
    <col min="9199" max="9199" width="4.125" style="12" customWidth="1"/>
    <col min="9200" max="9200" width="8.5" style="12" customWidth="1"/>
    <col min="9201" max="9201" width="40" style="12" customWidth="1"/>
    <col min="9202" max="9202" width="6.375" style="12" customWidth="1"/>
    <col min="9203" max="9203" width="6.625" style="12" bestFit="1" customWidth="1"/>
    <col min="9204" max="9204" width="8.25" style="12" bestFit="1" customWidth="1"/>
    <col min="9205" max="9443" width="9" style="12"/>
    <col min="9444" max="9444" width="8.5" style="12" customWidth="1"/>
    <col min="9445" max="9445" width="40" style="12" customWidth="1"/>
    <col min="9446" max="9446" width="6.375" style="12" bestFit="1" customWidth="1"/>
    <col min="9447" max="9447" width="6.625" style="12" bestFit="1" customWidth="1"/>
    <col min="9448" max="9448" width="8.25" style="12" bestFit="1" customWidth="1"/>
    <col min="9449" max="9449" width="4.125" style="12" customWidth="1"/>
    <col min="9450" max="9450" width="8.5" style="12" customWidth="1"/>
    <col min="9451" max="9451" width="40" style="12" customWidth="1"/>
    <col min="9452" max="9452" width="6.375" style="12" customWidth="1"/>
    <col min="9453" max="9453" width="6.625" style="12" bestFit="1" customWidth="1"/>
    <col min="9454" max="9454" width="8.25" style="12" bestFit="1" customWidth="1"/>
    <col min="9455" max="9455" width="4.125" style="12" customWidth="1"/>
    <col min="9456" max="9456" width="8.5" style="12" customWidth="1"/>
    <col min="9457" max="9457" width="40" style="12" customWidth="1"/>
    <col min="9458" max="9458" width="6.375" style="12" customWidth="1"/>
    <col min="9459" max="9459" width="6.625" style="12" bestFit="1" customWidth="1"/>
    <col min="9460" max="9460" width="8.25" style="12" bestFit="1" customWidth="1"/>
    <col min="9461" max="9699" width="9" style="12"/>
    <col min="9700" max="9700" width="8.5" style="12" customWidth="1"/>
    <col min="9701" max="9701" width="40" style="12" customWidth="1"/>
    <col min="9702" max="9702" width="6.375" style="12" bestFit="1" customWidth="1"/>
    <col min="9703" max="9703" width="6.625" style="12" bestFit="1" customWidth="1"/>
    <col min="9704" max="9704" width="8.25" style="12" bestFit="1" customWidth="1"/>
    <col min="9705" max="9705" width="4.125" style="12" customWidth="1"/>
    <col min="9706" max="9706" width="8.5" style="12" customWidth="1"/>
    <col min="9707" max="9707" width="40" style="12" customWidth="1"/>
    <col min="9708" max="9708" width="6.375" style="12" customWidth="1"/>
    <col min="9709" max="9709" width="6.625" style="12" bestFit="1" customWidth="1"/>
    <col min="9710" max="9710" width="8.25" style="12" bestFit="1" customWidth="1"/>
    <col min="9711" max="9711" width="4.125" style="12" customWidth="1"/>
    <col min="9712" max="9712" width="8.5" style="12" customWidth="1"/>
    <col min="9713" max="9713" width="40" style="12" customWidth="1"/>
    <col min="9714" max="9714" width="6.375" style="12" customWidth="1"/>
    <col min="9715" max="9715" width="6.625" style="12" bestFit="1" customWidth="1"/>
    <col min="9716" max="9716" width="8.25" style="12" bestFit="1" customWidth="1"/>
    <col min="9717" max="9955" width="9" style="12"/>
    <col min="9956" max="9956" width="8.5" style="12" customWidth="1"/>
    <col min="9957" max="9957" width="40" style="12" customWidth="1"/>
    <col min="9958" max="9958" width="6.375" style="12" bestFit="1" customWidth="1"/>
    <col min="9959" max="9959" width="6.625" style="12" bestFit="1" customWidth="1"/>
    <col min="9960" max="9960" width="8.25" style="12" bestFit="1" customWidth="1"/>
    <col min="9961" max="9961" width="4.125" style="12" customWidth="1"/>
    <col min="9962" max="9962" width="8.5" style="12" customWidth="1"/>
    <col min="9963" max="9963" width="40" style="12" customWidth="1"/>
    <col min="9964" max="9964" width="6.375" style="12" customWidth="1"/>
    <col min="9965" max="9965" width="6.625" style="12" bestFit="1" customWidth="1"/>
    <col min="9966" max="9966" width="8.25" style="12" bestFit="1" customWidth="1"/>
    <col min="9967" max="9967" width="4.125" style="12" customWidth="1"/>
    <col min="9968" max="9968" width="8.5" style="12" customWidth="1"/>
    <col min="9969" max="9969" width="40" style="12" customWidth="1"/>
    <col min="9970" max="9970" width="6.375" style="12" customWidth="1"/>
    <col min="9971" max="9971" width="6.625" style="12" bestFit="1" customWidth="1"/>
    <col min="9972" max="9972" width="8.25" style="12" bestFit="1" customWidth="1"/>
    <col min="9973" max="10211" width="9" style="12"/>
    <col min="10212" max="10212" width="8.5" style="12" customWidth="1"/>
    <col min="10213" max="10213" width="40" style="12" customWidth="1"/>
    <col min="10214" max="10214" width="6.375" style="12" bestFit="1" customWidth="1"/>
    <col min="10215" max="10215" width="6.625" style="12" bestFit="1" customWidth="1"/>
    <col min="10216" max="10216" width="8.25" style="12" bestFit="1" customWidth="1"/>
    <col min="10217" max="10217" width="4.125" style="12" customWidth="1"/>
    <col min="10218" max="10218" width="8.5" style="12" customWidth="1"/>
    <col min="10219" max="10219" width="40" style="12" customWidth="1"/>
    <col min="10220" max="10220" width="6.375" style="12" customWidth="1"/>
    <col min="10221" max="10221" width="6.625" style="12" bestFit="1" customWidth="1"/>
    <col min="10222" max="10222" width="8.25" style="12" bestFit="1" customWidth="1"/>
    <col min="10223" max="10223" width="4.125" style="12" customWidth="1"/>
    <col min="10224" max="10224" width="8.5" style="12" customWidth="1"/>
    <col min="10225" max="10225" width="40" style="12" customWidth="1"/>
    <col min="10226" max="10226" width="6.375" style="12" customWidth="1"/>
    <col min="10227" max="10227" width="6.625" style="12" bestFit="1" customWidth="1"/>
    <col min="10228" max="10228" width="8.25" style="12" bestFit="1" customWidth="1"/>
    <col min="10229" max="10467" width="9" style="12"/>
    <col min="10468" max="10468" width="8.5" style="12" customWidth="1"/>
    <col min="10469" max="10469" width="40" style="12" customWidth="1"/>
    <col min="10470" max="10470" width="6.375" style="12" bestFit="1" customWidth="1"/>
    <col min="10471" max="10471" width="6.625" style="12" bestFit="1" customWidth="1"/>
    <col min="10472" max="10472" width="8.25" style="12" bestFit="1" customWidth="1"/>
    <col min="10473" max="10473" width="4.125" style="12" customWidth="1"/>
    <col min="10474" max="10474" width="8.5" style="12" customWidth="1"/>
    <col min="10475" max="10475" width="40" style="12" customWidth="1"/>
    <col min="10476" max="10476" width="6.375" style="12" customWidth="1"/>
    <col min="10477" max="10477" width="6.625" style="12" bestFit="1" customWidth="1"/>
    <col min="10478" max="10478" width="8.25" style="12" bestFit="1" customWidth="1"/>
    <col min="10479" max="10479" width="4.125" style="12" customWidth="1"/>
    <col min="10480" max="10480" width="8.5" style="12" customWidth="1"/>
    <col min="10481" max="10481" width="40" style="12" customWidth="1"/>
    <col min="10482" max="10482" width="6.375" style="12" customWidth="1"/>
    <col min="10483" max="10483" width="6.625" style="12" bestFit="1" customWidth="1"/>
    <col min="10484" max="10484" width="8.25" style="12" bestFit="1" customWidth="1"/>
    <col min="10485" max="10723" width="9" style="12"/>
    <col min="10724" max="10724" width="8.5" style="12" customWidth="1"/>
    <col min="10725" max="10725" width="40" style="12" customWidth="1"/>
    <col min="10726" max="10726" width="6.375" style="12" bestFit="1" customWidth="1"/>
    <col min="10727" max="10727" width="6.625" style="12" bestFit="1" customWidth="1"/>
    <col min="10728" max="10728" width="8.25" style="12" bestFit="1" customWidth="1"/>
    <col min="10729" max="10729" width="4.125" style="12" customWidth="1"/>
    <col min="10730" max="10730" width="8.5" style="12" customWidth="1"/>
    <col min="10731" max="10731" width="40" style="12" customWidth="1"/>
    <col min="10732" max="10732" width="6.375" style="12" customWidth="1"/>
    <col min="10733" max="10733" width="6.625" style="12" bestFit="1" customWidth="1"/>
    <col min="10734" max="10734" width="8.25" style="12" bestFit="1" customWidth="1"/>
    <col min="10735" max="10735" width="4.125" style="12" customWidth="1"/>
    <col min="10736" max="10736" width="8.5" style="12" customWidth="1"/>
    <col min="10737" max="10737" width="40" style="12" customWidth="1"/>
    <col min="10738" max="10738" width="6.375" style="12" customWidth="1"/>
    <col min="10739" max="10739" width="6.625" style="12" bestFit="1" customWidth="1"/>
    <col min="10740" max="10740" width="8.25" style="12" bestFit="1" customWidth="1"/>
    <col min="10741" max="10979" width="9" style="12"/>
    <col min="10980" max="10980" width="8.5" style="12" customWidth="1"/>
    <col min="10981" max="10981" width="40" style="12" customWidth="1"/>
    <col min="10982" max="10982" width="6.375" style="12" bestFit="1" customWidth="1"/>
    <col min="10983" max="10983" width="6.625" style="12" bestFit="1" customWidth="1"/>
    <col min="10984" max="10984" width="8.25" style="12" bestFit="1" customWidth="1"/>
    <col min="10985" max="10985" width="4.125" style="12" customWidth="1"/>
    <col min="10986" max="10986" width="8.5" style="12" customWidth="1"/>
    <col min="10987" max="10987" width="40" style="12" customWidth="1"/>
    <col min="10988" max="10988" width="6.375" style="12" customWidth="1"/>
    <col min="10989" max="10989" width="6.625" style="12" bestFit="1" customWidth="1"/>
    <col min="10990" max="10990" width="8.25" style="12" bestFit="1" customWidth="1"/>
    <col min="10991" max="10991" width="4.125" style="12" customWidth="1"/>
    <col min="10992" max="10992" width="8.5" style="12" customWidth="1"/>
    <col min="10993" max="10993" width="40" style="12" customWidth="1"/>
    <col min="10994" max="10994" width="6.375" style="12" customWidth="1"/>
    <col min="10995" max="10995" width="6.625" style="12" bestFit="1" customWidth="1"/>
    <col min="10996" max="10996" width="8.25" style="12" bestFit="1" customWidth="1"/>
    <col min="10997" max="11235" width="9" style="12"/>
    <col min="11236" max="11236" width="8.5" style="12" customWidth="1"/>
    <col min="11237" max="11237" width="40" style="12" customWidth="1"/>
    <col min="11238" max="11238" width="6.375" style="12" bestFit="1" customWidth="1"/>
    <col min="11239" max="11239" width="6.625" style="12" bestFit="1" customWidth="1"/>
    <col min="11240" max="11240" width="8.25" style="12" bestFit="1" customWidth="1"/>
    <col min="11241" max="11241" width="4.125" style="12" customWidth="1"/>
    <col min="11242" max="11242" width="8.5" style="12" customWidth="1"/>
    <col min="11243" max="11243" width="40" style="12" customWidth="1"/>
    <col min="11244" max="11244" width="6.375" style="12" customWidth="1"/>
    <col min="11245" max="11245" width="6.625" style="12" bestFit="1" customWidth="1"/>
    <col min="11246" max="11246" width="8.25" style="12" bestFit="1" customWidth="1"/>
    <col min="11247" max="11247" width="4.125" style="12" customWidth="1"/>
    <col min="11248" max="11248" width="8.5" style="12" customWidth="1"/>
    <col min="11249" max="11249" width="40" style="12" customWidth="1"/>
    <col min="11250" max="11250" width="6.375" style="12" customWidth="1"/>
    <col min="11251" max="11251" width="6.625" style="12" bestFit="1" customWidth="1"/>
    <col min="11252" max="11252" width="8.25" style="12" bestFit="1" customWidth="1"/>
    <col min="11253" max="11491" width="9" style="12"/>
    <col min="11492" max="11492" width="8.5" style="12" customWidth="1"/>
    <col min="11493" max="11493" width="40" style="12" customWidth="1"/>
    <col min="11494" max="11494" width="6.375" style="12" bestFit="1" customWidth="1"/>
    <col min="11495" max="11495" width="6.625" style="12" bestFit="1" customWidth="1"/>
    <col min="11496" max="11496" width="8.25" style="12" bestFit="1" customWidth="1"/>
    <col min="11497" max="11497" width="4.125" style="12" customWidth="1"/>
    <col min="11498" max="11498" width="8.5" style="12" customWidth="1"/>
    <col min="11499" max="11499" width="40" style="12" customWidth="1"/>
    <col min="11500" max="11500" width="6.375" style="12" customWidth="1"/>
    <col min="11501" max="11501" width="6.625" style="12" bestFit="1" customWidth="1"/>
    <col min="11502" max="11502" width="8.25" style="12" bestFit="1" customWidth="1"/>
    <col min="11503" max="11503" width="4.125" style="12" customWidth="1"/>
    <col min="11504" max="11504" width="8.5" style="12" customWidth="1"/>
    <col min="11505" max="11505" width="40" style="12" customWidth="1"/>
    <col min="11506" max="11506" width="6.375" style="12" customWidth="1"/>
    <col min="11507" max="11507" width="6.625" style="12" bestFit="1" customWidth="1"/>
    <col min="11508" max="11508" width="8.25" style="12" bestFit="1" customWidth="1"/>
    <col min="11509" max="11747" width="9" style="12"/>
    <col min="11748" max="11748" width="8.5" style="12" customWidth="1"/>
    <col min="11749" max="11749" width="40" style="12" customWidth="1"/>
    <col min="11750" max="11750" width="6.375" style="12" bestFit="1" customWidth="1"/>
    <col min="11751" max="11751" width="6.625" style="12" bestFit="1" customWidth="1"/>
    <col min="11752" max="11752" width="8.25" style="12" bestFit="1" customWidth="1"/>
    <col min="11753" max="11753" width="4.125" style="12" customWidth="1"/>
    <col min="11754" max="11754" width="8.5" style="12" customWidth="1"/>
    <col min="11755" max="11755" width="40" style="12" customWidth="1"/>
    <col min="11756" max="11756" width="6.375" style="12" customWidth="1"/>
    <col min="11757" max="11757" width="6.625" style="12" bestFit="1" customWidth="1"/>
    <col min="11758" max="11758" width="8.25" style="12" bestFit="1" customWidth="1"/>
    <col min="11759" max="11759" width="4.125" style="12" customWidth="1"/>
    <col min="11760" max="11760" width="8.5" style="12" customWidth="1"/>
    <col min="11761" max="11761" width="40" style="12" customWidth="1"/>
    <col min="11762" max="11762" width="6.375" style="12" customWidth="1"/>
    <col min="11763" max="11763" width="6.625" style="12" bestFit="1" customWidth="1"/>
    <col min="11764" max="11764" width="8.25" style="12" bestFit="1" customWidth="1"/>
    <col min="11765" max="12003" width="9" style="12"/>
    <col min="12004" max="12004" width="8.5" style="12" customWidth="1"/>
    <col min="12005" max="12005" width="40" style="12" customWidth="1"/>
    <col min="12006" max="12006" width="6.375" style="12" bestFit="1" customWidth="1"/>
    <col min="12007" max="12007" width="6.625" style="12" bestFit="1" customWidth="1"/>
    <col min="12008" max="12008" width="8.25" style="12" bestFit="1" customWidth="1"/>
    <col min="12009" max="12009" width="4.125" style="12" customWidth="1"/>
    <col min="12010" max="12010" width="8.5" style="12" customWidth="1"/>
    <col min="12011" max="12011" width="40" style="12" customWidth="1"/>
    <col min="12012" max="12012" width="6.375" style="12" customWidth="1"/>
    <col min="12013" max="12013" width="6.625" style="12" bestFit="1" customWidth="1"/>
    <col min="12014" max="12014" width="8.25" style="12" bestFit="1" customWidth="1"/>
    <col min="12015" max="12015" width="4.125" style="12" customWidth="1"/>
    <col min="12016" max="12016" width="8.5" style="12" customWidth="1"/>
    <col min="12017" max="12017" width="40" style="12" customWidth="1"/>
    <col min="12018" max="12018" width="6.375" style="12" customWidth="1"/>
    <col min="12019" max="12019" width="6.625" style="12" bestFit="1" customWidth="1"/>
    <col min="12020" max="12020" width="8.25" style="12" bestFit="1" customWidth="1"/>
    <col min="12021" max="12259" width="9" style="12"/>
    <col min="12260" max="12260" width="8.5" style="12" customWidth="1"/>
    <col min="12261" max="12261" width="40" style="12" customWidth="1"/>
    <col min="12262" max="12262" width="6.375" style="12" bestFit="1" customWidth="1"/>
    <col min="12263" max="12263" width="6.625" style="12" bestFit="1" customWidth="1"/>
    <col min="12264" max="12264" width="8.25" style="12" bestFit="1" customWidth="1"/>
    <col min="12265" max="12265" width="4.125" style="12" customWidth="1"/>
    <col min="12266" max="12266" width="8.5" style="12" customWidth="1"/>
    <col min="12267" max="12267" width="40" style="12" customWidth="1"/>
    <col min="12268" max="12268" width="6.375" style="12" customWidth="1"/>
    <col min="12269" max="12269" width="6.625" style="12" bestFit="1" customWidth="1"/>
    <col min="12270" max="12270" width="8.25" style="12" bestFit="1" customWidth="1"/>
    <col min="12271" max="12271" width="4.125" style="12" customWidth="1"/>
    <col min="12272" max="12272" width="8.5" style="12" customWidth="1"/>
    <col min="12273" max="12273" width="40" style="12" customWidth="1"/>
    <col min="12274" max="12274" width="6.375" style="12" customWidth="1"/>
    <col min="12275" max="12275" width="6.625" style="12" bestFit="1" customWidth="1"/>
    <col min="12276" max="12276" width="8.25" style="12" bestFit="1" customWidth="1"/>
    <col min="12277" max="12515" width="9" style="12"/>
    <col min="12516" max="12516" width="8.5" style="12" customWidth="1"/>
    <col min="12517" max="12517" width="40" style="12" customWidth="1"/>
    <col min="12518" max="12518" width="6.375" style="12" bestFit="1" customWidth="1"/>
    <col min="12519" max="12519" width="6.625" style="12" bestFit="1" customWidth="1"/>
    <col min="12520" max="12520" width="8.25" style="12" bestFit="1" customWidth="1"/>
    <col min="12521" max="12521" width="4.125" style="12" customWidth="1"/>
    <col min="12522" max="12522" width="8.5" style="12" customWidth="1"/>
    <col min="12523" max="12523" width="40" style="12" customWidth="1"/>
    <col min="12524" max="12524" width="6.375" style="12" customWidth="1"/>
    <col min="12525" max="12525" width="6.625" style="12" bestFit="1" customWidth="1"/>
    <col min="12526" max="12526" width="8.25" style="12" bestFit="1" customWidth="1"/>
    <col min="12527" max="12527" width="4.125" style="12" customWidth="1"/>
    <col min="12528" max="12528" width="8.5" style="12" customWidth="1"/>
    <col min="12529" max="12529" width="40" style="12" customWidth="1"/>
    <col min="12530" max="12530" width="6.375" style="12" customWidth="1"/>
    <col min="12531" max="12531" width="6.625" style="12" bestFit="1" customWidth="1"/>
    <col min="12532" max="12532" width="8.25" style="12" bestFit="1" customWidth="1"/>
    <col min="12533" max="12771" width="9" style="12"/>
    <col min="12772" max="12772" width="8.5" style="12" customWidth="1"/>
    <col min="12773" max="12773" width="40" style="12" customWidth="1"/>
    <col min="12774" max="12774" width="6.375" style="12" bestFit="1" customWidth="1"/>
    <col min="12775" max="12775" width="6.625" style="12" bestFit="1" customWidth="1"/>
    <col min="12776" max="12776" width="8.25" style="12" bestFit="1" customWidth="1"/>
    <col min="12777" max="12777" width="4.125" style="12" customWidth="1"/>
    <col min="12778" max="12778" width="8.5" style="12" customWidth="1"/>
    <col min="12779" max="12779" width="40" style="12" customWidth="1"/>
    <col min="12780" max="12780" width="6.375" style="12" customWidth="1"/>
    <col min="12781" max="12781" width="6.625" style="12" bestFit="1" customWidth="1"/>
    <col min="12782" max="12782" width="8.25" style="12" bestFit="1" customWidth="1"/>
    <col min="12783" max="12783" width="4.125" style="12" customWidth="1"/>
    <col min="12784" max="12784" width="8.5" style="12" customWidth="1"/>
    <col min="12785" max="12785" width="40" style="12" customWidth="1"/>
    <col min="12786" max="12786" width="6.375" style="12" customWidth="1"/>
    <col min="12787" max="12787" width="6.625" style="12" bestFit="1" customWidth="1"/>
    <col min="12788" max="12788" width="8.25" style="12" bestFit="1" customWidth="1"/>
    <col min="12789" max="13027" width="9" style="12"/>
    <col min="13028" max="13028" width="8.5" style="12" customWidth="1"/>
    <col min="13029" max="13029" width="40" style="12" customWidth="1"/>
    <col min="13030" max="13030" width="6.375" style="12" bestFit="1" customWidth="1"/>
    <col min="13031" max="13031" width="6.625" style="12" bestFit="1" customWidth="1"/>
    <col min="13032" max="13032" width="8.25" style="12" bestFit="1" customWidth="1"/>
    <col min="13033" max="13033" width="4.125" style="12" customWidth="1"/>
    <col min="13034" max="13034" width="8.5" style="12" customWidth="1"/>
    <col min="13035" max="13035" width="40" style="12" customWidth="1"/>
    <col min="13036" max="13036" width="6.375" style="12" customWidth="1"/>
    <col min="13037" max="13037" width="6.625" style="12" bestFit="1" customWidth="1"/>
    <col min="13038" max="13038" width="8.25" style="12" bestFit="1" customWidth="1"/>
    <col min="13039" max="13039" width="4.125" style="12" customWidth="1"/>
    <col min="13040" max="13040" width="8.5" style="12" customWidth="1"/>
    <col min="13041" max="13041" width="40" style="12" customWidth="1"/>
    <col min="13042" max="13042" width="6.375" style="12" customWidth="1"/>
    <col min="13043" max="13043" width="6.625" style="12" bestFit="1" customWidth="1"/>
    <col min="13044" max="13044" width="8.25" style="12" bestFit="1" customWidth="1"/>
    <col min="13045" max="13283" width="9" style="12"/>
    <col min="13284" max="13284" width="8.5" style="12" customWidth="1"/>
    <col min="13285" max="13285" width="40" style="12" customWidth="1"/>
    <col min="13286" max="13286" width="6.375" style="12" bestFit="1" customWidth="1"/>
    <col min="13287" max="13287" width="6.625" style="12" bestFit="1" customWidth="1"/>
    <col min="13288" max="13288" width="8.25" style="12" bestFit="1" customWidth="1"/>
    <col min="13289" max="13289" width="4.125" style="12" customWidth="1"/>
    <col min="13290" max="13290" width="8.5" style="12" customWidth="1"/>
    <col min="13291" max="13291" width="40" style="12" customWidth="1"/>
    <col min="13292" max="13292" width="6.375" style="12" customWidth="1"/>
    <col min="13293" max="13293" width="6.625" style="12" bestFit="1" customWidth="1"/>
    <col min="13294" max="13294" width="8.25" style="12" bestFit="1" customWidth="1"/>
    <col min="13295" max="13295" width="4.125" style="12" customWidth="1"/>
    <col min="13296" max="13296" width="8.5" style="12" customWidth="1"/>
    <col min="13297" max="13297" width="40" style="12" customWidth="1"/>
    <col min="13298" max="13298" width="6.375" style="12" customWidth="1"/>
    <col min="13299" max="13299" width="6.625" style="12" bestFit="1" customWidth="1"/>
    <col min="13300" max="13300" width="8.25" style="12" bestFit="1" customWidth="1"/>
    <col min="13301" max="13539" width="9" style="12"/>
    <col min="13540" max="13540" width="8.5" style="12" customWidth="1"/>
    <col min="13541" max="13541" width="40" style="12" customWidth="1"/>
    <col min="13542" max="13542" width="6.375" style="12" bestFit="1" customWidth="1"/>
    <col min="13543" max="13543" width="6.625" style="12" bestFit="1" customWidth="1"/>
    <col min="13544" max="13544" width="8.25" style="12" bestFit="1" customWidth="1"/>
    <col min="13545" max="13545" width="4.125" style="12" customWidth="1"/>
    <col min="13546" max="13546" width="8.5" style="12" customWidth="1"/>
    <col min="13547" max="13547" width="40" style="12" customWidth="1"/>
    <col min="13548" max="13548" width="6.375" style="12" customWidth="1"/>
    <col min="13549" max="13549" width="6.625" style="12" bestFit="1" customWidth="1"/>
    <col min="13550" max="13550" width="8.25" style="12" bestFit="1" customWidth="1"/>
    <col min="13551" max="13551" width="4.125" style="12" customWidth="1"/>
    <col min="13552" max="13552" width="8.5" style="12" customWidth="1"/>
    <col min="13553" max="13553" width="40" style="12" customWidth="1"/>
    <col min="13554" max="13554" width="6.375" style="12" customWidth="1"/>
    <col min="13555" max="13555" width="6.625" style="12" bestFit="1" customWidth="1"/>
    <col min="13556" max="13556" width="8.25" style="12" bestFit="1" customWidth="1"/>
    <col min="13557" max="13795" width="9" style="12"/>
    <col min="13796" max="13796" width="8.5" style="12" customWidth="1"/>
    <col min="13797" max="13797" width="40" style="12" customWidth="1"/>
    <col min="13798" max="13798" width="6.375" style="12" bestFit="1" customWidth="1"/>
    <col min="13799" max="13799" width="6.625" style="12" bestFit="1" customWidth="1"/>
    <col min="13800" max="13800" width="8.25" style="12" bestFit="1" customWidth="1"/>
    <col min="13801" max="13801" width="4.125" style="12" customWidth="1"/>
    <col min="13802" max="13802" width="8.5" style="12" customWidth="1"/>
    <col min="13803" max="13803" width="40" style="12" customWidth="1"/>
    <col min="13804" max="13804" width="6.375" style="12" customWidth="1"/>
    <col min="13805" max="13805" width="6.625" style="12" bestFit="1" customWidth="1"/>
    <col min="13806" max="13806" width="8.25" style="12" bestFit="1" customWidth="1"/>
    <col min="13807" max="13807" width="4.125" style="12" customWidth="1"/>
    <col min="13808" max="13808" width="8.5" style="12" customWidth="1"/>
    <col min="13809" max="13809" width="40" style="12" customWidth="1"/>
    <col min="13810" max="13810" width="6.375" style="12" customWidth="1"/>
    <col min="13811" max="13811" width="6.625" style="12" bestFit="1" customWidth="1"/>
    <col min="13812" max="13812" width="8.25" style="12" bestFit="1" customWidth="1"/>
    <col min="13813" max="14051" width="9" style="12"/>
    <col min="14052" max="14052" width="8.5" style="12" customWidth="1"/>
    <col min="14053" max="14053" width="40" style="12" customWidth="1"/>
    <col min="14054" max="14054" width="6.375" style="12" bestFit="1" customWidth="1"/>
    <col min="14055" max="14055" width="6.625" style="12" bestFit="1" customWidth="1"/>
    <col min="14056" max="14056" width="8.25" style="12" bestFit="1" customWidth="1"/>
    <col min="14057" max="14057" width="4.125" style="12" customWidth="1"/>
    <col min="14058" max="14058" width="8.5" style="12" customWidth="1"/>
    <col min="14059" max="14059" width="40" style="12" customWidth="1"/>
    <col min="14060" max="14060" width="6.375" style="12" customWidth="1"/>
    <col min="14061" max="14061" width="6.625" style="12" bestFit="1" customWidth="1"/>
    <col min="14062" max="14062" width="8.25" style="12" bestFit="1" customWidth="1"/>
    <col min="14063" max="14063" width="4.125" style="12" customWidth="1"/>
    <col min="14064" max="14064" width="8.5" style="12" customWidth="1"/>
    <col min="14065" max="14065" width="40" style="12" customWidth="1"/>
    <col min="14066" max="14066" width="6.375" style="12" customWidth="1"/>
    <col min="14067" max="14067" width="6.625" style="12" bestFit="1" customWidth="1"/>
    <col min="14068" max="14068" width="8.25" style="12" bestFit="1" customWidth="1"/>
    <col min="14069" max="14307" width="9" style="12"/>
    <col min="14308" max="14308" width="8.5" style="12" customWidth="1"/>
    <col min="14309" max="14309" width="40" style="12" customWidth="1"/>
    <col min="14310" max="14310" width="6.375" style="12" bestFit="1" customWidth="1"/>
    <col min="14311" max="14311" width="6.625" style="12" bestFit="1" customWidth="1"/>
    <col min="14312" max="14312" width="8.25" style="12" bestFit="1" customWidth="1"/>
    <col min="14313" max="14313" width="4.125" style="12" customWidth="1"/>
    <col min="14314" max="14314" width="8.5" style="12" customWidth="1"/>
    <col min="14315" max="14315" width="40" style="12" customWidth="1"/>
    <col min="14316" max="14316" width="6.375" style="12" customWidth="1"/>
    <col min="14317" max="14317" width="6.625" style="12" bestFit="1" customWidth="1"/>
    <col min="14318" max="14318" width="8.25" style="12" bestFit="1" customWidth="1"/>
    <col min="14319" max="14319" width="4.125" style="12" customWidth="1"/>
    <col min="14320" max="14320" width="8.5" style="12" customWidth="1"/>
    <col min="14321" max="14321" width="40" style="12" customWidth="1"/>
    <col min="14322" max="14322" width="6.375" style="12" customWidth="1"/>
    <col min="14323" max="14323" width="6.625" style="12" bestFit="1" customWidth="1"/>
    <col min="14324" max="14324" width="8.25" style="12" bestFit="1" customWidth="1"/>
    <col min="14325" max="14563" width="9" style="12"/>
    <col min="14564" max="14564" width="8.5" style="12" customWidth="1"/>
    <col min="14565" max="14565" width="40" style="12" customWidth="1"/>
    <col min="14566" max="14566" width="6.375" style="12" bestFit="1" customWidth="1"/>
    <col min="14567" max="14567" width="6.625" style="12" bestFit="1" customWidth="1"/>
    <col min="14568" max="14568" width="8.25" style="12" bestFit="1" customWidth="1"/>
    <col min="14569" max="14569" width="4.125" style="12" customWidth="1"/>
    <col min="14570" max="14570" width="8.5" style="12" customWidth="1"/>
    <col min="14571" max="14571" width="40" style="12" customWidth="1"/>
    <col min="14572" max="14572" width="6.375" style="12" customWidth="1"/>
    <col min="14573" max="14573" width="6.625" style="12" bestFit="1" customWidth="1"/>
    <col min="14574" max="14574" width="8.25" style="12" bestFit="1" customWidth="1"/>
    <col min="14575" max="14575" width="4.125" style="12" customWidth="1"/>
    <col min="14576" max="14576" width="8.5" style="12" customWidth="1"/>
    <col min="14577" max="14577" width="40" style="12" customWidth="1"/>
    <col min="14578" max="14578" width="6.375" style="12" customWidth="1"/>
    <col min="14579" max="14579" width="6.625" style="12" bestFit="1" customWidth="1"/>
    <col min="14580" max="14580" width="8.25" style="12" bestFit="1" customWidth="1"/>
    <col min="14581" max="14819" width="9" style="12"/>
    <col min="14820" max="14820" width="8.5" style="12" customWidth="1"/>
    <col min="14821" max="14821" width="40" style="12" customWidth="1"/>
    <col min="14822" max="14822" width="6.375" style="12" bestFit="1" customWidth="1"/>
    <col min="14823" max="14823" width="6.625" style="12" bestFit="1" customWidth="1"/>
    <col min="14824" max="14824" width="8.25" style="12" bestFit="1" customWidth="1"/>
    <col min="14825" max="14825" width="4.125" style="12" customWidth="1"/>
    <col min="14826" max="14826" width="8.5" style="12" customWidth="1"/>
    <col min="14827" max="14827" width="40" style="12" customWidth="1"/>
    <col min="14828" max="14828" width="6.375" style="12" customWidth="1"/>
    <col min="14829" max="14829" width="6.625" style="12" bestFit="1" customWidth="1"/>
    <col min="14830" max="14830" width="8.25" style="12" bestFit="1" customWidth="1"/>
    <col min="14831" max="14831" width="4.125" style="12" customWidth="1"/>
    <col min="14832" max="14832" width="8.5" style="12" customWidth="1"/>
    <col min="14833" max="14833" width="40" style="12" customWidth="1"/>
    <col min="14834" max="14834" width="6.375" style="12" customWidth="1"/>
    <col min="14835" max="14835" width="6.625" style="12" bestFit="1" customWidth="1"/>
    <col min="14836" max="14836" width="8.25" style="12" bestFit="1" customWidth="1"/>
    <col min="14837" max="15075" width="9" style="12"/>
    <col min="15076" max="15076" width="8.5" style="12" customWidth="1"/>
    <col min="15077" max="15077" width="40" style="12" customWidth="1"/>
    <col min="15078" max="15078" width="6.375" style="12" bestFit="1" customWidth="1"/>
    <col min="15079" max="15079" width="6.625" style="12" bestFit="1" customWidth="1"/>
    <col min="15080" max="15080" width="8.25" style="12" bestFit="1" customWidth="1"/>
    <col min="15081" max="15081" width="4.125" style="12" customWidth="1"/>
    <col min="15082" max="15082" width="8.5" style="12" customWidth="1"/>
    <col min="15083" max="15083" width="40" style="12" customWidth="1"/>
    <col min="15084" max="15084" width="6.375" style="12" customWidth="1"/>
    <col min="15085" max="15085" width="6.625" style="12" bestFit="1" customWidth="1"/>
    <col min="15086" max="15086" width="8.25" style="12" bestFit="1" customWidth="1"/>
    <col min="15087" max="15087" width="4.125" style="12" customWidth="1"/>
    <col min="15088" max="15088" width="8.5" style="12" customWidth="1"/>
    <col min="15089" max="15089" width="40" style="12" customWidth="1"/>
    <col min="15090" max="15090" width="6.375" style="12" customWidth="1"/>
    <col min="15091" max="15091" width="6.625" style="12" bestFit="1" customWidth="1"/>
    <col min="15092" max="15092" width="8.25" style="12" bestFit="1" customWidth="1"/>
    <col min="15093" max="15331" width="9" style="12"/>
    <col min="15332" max="15332" width="8.5" style="12" customWidth="1"/>
    <col min="15333" max="15333" width="40" style="12" customWidth="1"/>
    <col min="15334" max="15334" width="6.375" style="12" bestFit="1" customWidth="1"/>
    <col min="15335" max="15335" width="6.625" style="12" bestFit="1" customWidth="1"/>
    <col min="15336" max="15336" width="8.25" style="12" bestFit="1" customWidth="1"/>
    <col min="15337" max="15337" width="4.125" style="12" customWidth="1"/>
    <col min="15338" max="15338" width="8.5" style="12" customWidth="1"/>
    <col min="15339" max="15339" width="40" style="12" customWidth="1"/>
    <col min="15340" max="15340" width="6.375" style="12" customWidth="1"/>
    <col min="15341" max="15341" width="6.625" style="12" bestFit="1" customWidth="1"/>
    <col min="15342" max="15342" width="8.25" style="12" bestFit="1" customWidth="1"/>
    <col min="15343" max="15343" width="4.125" style="12" customWidth="1"/>
    <col min="15344" max="15344" width="8.5" style="12" customWidth="1"/>
    <col min="15345" max="15345" width="40" style="12" customWidth="1"/>
    <col min="15346" max="15346" width="6.375" style="12" customWidth="1"/>
    <col min="15347" max="15347" width="6.625" style="12" bestFit="1" customWidth="1"/>
    <col min="15348" max="15348" width="8.25" style="12" bestFit="1" customWidth="1"/>
    <col min="15349" max="15587" width="9" style="12"/>
    <col min="15588" max="15588" width="8.5" style="12" customWidth="1"/>
    <col min="15589" max="15589" width="40" style="12" customWidth="1"/>
    <col min="15590" max="15590" width="6.375" style="12" bestFit="1" customWidth="1"/>
    <col min="15591" max="15591" width="6.625" style="12" bestFit="1" customWidth="1"/>
    <col min="15592" max="15592" width="8.25" style="12" bestFit="1" customWidth="1"/>
    <col min="15593" max="15593" width="4.125" style="12" customWidth="1"/>
    <col min="15594" max="15594" width="8.5" style="12" customWidth="1"/>
    <col min="15595" max="15595" width="40" style="12" customWidth="1"/>
    <col min="15596" max="15596" width="6.375" style="12" customWidth="1"/>
    <col min="15597" max="15597" width="6.625" style="12" bestFit="1" customWidth="1"/>
    <col min="15598" max="15598" width="8.25" style="12" bestFit="1" customWidth="1"/>
    <col min="15599" max="15599" width="4.125" style="12" customWidth="1"/>
    <col min="15600" max="15600" width="8.5" style="12" customWidth="1"/>
    <col min="15601" max="15601" width="40" style="12" customWidth="1"/>
    <col min="15602" max="15602" width="6.375" style="12" customWidth="1"/>
    <col min="15603" max="15603" width="6.625" style="12" bestFit="1" customWidth="1"/>
    <col min="15604" max="15604" width="8.25" style="12" bestFit="1" customWidth="1"/>
    <col min="15605" max="15843" width="9" style="12"/>
    <col min="15844" max="15844" width="8.5" style="12" customWidth="1"/>
    <col min="15845" max="15845" width="40" style="12" customWidth="1"/>
    <col min="15846" max="15846" width="6.375" style="12" bestFit="1" customWidth="1"/>
    <col min="15847" max="15847" width="6.625" style="12" bestFit="1" customWidth="1"/>
    <col min="15848" max="15848" width="8.25" style="12" bestFit="1" customWidth="1"/>
    <col min="15849" max="15849" width="4.125" style="12" customWidth="1"/>
    <col min="15850" max="15850" width="8.5" style="12" customWidth="1"/>
    <col min="15851" max="15851" width="40" style="12" customWidth="1"/>
    <col min="15852" max="15852" width="6.375" style="12" customWidth="1"/>
    <col min="15853" max="15853" width="6.625" style="12" bestFit="1" customWidth="1"/>
    <col min="15854" max="15854" width="8.25" style="12" bestFit="1" customWidth="1"/>
    <col min="15855" max="15855" width="4.125" style="12" customWidth="1"/>
    <col min="15856" max="15856" width="8.5" style="12" customWidth="1"/>
    <col min="15857" max="15857" width="40" style="12" customWidth="1"/>
    <col min="15858" max="15858" width="6.375" style="12" customWidth="1"/>
    <col min="15859" max="15859" width="6.625" style="12" bestFit="1" customWidth="1"/>
    <col min="15860" max="15860" width="8.25" style="12" bestFit="1" customWidth="1"/>
    <col min="15861" max="16099" width="9" style="12"/>
    <col min="16100" max="16100" width="8.5" style="12" customWidth="1"/>
    <col min="16101" max="16101" width="40" style="12" customWidth="1"/>
    <col min="16102" max="16102" width="6.375" style="12" bestFit="1" customWidth="1"/>
    <col min="16103" max="16103" width="6.625" style="12" bestFit="1" customWidth="1"/>
    <col min="16104" max="16104" width="8.25" style="12" bestFit="1" customWidth="1"/>
    <col min="16105" max="16105" width="4.125" style="12" customWidth="1"/>
    <col min="16106" max="16106" width="8.5" style="12" customWidth="1"/>
    <col min="16107" max="16107" width="40" style="12" customWidth="1"/>
    <col min="16108" max="16108" width="6.375" style="12" customWidth="1"/>
    <col min="16109" max="16109" width="6.625" style="12" bestFit="1" customWidth="1"/>
    <col min="16110" max="16110" width="8.25" style="12" bestFit="1" customWidth="1"/>
    <col min="16111" max="16111" width="4.125" style="12" customWidth="1"/>
    <col min="16112" max="16112" width="8.5" style="12" customWidth="1"/>
    <col min="16113" max="16113" width="40" style="12" customWidth="1"/>
    <col min="16114" max="16114" width="6.375" style="12" customWidth="1"/>
    <col min="16115" max="16115" width="6.625" style="12" bestFit="1" customWidth="1"/>
    <col min="16116" max="16116" width="8.25" style="12" bestFit="1" customWidth="1"/>
    <col min="16117" max="16384" width="9" style="12"/>
  </cols>
  <sheetData>
    <row r="1" spans="1:23" ht="15" customHeight="1" x14ac:dyDescent="0.2">
      <c r="A1" s="100" t="s">
        <v>589</v>
      </c>
      <c r="B1" s="5"/>
      <c r="C1" s="10"/>
      <c r="D1" s="11"/>
      <c r="E1" s="7"/>
      <c r="F1" s="7"/>
      <c r="G1" s="8"/>
    </row>
    <row r="2" spans="1:23" s="128" customFormat="1" ht="15" customHeight="1" x14ac:dyDescent="0.2">
      <c r="A2" s="500" t="s">
        <v>585</v>
      </c>
      <c r="B2" s="199"/>
      <c r="C2" s="199"/>
      <c r="D2" s="199"/>
      <c r="E2" s="199"/>
      <c r="F2" s="199"/>
      <c r="G2" s="199"/>
      <c r="H2" s="199"/>
      <c r="I2" s="199"/>
      <c r="J2" s="199"/>
      <c r="K2" s="199"/>
      <c r="L2" s="199"/>
    </row>
    <row r="3" spans="1:23" s="128" customFormat="1" ht="15.95" customHeight="1" x14ac:dyDescent="0.2">
      <c r="A3" s="619" t="s">
        <v>0</v>
      </c>
      <c r="B3" s="619"/>
      <c r="C3" s="619"/>
      <c r="D3" s="619"/>
      <c r="E3" s="619"/>
      <c r="F3" s="619"/>
      <c r="G3" s="619"/>
      <c r="H3" s="382"/>
      <c r="I3" s="619" t="s">
        <v>1</v>
      </c>
      <c r="J3" s="619"/>
      <c r="K3" s="619"/>
      <c r="L3" s="619"/>
      <c r="M3" s="619"/>
      <c r="N3" s="619"/>
      <c r="O3" s="619"/>
      <c r="P3" s="597"/>
      <c r="Q3" s="619" t="s">
        <v>2</v>
      </c>
      <c r="R3" s="619"/>
      <c r="S3" s="619"/>
      <c r="T3" s="619"/>
      <c r="U3" s="619"/>
      <c r="V3" s="619"/>
      <c r="W3" s="619"/>
    </row>
    <row r="4" spans="1:23" s="20" customFormat="1" ht="63.75" x14ac:dyDescent="0.2">
      <c r="A4" s="110" t="s">
        <v>39</v>
      </c>
      <c r="B4" s="126" t="s">
        <v>40</v>
      </c>
      <c r="C4" s="19" t="s">
        <v>75</v>
      </c>
      <c r="D4" s="127" t="s">
        <v>38</v>
      </c>
      <c r="E4" s="127" t="s">
        <v>565</v>
      </c>
      <c r="F4" s="127" t="s">
        <v>29</v>
      </c>
      <c r="G4" s="19" t="s">
        <v>560</v>
      </c>
      <c r="H4" s="305"/>
      <c r="I4" s="110" t="s">
        <v>39</v>
      </c>
      <c r="J4" s="126" t="s">
        <v>40</v>
      </c>
      <c r="K4" s="19" t="s">
        <v>75</v>
      </c>
      <c r="L4" s="127" t="s">
        <v>38</v>
      </c>
      <c r="M4" s="127" t="s">
        <v>565</v>
      </c>
      <c r="N4" s="127" t="s">
        <v>29</v>
      </c>
      <c r="O4" s="19" t="s">
        <v>560</v>
      </c>
      <c r="P4" s="305"/>
      <c r="Q4" s="110" t="s">
        <v>39</v>
      </c>
      <c r="R4" s="126" t="s">
        <v>40</v>
      </c>
      <c r="S4" s="19" t="s">
        <v>75</v>
      </c>
      <c r="T4" s="127" t="s">
        <v>38</v>
      </c>
      <c r="U4" s="127" t="s">
        <v>565</v>
      </c>
      <c r="V4" s="127" t="s">
        <v>29</v>
      </c>
      <c r="W4" s="19" t="s">
        <v>560</v>
      </c>
    </row>
    <row r="5" spans="1:23" s="25" customFormat="1" ht="25.5" x14ac:dyDescent="0.2">
      <c r="A5" s="102">
        <v>1</v>
      </c>
      <c r="B5" s="62" t="s">
        <v>42</v>
      </c>
      <c r="C5" s="34">
        <v>22141</v>
      </c>
      <c r="D5" s="30">
        <v>11.3</v>
      </c>
      <c r="E5" s="64">
        <v>84.7</v>
      </c>
      <c r="F5" s="64"/>
      <c r="G5" s="30">
        <v>67.599999999999994</v>
      </c>
      <c r="I5" s="102">
        <v>1</v>
      </c>
      <c r="J5" s="62" t="s">
        <v>43</v>
      </c>
      <c r="K5" s="34">
        <v>22985</v>
      </c>
      <c r="L5" s="30">
        <v>13</v>
      </c>
      <c r="M5" s="64">
        <v>86.8</v>
      </c>
      <c r="N5" s="64"/>
      <c r="O5" s="30">
        <v>58</v>
      </c>
      <c r="Q5" s="102">
        <v>1</v>
      </c>
      <c r="R5" s="62" t="s">
        <v>42</v>
      </c>
      <c r="S5" s="34">
        <v>36667</v>
      </c>
      <c r="T5" s="30">
        <v>9.8000000000000007</v>
      </c>
      <c r="U5" s="64">
        <v>69.7</v>
      </c>
      <c r="V5" s="64"/>
      <c r="W5" s="30">
        <v>51.7</v>
      </c>
    </row>
    <row r="6" spans="1:23" s="25" customFormat="1" ht="25.5" x14ac:dyDescent="0.2">
      <c r="A6" s="102">
        <v>2</v>
      </c>
      <c r="B6" s="62" t="s">
        <v>43</v>
      </c>
      <c r="C6" s="34">
        <v>13123</v>
      </c>
      <c r="D6" s="30">
        <v>6.7</v>
      </c>
      <c r="E6" s="64">
        <v>50.2</v>
      </c>
      <c r="F6" s="64"/>
      <c r="G6" s="30">
        <v>39.700000000000003</v>
      </c>
      <c r="I6" s="102">
        <v>2</v>
      </c>
      <c r="J6" s="62" t="s">
        <v>42</v>
      </c>
      <c r="K6" s="34">
        <v>14526</v>
      </c>
      <c r="L6" s="30">
        <v>8.1999999999999993</v>
      </c>
      <c r="M6" s="64">
        <v>54.9</v>
      </c>
      <c r="N6" s="64"/>
      <c r="O6" s="30">
        <v>37.299999999999997</v>
      </c>
      <c r="Q6" s="102">
        <v>2</v>
      </c>
      <c r="R6" s="62" t="s">
        <v>43</v>
      </c>
      <c r="S6" s="34">
        <v>36108</v>
      </c>
      <c r="T6" s="30">
        <v>9.6999999999999993</v>
      </c>
      <c r="U6" s="64">
        <v>68.599999999999994</v>
      </c>
      <c r="V6" s="64"/>
      <c r="W6" s="30">
        <v>49.7</v>
      </c>
    </row>
    <row r="7" spans="1:23" s="25" customFormat="1" ht="12.75" x14ac:dyDescent="0.2">
      <c r="A7" s="102">
        <v>3</v>
      </c>
      <c r="B7" s="62" t="s">
        <v>44</v>
      </c>
      <c r="C7" s="34">
        <v>10540</v>
      </c>
      <c r="D7" s="30">
        <v>5.4</v>
      </c>
      <c r="E7" s="64">
        <v>40.299999999999997</v>
      </c>
      <c r="F7" s="64"/>
      <c r="G7" s="30">
        <v>31.5</v>
      </c>
      <c r="I7" s="102">
        <v>3</v>
      </c>
      <c r="J7" s="62" t="s">
        <v>45</v>
      </c>
      <c r="K7" s="34">
        <v>11440</v>
      </c>
      <c r="L7" s="30">
        <v>6.5</v>
      </c>
      <c r="M7" s="64">
        <v>43.2</v>
      </c>
      <c r="N7" s="64"/>
      <c r="O7" s="30">
        <v>29.5</v>
      </c>
      <c r="Q7" s="102">
        <v>3</v>
      </c>
      <c r="R7" s="62" t="s">
        <v>45</v>
      </c>
      <c r="S7" s="34">
        <v>20378</v>
      </c>
      <c r="T7" s="30">
        <v>5.5</v>
      </c>
      <c r="U7" s="64">
        <v>38.700000000000003</v>
      </c>
      <c r="V7" s="64"/>
      <c r="W7" s="30">
        <v>28.5</v>
      </c>
    </row>
    <row r="8" spans="1:23" s="25" customFormat="1" ht="12.75" x14ac:dyDescent="0.2">
      <c r="A8" s="102">
        <v>4</v>
      </c>
      <c r="B8" s="62" t="s">
        <v>45</v>
      </c>
      <c r="C8" s="34">
        <v>8938</v>
      </c>
      <c r="D8" s="30">
        <v>4.5999999999999996</v>
      </c>
      <c r="E8" s="64">
        <v>34.200000000000003</v>
      </c>
      <c r="F8" s="64"/>
      <c r="G8" s="30">
        <v>27.2</v>
      </c>
      <c r="I8" s="102">
        <v>4</v>
      </c>
      <c r="J8" s="62" t="s">
        <v>44</v>
      </c>
      <c r="K8" s="34">
        <v>7690</v>
      </c>
      <c r="L8" s="30">
        <v>4.3</v>
      </c>
      <c r="M8" s="64">
        <v>29</v>
      </c>
      <c r="N8" s="64"/>
      <c r="O8" s="30">
        <v>20.399999999999999</v>
      </c>
      <c r="Q8" s="102">
        <v>4</v>
      </c>
      <c r="R8" s="62" t="s">
        <v>44</v>
      </c>
      <c r="S8" s="34">
        <v>18230</v>
      </c>
      <c r="T8" s="30">
        <v>4.9000000000000004</v>
      </c>
      <c r="U8" s="64">
        <v>34.6</v>
      </c>
      <c r="V8" s="64"/>
      <c r="W8" s="30">
        <v>25.6</v>
      </c>
    </row>
    <row r="9" spans="1:23" s="25" customFormat="1" ht="12.75" x14ac:dyDescent="0.2">
      <c r="A9" s="102">
        <v>5</v>
      </c>
      <c r="B9" s="62" t="s">
        <v>570</v>
      </c>
      <c r="C9" s="34">
        <v>8064</v>
      </c>
      <c r="D9" s="30">
        <v>4.0999999999999996</v>
      </c>
      <c r="E9" s="64">
        <v>30.8</v>
      </c>
      <c r="F9" s="64"/>
      <c r="G9" s="30">
        <v>24.1</v>
      </c>
      <c r="I9" s="102">
        <v>5</v>
      </c>
      <c r="J9" s="62" t="s">
        <v>570</v>
      </c>
      <c r="K9" s="34">
        <v>7024</v>
      </c>
      <c r="L9" s="30">
        <v>4</v>
      </c>
      <c r="M9" s="64">
        <v>26.5</v>
      </c>
      <c r="N9" s="64"/>
      <c r="O9" s="30">
        <v>18.100000000000001</v>
      </c>
      <c r="Q9" s="102">
        <v>5</v>
      </c>
      <c r="R9" s="62" t="s">
        <v>570</v>
      </c>
      <c r="S9" s="34">
        <v>15088</v>
      </c>
      <c r="T9" s="30">
        <v>4</v>
      </c>
      <c r="U9" s="64">
        <v>28.7</v>
      </c>
      <c r="V9" s="64"/>
      <c r="W9" s="30">
        <v>20.8</v>
      </c>
    </row>
    <row r="10" spans="1:23" s="25" customFormat="1" ht="12.75" x14ac:dyDescent="0.2">
      <c r="A10" s="102">
        <v>6</v>
      </c>
      <c r="B10" s="62" t="s">
        <v>47</v>
      </c>
      <c r="C10" s="34">
        <v>7705</v>
      </c>
      <c r="D10" s="30">
        <v>3.9</v>
      </c>
      <c r="E10" s="64">
        <v>29.5</v>
      </c>
      <c r="F10" s="64"/>
      <c r="G10" s="30">
        <v>23.1</v>
      </c>
      <c r="I10" s="102">
        <v>6</v>
      </c>
      <c r="J10" s="62" t="s">
        <v>48</v>
      </c>
      <c r="K10" s="34">
        <v>6522</v>
      </c>
      <c r="L10" s="30">
        <v>3.7</v>
      </c>
      <c r="M10" s="64">
        <v>24.6</v>
      </c>
      <c r="N10" s="64"/>
      <c r="O10" s="30">
        <v>18.3</v>
      </c>
      <c r="Q10" s="102">
        <v>6</v>
      </c>
      <c r="R10" s="62" t="s">
        <v>49</v>
      </c>
      <c r="S10" s="34">
        <v>11415</v>
      </c>
      <c r="T10" s="30">
        <v>3.1</v>
      </c>
      <c r="U10" s="64">
        <v>21.7</v>
      </c>
      <c r="V10" s="64"/>
      <c r="W10" s="30">
        <v>16</v>
      </c>
    </row>
    <row r="11" spans="1:23" s="25" customFormat="1" ht="12.75" x14ac:dyDescent="0.2">
      <c r="A11" s="102">
        <v>7</v>
      </c>
      <c r="B11" s="62" t="s">
        <v>49</v>
      </c>
      <c r="C11" s="34">
        <v>6382</v>
      </c>
      <c r="D11" s="30">
        <v>3.3</v>
      </c>
      <c r="E11" s="64">
        <v>24.4</v>
      </c>
      <c r="F11" s="64"/>
      <c r="G11" s="30">
        <v>19.399999999999999</v>
      </c>
      <c r="I11" s="102">
        <v>7</v>
      </c>
      <c r="J11" s="62" t="s">
        <v>50</v>
      </c>
      <c r="K11" s="34">
        <v>5196</v>
      </c>
      <c r="L11" s="30">
        <v>2.9</v>
      </c>
      <c r="M11" s="64">
        <v>19.600000000000001</v>
      </c>
      <c r="N11" s="64"/>
      <c r="O11" s="30">
        <v>14.1</v>
      </c>
      <c r="Q11" s="102">
        <v>7</v>
      </c>
      <c r="R11" s="62" t="s">
        <v>50</v>
      </c>
      <c r="S11" s="34">
        <v>10995</v>
      </c>
      <c r="T11" s="30">
        <v>2.9</v>
      </c>
      <c r="U11" s="64">
        <v>20.9</v>
      </c>
      <c r="V11" s="64"/>
      <c r="W11" s="30">
        <v>15.8</v>
      </c>
    </row>
    <row r="12" spans="1:23" s="25" customFormat="1" ht="12.75" x14ac:dyDescent="0.2">
      <c r="A12" s="102">
        <v>8</v>
      </c>
      <c r="B12" s="62" t="s">
        <v>50</v>
      </c>
      <c r="C12" s="34">
        <v>5799</v>
      </c>
      <c r="D12" s="30">
        <v>3</v>
      </c>
      <c r="E12" s="64">
        <v>22.2</v>
      </c>
      <c r="F12" s="64"/>
      <c r="G12" s="30">
        <v>17.8</v>
      </c>
      <c r="I12" s="102">
        <v>8</v>
      </c>
      <c r="J12" s="62" t="s">
        <v>49</v>
      </c>
      <c r="K12" s="34">
        <v>5033</v>
      </c>
      <c r="L12" s="30">
        <v>2.8</v>
      </c>
      <c r="M12" s="64">
        <v>19</v>
      </c>
      <c r="N12" s="64"/>
      <c r="O12" s="30">
        <v>13.1</v>
      </c>
      <c r="Q12" s="102">
        <v>8</v>
      </c>
      <c r="R12" s="62" t="s">
        <v>51</v>
      </c>
      <c r="S12" s="34">
        <v>10379</v>
      </c>
      <c r="T12" s="30">
        <v>2.8</v>
      </c>
      <c r="U12" s="64">
        <v>19.7</v>
      </c>
      <c r="V12" s="64"/>
      <c r="W12" s="30">
        <v>14.5</v>
      </c>
    </row>
    <row r="13" spans="1:23" s="25" customFormat="1" ht="12.75" x14ac:dyDescent="0.2">
      <c r="A13" s="102">
        <v>9</v>
      </c>
      <c r="B13" s="62" t="s">
        <v>51</v>
      </c>
      <c r="C13" s="34">
        <v>5775</v>
      </c>
      <c r="D13" s="30">
        <v>2.9</v>
      </c>
      <c r="E13" s="64">
        <v>22.1</v>
      </c>
      <c r="F13" s="64"/>
      <c r="G13" s="30">
        <v>17.5</v>
      </c>
      <c r="I13" s="102">
        <v>9</v>
      </c>
      <c r="J13" s="62" t="s">
        <v>51</v>
      </c>
      <c r="K13" s="34">
        <v>4604</v>
      </c>
      <c r="L13" s="30">
        <v>2.6</v>
      </c>
      <c r="M13" s="64">
        <v>17.399999999999999</v>
      </c>
      <c r="N13" s="64"/>
      <c r="O13" s="30">
        <v>11.8</v>
      </c>
      <c r="Q13" s="102">
        <v>9</v>
      </c>
      <c r="R13" s="62" t="s">
        <v>47</v>
      </c>
      <c r="S13" s="34">
        <v>7705</v>
      </c>
      <c r="T13" s="30">
        <v>2.1</v>
      </c>
      <c r="U13" s="64">
        <v>14.6</v>
      </c>
      <c r="V13" s="64"/>
      <c r="W13" s="30">
        <v>10.6</v>
      </c>
    </row>
    <row r="14" spans="1:23" s="25" customFormat="1" ht="25.5" x14ac:dyDescent="0.2">
      <c r="A14" s="102">
        <v>10</v>
      </c>
      <c r="B14" s="62" t="s">
        <v>53</v>
      </c>
      <c r="C14" s="34">
        <v>4856</v>
      </c>
      <c r="D14" s="30">
        <v>2.5</v>
      </c>
      <c r="E14" s="64">
        <v>18.600000000000001</v>
      </c>
      <c r="F14" s="64"/>
      <c r="G14" s="30">
        <v>18</v>
      </c>
      <c r="I14" s="102">
        <v>10</v>
      </c>
      <c r="J14" s="62" t="s">
        <v>54</v>
      </c>
      <c r="K14" s="34">
        <v>4110</v>
      </c>
      <c r="L14" s="30">
        <v>2.2999999999999998</v>
      </c>
      <c r="M14" s="64">
        <v>15.5</v>
      </c>
      <c r="N14" s="64"/>
      <c r="O14" s="30">
        <v>10.5</v>
      </c>
      <c r="Q14" s="102">
        <v>10</v>
      </c>
      <c r="R14" s="62" t="s">
        <v>56</v>
      </c>
      <c r="S14" s="34">
        <v>7446</v>
      </c>
      <c r="T14" s="30">
        <v>2</v>
      </c>
      <c r="U14" s="64">
        <v>14.1</v>
      </c>
      <c r="V14" s="64"/>
      <c r="W14" s="30">
        <v>10.5</v>
      </c>
    </row>
    <row r="15" spans="1:23" s="25" customFormat="1" ht="25.5" x14ac:dyDescent="0.2">
      <c r="A15" s="32">
        <v>11</v>
      </c>
      <c r="B15" s="33" t="s">
        <v>56</v>
      </c>
      <c r="C15" s="34">
        <v>3882</v>
      </c>
      <c r="D15" s="30">
        <v>2</v>
      </c>
      <c r="E15" s="64">
        <v>14.8</v>
      </c>
      <c r="F15" s="64"/>
      <c r="G15" s="35">
        <v>11.7</v>
      </c>
      <c r="I15" s="32">
        <v>11</v>
      </c>
      <c r="J15" s="33" t="s">
        <v>56</v>
      </c>
      <c r="K15" s="34">
        <v>3564</v>
      </c>
      <c r="L15" s="30">
        <v>2</v>
      </c>
      <c r="M15" s="64">
        <v>13.5</v>
      </c>
      <c r="N15" s="64"/>
      <c r="O15" s="35">
        <v>9.4</v>
      </c>
      <c r="Q15" s="32">
        <v>11</v>
      </c>
      <c r="R15" s="33" t="s">
        <v>54</v>
      </c>
      <c r="S15" s="34">
        <v>7434</v>
      </c>
      <c r="T15" s="30">
        <v>2</v>
      </c>
      <c r="U15" s="64">
        <v>14.1</v>
      </c>
      <c r="V15" s="64"/>
      <c r="W15" s="35">
        <v>10.3</v>
      </c>
    </row>
    <row r="16" spans="1:23" s="25" customFormat="1" ht="25.5" x14ac:dyDescent="0.2">
      <c r="A16" s="32">
        <v>12</v>
      </c>
      <c r="B16" s="33" t="s">
        <v>58</v>
      </c>
      <c r="C16" s="34">
        <v>3731</v>
      </c>
      <c r="D16" s="30">
        <v>1.9</v>
      </c>
      <c r="E16" s="64">
        <v>14.3</v>
      </c>
      <c r="F16" s="64"/>
      <c r="G16" s="35">
        <v>11.3</v>
      </c>
      <c r="I16" s="32">
        <v>12</v>
      </c>
      <c r="J16" s="33" t="s">
        <v>57</v>
      </c>
      <c r="K16" s="34">
        <v>3530</v>
      </c>
      <c r="L16" s="30">
        <v>2</v>
      </c>
      <c r="M16" s="64">
        <v>13.3</v>
      </c>
      <c r="N16" s="64"/>
      <c r="O16" s="35">
        <v>8.9</v>
      </c>
      <c r="Q16" s="32">
        <v>12</v>
      </c>
      <c r="R16" s="33" t="s">
        <v>52</v>
      </c>
      <c r="S16" s="34">
        <v>6811</v>
      </c>
      <c r="T16" s="30">
        <v>1.8</v>
      </c>
      <c r="U16" s="64">
        <v>12.9</v>
      </c>
      <c r="V16" s="64"/>
      <c r="W16" s="35">
        <v>9.5</v>
      </c>
    </row>
    <row r="17" spans="1:23" s="25" customFormat="1" ht="25.5" x14ac:dyDescent="0.2">
      <c r="A17" s="32">
        <v>13</v>
      </c>
      <c r="B17" s="33" t="s">
        <v>52</v>
      </c>
      <c r="C17" s="34">
        <v>3541</v>
      </c>
      <c r="D17" s="30">
        <v>1.8</v>
      </c>
      <c r="E17" s="64">
        <v>13.5</v>
      </c>
      <c r="F17" s="64"/>
      <c r="G17" s="35">
        <v>10.8</v>
      </c>
      <c r="I17" s="32">
        <v>13</v>
      </c>
      <c r="J17" s="33" t="s">
        <v>55</v>
      </c>
      <c r="K17" s="34">
        <v>3516</v>
      </c>
      <c r="L17" s="30">
        <v>2</v>
      </c>
      <c r="M17" s="64">
        <v>13.3</v>
      </c>
      <c r="N17" s="64"/>
      <c r="O17" s="35">
        <v>9.5</v>
      </c>
      <c r="Q17" s="32">
        <v>13</v>
      </c>
      <c r="R17" s="33" t="s">
        <v>58</v>
      </c>
      <c r="S17" s="34">
        <v>6749</v>
      </c>
      <c r="T17" s="30">
        <v>1.8</v>
      </c>
      <c r="U17" s="64">
        <v>12.8</v>
      </c>
      <c r="V17" s="64"/>
      <c r="W17" s="35">
        <v>9.5</v>
      </c>
    </row>
    <row r="18" spans="1:23" s="25" customFormat="1" ht="25.5" x14ac:dyDescent="0.2">
      <c r="A18" s="32">
        <v>14</v>
      </c>
      <c r="B18" s="33" t="s">
        <v>54</v>
      </c>
      <c r="C18" s="34">
        <v>3324</v>
      </c>
      <c r="D18" s="30">
        <v>1.7</v>
      </c>
      <c r="E18" s="64">
        <v>12.7</v>
      </c>
      <c r="F18" s="64"/>
      <c r="G18" s="35">
        <v>10.1</v>
      </c>
      <c r="I18" s="32">
        <v>14</v>
      </c>
      <c r="J18" s="33" t="s">
        <v>59</v>
      </c>
      <c r="K18" s="34">
        <v>3384</v>
      </c>
      <c r="L18" s="30">
        <v>1.9</v>
      </c>
      <c r="M18" s="64">
        <v>12.8</v>
      </c>
      <c r="N18" s="64"/>
      <c r="O18" s="35">
        <v>8.6</v>
      </c>
      <c r="Q18" s="32">
        <v>14</v>
      </c>
      <c r="R18" s="33" t="s">
        <v>48</v>
      </c>
      <c r="S18" s="34">
        <v>6594</v>
      </c>
      <c r="T18" s="30">
        <v>1.8</v>
      </c>
      <c r="U18" s="64">
        <v>12.5</v>
      </c>
      <c r="V18" s="64"/>
      <c r="W18" s="35">
        <v>9.6999999999999993</v>
      </c>
    </row>
    <row r="19" spans="1:23" s="25" customFormat="1" ht="25.5" x14ac:dyDescent="0.2">
      <c r="A19" s="32">
        <v>15</v>
      </c>
      <c r="B19" s="33" t="s">
        <v>62</v>
      </c>
      <c r="C19" s="34">
        <v>3272</v>
      </c>
      <c r="D19" s="30">
        <v>1.7</v>
      </c>
      <c r="E19" s="64">
        <v>12.5</v>
      </c>
      <c r="F19" s="64"/>
      <c r="G19" s="35">
        <v>9.8000000000000007</v>
      </c>
      <c r="I19" s="32">
        <v>15</v>
      </c>
      <c r="J19" s="33" t="s">
        <v>52</v>
      </c>
      <c r="K19" s="34">
        <v>3270</v>
      </c>
      <c r="L19" s="30">
        <v>1.8</v>
      </c>
      <c r="M19" s="64">
        <v>12.4</v>
      </c>
      <c r="N19" s="64"/>
      <c r="O19" s="35">
        <v>8.3000000000000007</v>
      </c>
      <c r="Q19" s="32">
        <v>15</v>
      </c>
      <c r="R19" s="33" t="s">
        <v>55</v>
      </c>
      <c r="S19" s="34">
        <v>6593</v>
      </c>
      <c r="T19" s="30">
        <v>1.8</v>
      </c>
      <c r="U19" s="64">
        <v>12.5</v>
      </c>
      <c r="V19" s="64"/>
      <c r="W19" s="35">
        <v>9.8000000000000007</v>
      </c>
    </row>
    <row r="20" spans="1:23" s="25" customFormat="1" ht="25.5" x14ac:dyDescent="0.2">
      <c r="A20" s="32">
        <v>16</v>
      </c>
      <c r="B20" s="33" t="s">
        <v>60</v>
      </c>
      <c r="C20" s="34">
        <v>3102</v>
      </c>
      <c r="D20" s="30">
        <v>1.6</v>
      </c>
      <c r="E20" s="64">
        <v>11.9</v>
      </c>
      <c r="F20" s="64"/>
      <c r="G20" s="35">
        <v>10</v>
      </c>
      <c r="I20" s="32">
        <v>16</v>
      </c>
      <c r="J20" s="33" t="s">
        <v>58</v>
      </c>
      <c r="K20" s="34">
        <v>3018</v>
      </c>
      <c r="L20" s="30">
        <v>1.7</v>
      </c>
      <c r="M20" s="64">
        <v>11.4</v>
      </c>
      <c r="N20" s="64"/>
      <c r="O20" s="35">
        <v>8</v>
      </c>
      <c r="Q20" s="32">
        <v>16</v>
      </c>
      <c r="R20" s="33" t="s">
        <v>53</v>
      </c>
      <c r="S20" s="34">
        <v>6394</v>
      </c>
      <c r="T20" s="30">
        <v>1.7</v>
      </c>
      <c r="U20" s="64">
        <v>12.2</v>
      </c>
      <c r="V20" s="64"/>
      <c r="W20" s="35">
        <v>11.8</v>
      </c>
    </row>
    <row r="21" spans="1:23" s="25" customFormat="1" ht="12.75" x14ac:dyDescent="0.2">
      <c r="A21" s="32">
        <v>17</v>
      </c>
      <c r="B21" s="33" t="s">
        <v>64</v>
      </c>
      <c r="C21" s="34">
        <v>3088</v>
      </c>
      <c r="D21" s="30">
        <v>1.6</v>
      </c>
      <c r="E21" s="64">
        <v>11.8</v>
      </c>
      <c r="F21" s="64"/>
      <c r="G21" s="35">
        <v>9.3000000000000007</v>
      </c>
      <c r="I21" s="32">
        <v>17</v>
      </c>
      <c r="J21" s="33" t="s">
        <v>63</v>
      </c>
      <c r="K21" s="34">
        <v>2619</v>
      </c>
      <c r="L21" s="30">
        <v>1.5</v>
      </c>
      <c r="M21" s="64">
        <v>9.9</v>
      </c>
      <c r="N21" s="64"/>
      <c r="O21" s="35">
        <v>6.7</v>
      </c>
      <c r="Q21" s="32">
        <v>17</v>
      </c>
      <c r="R21" s="33" t="s">
        <v>57</v>
      </c>
      <c r="S21" s="34">
        <v>5794</v>
      </c>
      <c r="T21" s="30">
        <v>1.6</v>
      </c>
      <c r="U21" s="64">
        <v>11</v>
      </c>
      <c r="V21" s="64"/>
      <c r="W21" s="35">
        <v>8</v>
      </c>
    </row>
    <row r="22" spans="1:23" s="25" customFormat="1" ht="25.5" x14ac:dyDescent="0.2">
      <c r="A22" s="32">
        <v>18</v>
      </c>
      <c r="B22" s="33" t="s">
        <v>55</v>
      </c>
      <c r="C22" s="34">
        <v>3077</v>
      </c>
      <c r="D22" s="30">
        <v>1.6</v>
      </c>
      <c r="E22" s="64">
        <v>11.8</v>
      </c>
      <c r="F22" s="64"/>
      <c r="G22" s="35">
        <v>9.9</v>
      </c>
      <c r="I22" s="32">
        <v>18</v>
      </c>
      <c r="J22" s="33" t="s">
        <v>61</v>
      </c>
      <c r="K22" s="34">
        <v>2607</v>
      </c>
      <c r="L22" s="30">
        <v>1.5</v>
      </c>
      <c r="M22" s="64">
        <v>9.8000000000000007</v>
      </c>
      <c r="N22" s="64"/>
      <c r="O22" s="35">
        <v>6.7</v>
      </c>
      <c r="Q22" s="32">
        <v>18</v>
      </c>
      <c r="R22" s="33" t="s">
        <v>59</v>
      </c>
      <c r="S22" s="34">
        <v>5617</v>
      </c>
      <c r="T22" s="30">
        <v>1.5</v>
      </c>
      <c r="U22" s="64">
        <v>10.7</v>
      </c>
      <c r="V22" s="64"/>
      <c r="W22" s="35">
        <v>7.8</v>
      </c>
    </row>
    <row r="23" spans="1:23" s="25" customFormat="1" ht="12.75" x14ac:dyDescent="0.2">
      <c r="A23" s="32">
        <v>19</v>
      </c>
      <c r="B23" s="33" t="s">
        <v>83</v>
      </c>
      <c r="C23" s="34">
        <v>2652</v>
      </c>
      <c r="D23" s="30">
        <v>1.4</v>
      </c>
      <c r="E23" s="64">
        <v>10.1</v>
      </c>
      <c r="F23" s="64"/>
      <c r="G23" s="35">
        <v>8.1</v>
      </c>
      <c r="I23" s="32">
        <v>19</v>
      </c>
      <c r="J23" s="33" t="s">
        <v>66</v>
      </c>
      <c r="K23" s="34">
        <v>2116</v>
      </c>
      <c r="L23" s="30">
        <v>1.2</v>
      </c>
      <c r="M23" s="64">
        <v>8</v>
      </c>
      <c r="N23" s="64"/>
      <c r="O23" s="35">
        <v>5.8</v>
      </c>
      <c r="Q23" s="32">
        <v>19</v>
      </c>
      <c r="R23" s="33" t="s">
        <v>63</v>
      </c>
      <c r="S23" s="34">
        <v>5229</v>
      </c>
      <c r="T23" s="30">
        <v>1.4</v>
      </c>
      <c r="U23" s="64">
        <v>9.9</v>
      </c>
      <c r="V23" s="64"/>
      <c r="W23" s="35">
        <v>7.2</v>
      </c>
    </row>
    <row r="24" spans="1:23" s="25" customFormat="1" ht="25.5" x14ac:dyDescent="0.2">
      <c r="A24" s="32">
        <v>20</v>
      </c>
      <c r="B24" s="33" t="s">
        <v>63</v>
      </c>
      <c r="C24" s="34">
        <v>2610</v>
      </c>
      <c r="D24" s="30">
        <v>1.3</v>
      </c>
      <c r="E24" s="64">
        <v>10</v>
      </c>
      <c r="F24" s="64"/>
      <c r="G24" s="35">
        <v>7.9</v>
      </c>
      <c r="I24" s="32">
        <v>20</v>
      </c>
      <c r="J24" s="33" t="s">
        <v>65</v>
      </c>
      <c r="K24" s="34">
        <v>2092</v>
      </c>
      <c r="L24" s="30">
        <v>1.2</v>
      </c>
      <c r="M24" s="64">
        <v>7.9</v>
      </c>
      <c r="N24" s="64"/>
      <c r="O24" s="35">
        <v>5.4</v>
      </c>
      <c r="Q24" s="32">
        <v>20</v>
      </c>
      <c r="R24" s="33" t="s">
        <v>62</v>
      </c>
      <c r="S24" s="34">
        <v>5059</v>
      </c>
      <c r="T24" s="30">
        <v>1.4</v>
      </c>
      <c r="U24" s="64">
        <v>9.6</v>
      </c>
      <c r="V24" s="64"/>
      <c r="W24" s="35">
        <v>7</v>
      </c>
    </row>
    <row r="25" spans="1:23" s="43" customFormat="1" ht="15" customHeight="1" x14ac:dyDescent="0.2">
      <c r="A25" s="464"/>
      <c r="B25" s="3" t="s">
        <v>569</v>
      </c>
      <c r="C25" s="352">
        <v>125602</v>
      </c>
      <c r="D25" s="350">
        <v>64</v>
      </c>
      <c r="E25" s="349">
        <v>480.3</v>
      </c>
      <c r="F25" s="349"/>
      <c r="G25" s="465" t="s">
        <v>70</v>
      </c>
      <c r="I25" s="464"/>
      <c r="J25" s="3" t="s">
        <v>569</v>
      </c>
      <c r="K25" s="352">
        <v>118846</v>
      </c>
      <c r="L25" s="350">
        <v>67.099999999999994</v>
      </c>
      <c r="M25" s="349">
        <v>448.9</v>
      </c>
      <c r="N25" s="349"/>
      <c r="O25" s="465" t="s">
        <v>70</v>
      </c>
      <c r="Q25" s="464"/>
      <c r="R25" s="3" t="s">
        <v>569</v>
      </c>
      <c r="S25" s="352">
        <v>236685</v>
      </c>
      <c r="T25" s="350">
        <v>63.4</v>
      </c>
      <c r="U25" s="349">
        <v>449.8</v>
      </c>
      <c r="V25" s="349"/>
      <c r="W25" s="465" t="s">
        <v>70</v>
      </c>
    </row>
    <row r="26" spans="1:23" s="54" customFormat="1" ht="15" customHeight="1" x14ac:dyDescent="0.2">
      <c r="A26" s="466"/>
      <c r="B26" s="467" t="s">
        <v>67</v>
      </c>
      <c r="C26" s="357">
        <v>196115</v>
      </c>
      <c r="D26" s="468">
        <v>100</v>
      </c>
      <c r="E26" s="326">
        <v>750</v>
      </c>
      <c r="F26" s="326">
        <v>79.8</v>
      </c>
      <c r="G26" s="469">
        <v>605.29999999999995</v>
      </c>
      <c r="I26" s="466"/>
      <c r="J26" s="467" t="s">
        <v>67</v>
      </c>
      <c r="K26" s="357">
        <v>177204</v>
      </c>
      <c r="L26" s="468">
        <v>100</v>
      </c>
      <c r="M26" s="326">
        <v>669.4</v>
      </c>
      <c r="N26" s="326">
        <v>85</v>
      </c>
      <c r="O26" s="469">
        <v>468.4</v>
      </c>
      <c r="Q26" s="466"/>
      <c r="R26" s="467" t="s">
        <v>67</v>
      </c>
      <c r="S26" s="357">
        <v>373319</v>
      </c>
      <c r="T26" s="468">
        <v>100</v>
      </c>
      <c r="U26" s="326">
        <v>709.4</v>
      </c>
      <c r="V26" s="326">
        <v>82.3</v>
      </c>
      <c r="W26" s="469">
        <v>534</v>
      </c>
    </row>
    <row r="27" spans="1:23" ht="15" customHeight="1" x14ac:dyDescent="0.2">
      <c r="A27" s="74" t="s">
        <v>238</v>
      </c>
      <c r="B27" s="75"/>
      <c r="C27" s="76"/>
      <c r="D27" s="77"/>
      <c r="E27" s="77"/>
      <c r="F27" s="77"/>
      <c r="G27" s="78"/>
    </row>
    <row r="28" spans="1:23" ht="15" customHeight="1" x14ac:dyDescent="0.2">
      <c r="A28" s="95" t="s">
        <v>239</v>
      </c>
      <c r="B28" s="85"/>
      <c r="C28" s="86"/>
      <c r="D28" s="87"/>
      <c r="E28" s="87"/>
      <c r="F28" s="87"/>
      <c r="G28" s="89"/>
    </row>
    <row r="29" spans="1:23" s="28" customFormat="1" ht="15" customHeight="1" x14ac:dyDescent="0.2">
      <c r="A29" s="84" t="s">
        <v>4</v>
      </c>
      <c r="B29" s="85"/>
      <c r="C29" s="88"/>
      <c r="D29" s="89"/>
      <c r="E29" s="87"/>
      <c r="F29" s="87"/>
      <c r="G29" s="89"/>
    </row>
    <row r="30" spans="1:23" ht="27.95" customHeight="1" x14ac:dyDescent="0.2">
      <c r="A30" s="617" t="s">
        <v>240</v>
      </c>
      <c r="B30" s="617"/>
      <c r="C30" s="617"/>
      <c r="D30" s="617"/>
      <c r="E30" s="617"/>
      <c r="F30" s="617"/>
      <c r="G30" s="617"/>
      <c r="H30" s="603"/>
      <c r="I30" s="603"/>
      <c r="J30" s="603"/>
      <c r="K30" s="603"/>
      <c r="L30" s="603"/>
      <c r="M30" s="603"/>
      <c r="N30" s="603"/>
      <c r="O30" s="603"/>
    </row>
    <row r="31" spans="1:23" ht="15" customHeight="1" x14ac:dyDescent="0.2">
      <c r="A31" s="617" t="s">
        <v>241</v>
      </c>
      <c r="B31" s="603"/>
      <c r="C31" s="603"/>
      <c r="D31" s="603"/>
      <c r="E31" s="603"/>
      <c r="F31" s="603"/>
      <c r="G31" s="603"/>
      <c r="H31" s="603"/>
      <c r="I31" s="603"/>
      <c r="J31" s="603"/>
      <c r="K31" s="603"/>
      <c r="L31" s="603"/>
      <c r="M31" s="603"/>
      <c r="N31" s="603"/>
      <c r="O31" s="603"/>
    </row>
    <row r="32" spans="1:23" ht="27.95" customHeight="1" x14ac:dyDescent="0.2">
      <c r="A32" s="617" t="s">
        <v>522</v>
      </c>
      <c r="B32" s="620"/>
      <c r="C32" s="620"/>
      <c r="D32" s="620"/>
      <c r="E32" s="620"/>
      <c r="F32" s="620"/>
      <c r="G32" s="620"/>
      <c r="H32" s="603"/>
      <c r="I32" s="603"/>
      <c r="J32" s="603"/>
      <c r="K32" s="603"/>
      <c r="L32" s="603"/>
      <c r="M32" s="603"/>
      <c r="N32" s="603"/>
      <c r="O32" s="603"/>
    </row>
    <row r="33" spans="1:15" ht="27.95" customHeight="1" x14ac:dyDescent="0.2">
      <c r="A33" s="617" t="s">
        <v>243</v>
      </c>
      <c r="B33" s="620"/>
      <c r="C33" s="620"/>
      <c r="D33" s="620"/>
      <c r="E33" s="620"/>
      <c r="F33" s="620"/>
      <c r="G33" s="620"/>
      <c r="H33" s="603"/>
      <c r="I33" s="603"/>
      <c r="J33" s="603"/>
      <c r="K33" s="603"/>
      <c r="L33" s="603"/>
      <c r="M33" s="603"/>
      <c r="N33" s="603"/>
      <c r="O33" s="603"/>
    </row>
    <row r="34" spans="1:15" ht="27.95" customHeight="1" x14ac:dyDescent="0.2">
      <c r="A34" s="617" t="s">
        <v>244</v>
      </c>
      <c r="B34" s="617"/>
      <c r="C34" s="617"/>
      <c r="D34" s="617"/>
      <c r="E34" s="617"/>
      <c r="F34" s="617"/>
      <c r="G34" s="617"/>
      <c r="H34" s="603"/>
      <c r="I34" s="603"/>
      <c r="J34" s="603"/>
      <c r="K34" s="603"/>
      <c r="L34" s="603"/>
      <c r="M34" s="603"/>
      <c r="N34" s="603"/>
      <c r="O34" s="603"/>
    </row>
    <row r="35" spans="1:15" s="29" customFormat="1" ht="15" customHeight="1" x14ac:dyDescent="0.2">
      <c r="A35" s="92" t="s">
        <v>245</v>
      </c>
      <c r="B35" s="101"/>
      <c r="C35" s="90"/>
      <c r="D35" s="91"/>
      <c r="E35" s="91"/>
      <c r="F35" s="91"/>
    </row>
    <row r="36" spans="1:15" s="29" customFormat="1" ht="15" customHeight="1" x14ac:dyDescent="0.2">
      <c r="A36" s="95" t="s">
        <v>99</v>
      </c>
      <c r="B36" s="85"/>
      <c r="C36" s="86"/>
      <c r="D36" s="87"/>
      <c r="E36" s="87"/>
      <c r="F36" s="87"/>
      <c r="G36" s="89"/>
    </row>
  </sheetData>
  <mergeCells count="8">
    <mergeCell ref="A32:O32"/>
    <mergeCell ref="A33:O33"/>
    <mergeCell ref="A34:O34"/>
    <mergeCell ref="A3:G3"/>
    <mergeCell ref="I3:O3"/>
    <mergeCell ref="Q3:W3"/>
    <mergeCell ref="A30:O30"/>
    <mergeCell ref="A31:O31"/>
  </mergeCells>
  <hyperlinks>
    <hyperlink ref="A2" location="Contents!A1" display="Back to contents" xr:uid="{F28D3880-9ABD-49B0-B4B1-219957E2C2DF}"/>
  </hyperlinks>
  <pageMargins left="0.7" right="0.7" top="0.75" bottom="0.75" header="0.3" footer="0.3"/>
  <pageSetup paperSize="9" orientation="portrait" horizontalDpi="4294967292"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6C39C-1994-4888-A6F2-7EE33CA5683E}">
  <dimension ref="A1:U65"/>
  <sheetViews>
    <sheetView showGridLines="0" zoomScaleNormal="100" workbookViewId="0">
      <pane ySplit="4" topLeftCell="A5" activePane="bottomLeft" state="frozen"/>
      <selection activeCell="M33" sqref="M33:N33"/>
      <selection pane="bottomLeft" activeCell="A5" sqref="A5"/>
    </sheetView>
  </sheetViews>
  <sheetFormatPr defaultRowHeight="15" customHeight="1" x14ac:dyDescent="0.2"/>
  <cols>
    <col min="1" max="1" width="20.125" style="92" customWidth="1"/>
    <col min="2" max="2" width="35.625" style="101" customWidth="1"/>
    <col min="3" max="3" width="7.625" style="90" customWidth="1"/>
    <col min="4" max="4" width="7.625" style="91" customWidth="1"/>
    <col min="5" max="6" width="9.625" style="91" customWidth="1"/>
    <col min="7" max="7" width="2.625" style="12" customWidth="1"/>
    <col min="8" max="8" width="9.625" style="92" customWidth="1"/>
    <col min="9" max="9" width="35.625" style="101" customWidth="1"/>
    <col min="10" max="10" width="7.625" style="90" customWidth="1"/>
    <col min="11" max="11" width="7.625" style="91" customWidth="1"/>
    <col min="12" max="13" width="9.625" style="91" customWidth="1"/>
    <col min="14" max="14" width="2.625" style="12" customWidth="1"/>
    <col min="15" max="15" width="9.625" style="92" customWidth="1"/>
    <col min="16" max="16" width="35.625" style="101" customWidth="1"/>
    <col min="17" max="17" width="7.625" style="90" customWidth="1"/>
    <col min="18" max="18" width="7.625" style="91" customWidth="1"/>
    <col min="19" max="20" width="9.625" style="91" customWidth="1"/>
    <col min="21" max="259" width="9" style="12"/>
    <col min="260" max="260" width="8.5" style="12" customWidth="1"/>
    <col min="261" max="261" width="40" style="12" customWidth="1"/>
    <col min="262" max="262" width="6.375" style="12" bestFit="1" customWidth="1"/>
    <col min="263" max="263" width="6.625" style="12" bestFit="1" customWidth="1"/>
    <col min="264" max="264" width="8.25" style="12" bestFit="1" customWidth="1"/>
    <col min="265" max="265" width="4.125" style="12" customWidth="1"/>
    <col min="266" max="266" width="8.5" style="12" customWidth="1"/>
    <col min="267" max="267" width="40" style="12" customWidth="1"/>
    <col min="268" max="268" width="6.375" style="12" customWidth="1"/>
    <col min="269" max="269" width="6.625" style="12" bestFit="1" customWidth="1"/>
    <col min="270" max="270" width="8.25" style="12" bestFit="1" customWidth="1"/>
    <col min="271" max="271" width="4.125" style="12" customWidth="1"/>
    <col min="272" max="272" width="8.5" style="12" customWidth="1"/>
    <col min="273" max="273" width="40" style="12" customWidth="1"/>
    <col min="274" max="274" width="6.375" style="12" customWidth="1"/>
    <col min="275" max="275" width="6.625" style="12" bestFit="1" customWidth="1"/>
    <col min="276" max="276" width="8.25" style="12" bestFit="1" customWidth="1"/>
    <col min="277" max="515" width="9" style="12"/>
    <col min="516" max="516" width="8.5" style="12" customWidth="1"/>
    <col min="517" max="517" width="40" style="12" customWidth="1"/>
    <col min="518" max="518" width="6.375" style="12" bestFit="1" customWidth="1"/>
    <col min="519" max="519" width="6.625" style="12" bestFit="1" customWidth="1"/>
    <col min="520" max="520" width="8.25" style="12" bestFit="1" customWidth="1"/>
    <col min="521" max="521" width="4.125" style="12" customWidth="1"/>
    <col min="522" max="522" width="8.5" style="12" customWidth="1"/>
    <col min="523" max="523" width="40" style="12" customWidth="1"/>
    <col min="524" max="524" width="6.375" style="12" customWidth="1"/>
    <col min="525" max="525" width="6.625" style="12" bestFit="1" customWidth="1"/>
    <col min="526" max="526" width="8.25" style="12" bestFit="1" customWidth="1"/>
    <col min="527" max="527" width="4.125" style="12" customWidth="1"/>
    <col min="528" max="528" width="8.5" style="12" customWidth="1"/>
    <col min="529" max="529" width="40" style="12" customWidth="1"/>
    <col min="530" max="530" width="6.375" style="12" customWidth="1"/>
    <col min="531" max="531" width="6.625" style="12" bestFit="1" customWidth="1"/>
    <col min="532" max="532" width="8.25" style="12" bestFit="1" customWidth="1"/>
    <col min="533" max="771" width="9" style="12"/>
    <col min="772" max="772" width="8.5" style="12" customWidth="1"/>
    <col min="773" max="773" width="40" style="12" customWidth="1"/>
    <col min="774" max="774" width="6.375" style="12" bestFit="1" customWidth="1"/>
    <col min="775" max="775" width="6.625" style="12" bestFit="1" customWidth="1"/>
    <col min="776" max="776" width="8.25" style="12" bestFit="1" customWidth="1"/>
    <col min="777" max="777" width="4.125" style="12" customWidth="1"/>
    <col min="778" max="778" width="8.5" style="12" customWidth="1"/>
    <col min="779" max="779" width="40" style="12" customWidth="1"/>
    <col min="780" max="780" width="6.375" style="12" customWidth="1"/>
    <col min="781" max="781" width="6.625" style="12" bestFit="1" customWidth="1"/>
    <col min="782" max="782" width="8.25" style="12" bestFit="1" customWidth="1"/>
    <col min="783" max="783" width="4.125" style="12" customWidth="1"/>
    <col min="784" max="784" width="8.5" style="12" customWidth="1"/>
    <col min="785" max="785" width="40" style="12" customWidth="1"/>
    <col min="786" max="786" width="6.375" style="12" customWidth="1"/>
    <col min="787" max="787" width="6.625" style="12" bestFit="1" customWidth="1"/>
    <col min="788" max="788" width="8.25" style="12" bestFit="1" customWidth="1"/>
    <col min="789" max="1027" width="9" style="12"/>
    <col min="1028" max="1028" width="8.5" style="12" customWidth="1"/>
    <col min="1029" max="1029" width="40" style="12" customWidth="1"/>
    <col min="1030" max="1030" width="6.375" style="12" bestFit="1" customWidth="1"/>
    <col min="1031" max="1031" width="6.625" style="12" bestFit="1" customWidth="1"/>
    <col min="1032" max="1032" width="8.25" style="12" bestFit="1" customWidth="1"/>
    <col min="1033" max="1033" width="4.125" style="12" customWidth="1"/>
    <col min="1034" max="1034" width="8.5" style="12" customWidth="1"/>
    <col min="1035" max="1035" width="40" style="12" customWidth="1"/>
    <col min="1036" max="1036" width="6.375" style="12" customWidth="1"/>
    <col min="1037" max="1037" width="6.625" style="12" bestFit="1" customWidth="1"/>
    <col min="1038" max="1038" width="8.25" style="12" bestFit="1" customWidth="1"/>
    <col min="1039" max="1039" width="4.125" style="12" customWidth="1"/>
    <col min="1040" max="1040" width="8.5" style="12" customWidth="1"/>
    <col min="1041" max="1041" width="40" style="12" customWidth="1"/>
    <col min="1042" max="1042" width="6.375" style="12" customWidth="1"/>
    <col min="1043" max="1043" width="6.625" style="12" bestFit="1" customWidth="1"/>
    <col min="1044" max="1044" width="8.25" style="12" bestFit="1" customWidth="1"/>
    <col min="1045" max="1283" width="9" style="12"/>
    <col min="1284" max="1284" width="8.5" style="12" customWidth="1"/>
    <col min="1285" max="1285" width="40" style="12" customWidth="1"/>
    <col min="1286" max="1286" width="6.375" style="12" bestFit="1" customWidth="1"/>
    <col min="1287" max="1287" width="6.625" style="12" bestFit="1" customWidth="1"/>
    <col min="1288" max="1288" width="8.25" style="12" bestFit="1" customWidth="1"/>
    <col min="1289" max="1289" width="4.125" style="12" customWidth="1"/>
    <col min="1290" max="1290" width="8.5" style="12" customWidth="1"/>
    <col min="1291" max="1291" width="40" style="12" customWidth="1"/>
    <col min="1292" max="1292" width="6.375" style="12" customWidth="1"/>
    <col min="1293" max="1293" width="6.625" style="12" bestFit="1" customWidth="1"/>
    <col min="1294" max="1294" width="8.25" style="12" bestFit="1" customWidth="1"/>
    <col min="1295" max="1295" width="4.125" style="12" customWidth="1"/>
    <col min="1296" max="1296" width="8.5" style="12" customWidth="1"/>
    <col min="1297" max="1297" width="40" style="12" customWidth="1"/>
    <col min="1298" max="1298" width="6.375" style="12" customWidth="1"/>
    <col min="1299" max="1299" width="6.625" style="12" bestFit="1" customWidth="1"/>
    <col min="1300" max="1300" width="8.25" style="12" bestFit="1" customWidth="1"/>
    <col min="1301" max="1539" width="9" style="12"/>
    <col min="1540" max="1540" width="8.5" style="12" customWidth="1"/>
    <col min="1541" max="1541" width="40" style="12" customWidth="1"/>
    <col min="1542" max="1542" width="6.375" style="12" bestFit="1" customWidth="1"/>
    <col min="1543" max="1543" width="6.625" style="12" bestFit="1" customWidth="1"/>
    <col min="1544" max="1544" width="8.25" style="12" bestFit="1" customWidth="1"/>
    <col min="1545" max="1545" width="4.125" style="12" customWidth="1"/>
    <col min="1546" max="1546" width="8.5" style="12" customWidth="1"/>
    <col min="1547" max="1547" width="40" style="12" customWidth="1"/>
    <col min="1548" max="1548" width="6.375" style="12" customWidth="1"/>
    <col min="1549" max="1549" width="6.625" style="12" bestFit="1" customWidth="1"/>
    <col min="1550" max="1550" width="8.25" style="12" bestFit="1" customWidth="1"/>
    <col min="1551" max="1551" width="4.125" style="12" customWidth="1"/>
    <col min="1552" max="1552" width="8.5" style="12" customWidth="1"/>
    <col min="1553" max="1553" width="40" style="12" customWidth="1"/>
    <col min="1554" max="1554" width="6.375" style="12" customWidth="1"/>
    <col min="1555" max="1555" width="6.625" style="12" bestFit="1" customWidth="1"/>
    <col min="1556" max="1556" width="8.25" style="12" bestFit="1" customWidth="1"/>
    <col min="1557" max="1795" width="9" style="12"/>
    <col min="1796" max="1796" width="8.5" style="12" customWidth="1"/>
    <col min="1797" max="1797" width="40" style="12" customWidth="1"/>
    <col min="1798" max="1798" width="6.375" style="12" bestFit="1" customWidth="1"/>
    <col min="1799" max="1799" width="6.625" style="12" bestFit="1" customWidth="1"/>
    <col min="1800" max="1800" width="8.25" style="12" bestFit="1" customWidth="1"/>
    <col min="1801" max="1801" width="4.125" style="12" customWidth="1"/>
    <col min="1802" max="1802" width="8.5" style="12" customWidth="1"/>
    <col min="1803" max="1803" width="40" style="12" customWidth="1"/>
    <col min="1804" max="1804" width="6.375" style="12" customWidth="1"/>
    <col min="1805" max="1805" width="6.625" style="12" bestFit="1" customWidth="1"/>
    <col min="1806" max="1806" width="8.25" style="12" bestFit="1" customWidth="1"/>
    <col min="1807" max="1807" width="4.125" style="12" customWidth="1"/>
    <col min="1808" max="1808" width="8.5" style="12" customWidth="1"/>
    <col min="1809" max="1809" width="40" style="12" customWidth="1"/>
    <col min="1810" max="1810" width="6.375" style="12" customWidth="1"/>
    <col min="1811" max="1811" width="6.625" style="12" bestFit="1" customWidth="1"/>
    <col min="1812" max="1812" width="8.25" style="12" bestFit="1" customWidth="1"/>
    <col min="1813" max="2051" width="9" style="12"/>
    <col min="2052" max="2052" width="8.5" style="12" customWidth="1"/>
    <col min="2053" max="2053" width="40" style="12" customWidth="1"/>
    <col min="2054" max="2054" width="6.375" style="12" bestFit="1" customWidth="1"/>
    <col min="2055" max="2055" width="6.625" style="12" bestFit="1" customWidth="1"/>
    <col min="2056" max="2056" width="8.25" style="12" bestFit="1" customWidth="1"/>
    <col min="2057" max="2057" width="4.125" style="12" customWidth="1"/>
    <col min="2058" max="2058" width="8.5" style="12" customWidth="1"/>
    <col min="2059" max="2059" width="40" style="12" customWidth="1"/>
    <col min="2060" max="2060" width="6.375" style="12" customWidth="1"/>
    <col min="2061" max="2061" width="6.625" style="12" bestFit="1" customWidth="1"/>
    <col min="2062" max="2062" width="8.25" style="12" bestFit="1" customWidth="1"/>
    <col min="2063" max="2063" width="4.125" style="12" customWidth="1"/>
    <col min="2064" max="2064" width="8.5" style="12" customWidth="1"/>
    <col min="2065" max="2065" width="40" style="12" customWidth="1"/>
    <col min="2066" max="2066" width="6.375" style="12" customWidth="1"/>
    <col min="2067" max="2067" width="6.625" style="12" bestFit="1" customWidth="1"/>
    <col min="2068" max="2068" width="8.25" style="12" bestFit="1" customWidth="1"/>
    <col min="2069" max="2307" width="9" style="12"/>
    <col min="2308" max="2308" width="8.5" style="12" customWidth="1"/>
    <col min="2309" max="2309" width="40" style="12" customWidth="1"/>
    <col min="2310" max="2310" width="6.375" style="12" bestFit="1" customWidth="1"/>
    <col min="2311" max="2311" width="6.625" style="12" bestFit="1" customWidth="1"/>
    <col min="2312" max="2312" width="8.25" style="12" bestFit="1" customWidth="1"/>
    <col min="2313" max="2313" width="4.125" style="12" customWidth="1"/>
    <col min="2314" max="2314" width="8.5" style="12" customWidth="1"/>
    <col min="2315" max="2315" width="40" style="12" customWidth="1"/>
    <col min="2316" max="2316" width="6.375" style="12" customWidth="1"/>
    <col min="2317" max="2317" width="6.625" style="12" bestFit="1" customWidth="1"/>
    <col min="2318" max="2318" width="8.25" style="12" bestFit="1" customWidth="1"/>
    <col min="2319" max="2319" width="4.125" style="12" customWidth="1"/>
    <col min="2320" max="2320" width="8.5" style="12" customWidth="1"/>
    <col min="2321" max="2321" width="40" style="12" customWidth="1"/>
    <col min="2322" max="2322" width="6.375" style="12" customWidth="1"/>
    <col min="2323" max="2323" width="6.625" style="12" bestFit="1" customWidth="1"/>
    <col min="2324" max="2324" width="8.25" style="12" bestFit="1" customWidth="1"/>
    <col min="2325" max="2563" width="9" style="12"/>
    <col min="2564" max="2564" width="8.5" style="12" customWidth="1"/>
    <col min="2565" max="2565" width="40" style="12" customWidth="1"/>
    <col min="2566" max="2566" width="6.375" style="12" bestFit="1" customWidth="1"/>
    <col min="2567" max="2567" width="6.625" style="12" bestFit="1" customWidth="1"/>
    <col min="2568" max="2568" width="8.25" style="12" bestFit="1" customWidth="1"/>
    <col min="2569" max="2569" width="4.125" style="12" customWidth="1"/>
    <col min="2570" max="2570" width="8.5" style="12" customWidth="1"/>
    <col min="2571" max="2571" width="40" style="12" customWidth="1"/>
    <col min="2572" max="2572" width="6.375" style="12" customWidth="1"/>
    <col min="2573" max="2573" width="6.625" style="12" bestFit="1" customWidth="1"/>
    <col min="2574" max="2574" width="8.25" style="12" bestFit="1" customWidth="1"/>
    <col min="2575" max="2575" width="4.125" style="12" customWidth="1"/>
    <col min="2576" max="2576" width="8.5" style="12" customWidth="1"/>
    <col min="2577" max="2577" width="40" style="12" customWidth="1"/>
    <col min="2578" max="2578" width="6.375" style="12" customWidth="1"/>
    <col min="2579" max="2579" width="6.625" style="12" bestFit="1" customWidth="1"/>
    <col min="2580" max="2580" width="8.25" style="12" bestFit="1" customWidth="1"/>
    <col min="2581" max="2819" width="9" style="12"/>
    <col min="2820" max="2820" width="8.5" style="12" customWidth="1"/>
    <col min="2821" max="2821" width="40" style="12" customWidth="1"/>
    <col min="2822" max="2822" width="6.375" style="12" bestFit="1" customWidth="1"/>
    <col min="2823" max="2823" width="6.625" style="12" bestFit="1" customWidth="1"/>
    <col min="2824" max="2824" width="8.25" style="12" bestFit="1" customWidth="1"/>
    <col min="2825" max="2825" width="4.125" style="12" customWidth="1"/>
    <col min="2826" max="2826" width="8.5" style="12" customWidth="1"/>
    <col min="2827" max="2827" width="40" style="12" customWidth="1"/>
    <col min="2828" max="2828" width="6.375" style="12" customWidth="1"/>
    <col min="2829" max="2829" width="6.625" style="12" bestFit="1" customWidth="1"/>
    <col min="2830" max="2830" width="8.25" style="12" bestFit="1" customWidth="1"/>
    <col min="2831" max="2831" width="4.125" style="12" customWidth="1"/>
    <col min="2832" max="2832" width="8.5" style="12" customWidth="1"/>
    <col min="2833" max="2833" width="40" style="12" customWidth="1"/>
    <col min="2834" max="2834" width="6.375" style="12" customWidth="1"/>
    <col min="2835" max="2835" width="6.625" style="12" bestFit="1" customWidth="1"/>
    <col min="2836" max="2836" width="8.25" style="12" bestFit="1" customWidth="1"/>
    <col min="2837" max="3075" width="9" style="12"/>
    <col min="3076" max="3076" width="8.5" style="12" customWidth="1"/>
    <col min="3077" max="3077" width="40" style="12" customWidth="1"/>
    <col min="3078" max="3078" width="6.375" style="12" bestFit="1" customWidth="1"/>
    <col min="3079" max="3079" width="6.625" style="12" bestFit="1" customWidth="1"/>
    <col min="3080" max="3080" width="8.25" style="12" bestFit="1" customWidth="1"/>
    <col min="3081" max="3081" width="4.125" style="12" customWidth="1"/>
    <col min="3082" max="3082" width="8.5" style="12" customWidth="1"/>
    <col min="3083" max="3083" width="40" style="12" customWidth="1"/>
    <col min="3084" max="3084" width="6.375" style="12" customWidth="1"/>
    <col min="3085" max="3085" width="6.625" style="12" bestFit="1" customWidth="1"/>
    <col min="3086" max="3086" width="8.25" style="12" bestFit="1" customWidth="1"/>
    <col min="3087" max="3087" width="4.125" style="12" customWidth="1"/>
    <col min="3088" max="3088" width="8.5" style="12" customWidth="1"/>
    <col min="3089" max="3089" width="40" style="12" customWidth="1"/>
    <col min="3090" max="3090" width="6.375" style="12" customWidth="1"/>
    <col min="3091" max="3091" width="6.625" style="12" bestFit="1" customWidth="1"/>
    <col min="3092" max="3092" width="8.25" style="12" bestFit="1" customWidth="1"/>
    <col min="3093" max="3331" width="9" style="12"/>
    <col min="3332" max="3332" width="8.5" style="12" customWidth="1"/>
    <col min="3333" max="3333" width="40" style="12" customWidth="1"/>
    <col min="3334" max="3334" width="6.375" style="12" bestFit="1" customWidth="1"/>
    <col min="3335" max="3335" width="6.625" style="12" bestFit="1" customWidth="1"/>
    <col min="3336" max="3336" width="8.25" style="12" bestFit="1" customWidth="1"/>
    <col min="3337" max="3337" width="4.125" style="12" customWidth="1"/>
    <col min="3338" max="3338" width="8.5" style="12" customWidth="1"/>
    <col min="3339" max="3339" width="40" style="12" customWidth="1"/>
    <col min="3340" max="3340" width="6.375" style="12" customWidth="1"/>
    <col min="3341" max="3341" width="6.625" style="12" bestFit="1" customWidth="1"/>
    <col min="3342" max="3342" width="8.25" style="12" bestFit="1" customWidth="1"/>
    <col min="3343" max="3343" width="4.125" style="12" customWidth="1"/>
    <col min="3344" max="3344" width="8.5" style="12" customWidth="1"/>
    <col min="3345" max="3345" width="40" style="12" customWidth="1"/>
    <col min="3346" max="3346" width="6.375" style="12" customWidth="1"/>
    <col min="3347" max="3347" width="6.625" style="12" bestFit="1" customWidth="1"/>
    <col min="3348" max="3348" width="8.25" style="12" bestFit="1" customWidth="1"/>
    <col min="3349" max="3587" width="9" style="12"/>
    <col min="3588" max="3588" width="8.5" style="12" customWidth="1"/>
    <col min="3589" max="3589" width="40" style="12" customWidth="1"/>
    <col min="3590" max="3590" width="6.375" style="12" bestFit="1" customWidth="1"/>
    <col min="3591" max="3591" width="6.625" style="12" bestFit="1" customWidth="1"/>
    <col min="3592" max="3592" width="8.25" style="12" bestFit="1" customWidth="1"/>
    <col min="3593" max="3593" width="4.125" style="12" customWidth="1"/>
    <col min="3594" max="3594" width="8.5" style="12" customWidth="1"/>
    <col min="3595" max="3595" width="40" style="12" customWidth="1"/>
    <col min="3596" max="3596" width="6.375" style="12" customWidth="1"/>
    <col min="3597" max="3597" width="6.625" style="12" bestFit="1" customWidth="1"/>
    <col min="3598" max="3598" width="8.25" style="12" bestFit="1" customWidth="1"/>
    <col min="3599" max="3599" width="4.125" style="12" customWidth="1"/>
    <col min="3600" max="3600" width="8.5" style="12" customWidth="1"/>
    <col min="3601" max="3601" width="40" style="12" customWidth="1"/>
    <col min="3602" max="3602" width="6.375" style="12" customWidth="1"/>
    <col min="3603" max="3603" width="6.625" style="12" bestFit="1" customWidth="1"/>
    <col min="3604" max="3604" width="8.25" style="12" bestFit="1" customWidth="1"/>
    <col min="3605" max="3843" width="9" style="12"/>
    <col min="3844" max="3844" width="8.5" style="12" customWidth="1"/>
    <col min="3845" max="3845" width="40" style="12" customWidth="1"/>
    <col min="3846" max="3846" width="6.375" style="12" bestFit="1" customWidth="1"/>
    <col min="3847" max="3847" width="6.625" style="12" bestFit="1" customWidth="1"/>
    <col min="3848" max="3848" width="8.25" style="12" bestFit="1" customWidth="1"/>
    <col min="3849" max="3849" width="4.125" style="12" customWidth="1"/>
    <col min="3850" max="3850" width="8.5" style="12" customWidth="1"/>
    <col min="3851" max="3851" width="40" style="12" customWidth="1"/>
    <col min="3852" max="3852" width="6.375" style="12" customWidth="1"/>
    <col min="3853" max="3853" width="6.625" style="12" bestFit="1" customWidth="1"/>
    <col min="3854" max="3854" width="8.25" style="12" bestFit="1" customWidth="1"/>
    <col min="3855" max="3855" width="4.125" style="12" customWidth="1"/>
    <col min="3856" max="3856" width="8.5" style="12" customWidth="1"/>
    <col min="3857" max="3857" width="40" style="12" customWidth="1"/>
    <col min="3858" max="3858" width="6.375" style="12" customWidth="1"/>
    <col min="3859" max="3859" width="6.625" style="12" bestFit="1" customWidth="1"/>
    <col min="3860" max="3860" width="8.25" style="12" bestFit="1" customWidth="1"/>
    <col min="3861" max="4099" width="9" style="12"/>
    <col min="4100" max="4100" width="8.5" style="12" customWidth="1"/>
    <col min="4101" max="4101" width="40" style="12" customWidth="1"/>
    <col min="4102" max="4102" width="6.375" style="12" bestFit="1" customWidth="1"/>
    <col min="4103" max="4103" width="6.625" style="12" bestFit="1" customWidth="1"/>
    <col min="4104" max="4104" width="8.25" style="12" bestFit="1" customWidth="1"/>
    <col min="4105" max="4105" width="4.125" style="12" customWidth="1"/>
    <col min="4106" max="4106" width="8.5" style="12" customWidth="1"/>
    <col min="4107" max="4107" width="40" style="12" customWidth="1"/>
    <col min="4108" max="4108" width="6.375" style="12" customWidth="1"/>
    <col min="4109" max="4109" width="6.625" style="12" bestFit="1" customWidth="1"/>
    <col min="4110" max="4110" width="8.25" style="12" bestFit="1" customWidth="1"/>
    <col min="4111" max="4111" width="4.125" style="12" customWidth="1"/>
    <col min="4112" max="4112" width="8.5" style="12" customWidth="1"/>
    <col min="4113" max="4113" width="40" style="12" customWidth="1"/>
    <col min="4114" max="4114" width="6.375" style="12" customWidth="1"/>
    <col min="4115" max="4115" width="6.625" style="12" bestFit="1" customWidth="1"/>
    <col min="4116" max="4116" width="8.25" style="12" bestFit="1" customWidth="1"/>
    <col min="4117" max="4355" width="9" style="12"/>
    <col min="4356" max="4356" width="8.5" style="12" customWidth="1"/>
    <col min="4357" max="4357" width="40" style="12" customWidth="1"/>
    <col min="4358" max="4358" width="6.375" style="12" bestFit="1" customWidth="1"/>
    <col min="4359" max="4359" width="6.625" style="12" bestFit="1" customWidth="1"/>
    <col min="4360" max="4360" width="8.25" style="12" bestFit="1" customWidth="1"/>
    <col min="4361" max="4361" width="4.125" style="12" customWidth="1"/>
    <col min="4362" max="4362" width="8.5" style="12" customWidth="1"/>
    <col min="4363" max="4363" width="40" style="12" customWidth="1"/>
    <col min="4364" max="4364" width="6.375" style="12" customWidth="1"/>
    <col min="4365" max="4365" width="6.625" style="12" bestFit="1" customWidth="1"/>
    <col min="4366" max="4366" width="8.25" style="12" bestFit="1" customWidth="1"/>
    <col min="4367" max="4367" width="4.125" style="12" customWidth="1"/>
    <col min="4368" max="4368" width="8.5" style="12" customWidth="1"/>
    <col min="4369" max="4369" width="40" style="12" customWidth="1"/>
    <col min="4370" max="4370" width="6.375" style="12" customWidth="1"/>
    <col min="4371" max="4371" width="6.625" style="12" bestFit="1" customWidth="1"/>
    <col min="4372" max="4372" width="8.25" style="12" bestFit="1" customWidth="1"/>
    <col min="4373" max="4611" width="9" style="12"/>
    <col min="4612" max="4612" width="8.5" style="12" customWidth="1"/>
    <col min="4613" max="4613" width="40" style="12" customWidth="1"/>
    <col min="4614" max="4614" width="6.375" style="12" bestFit="1" customWidth="1"/>
    <col min="4615" max="4615" width="6.625" style="12" bestFit="1" customWidth="1"/>
    <col min="4616" max="4616" width="8.25" style="12" bestFit="1" customWidth="1"/>
    <col min="4617" max="4617" width="4.125" style="12" customWidth="1"/>
    <col min="4618" max="4618" width="8.5" style="12" customWidth="1"/>
    <col min="4619" max="4619" width="40" style="12" customWidth="1"/>
    <col min="4620" max="4620" width="6.375" style="12" customWidth="1"/>
    <col min="4621" max="4621" width="6.625" style="12" bestFit="1" customWidth="1"/>
    <col min="4622" max="4622" width="8.25" style="12" bestFit="1" customWidth="1"/>
    <col min="4623" max="4623" width="4.125" style="12" customWidth="1"/>
    <col min="4624" max="4624" width="8.5" style="12" customWidth="1"/>
    <col min="4625" max="4625" width="40" style="12" customWidth="1"/>
    <col min="4626" max="4626" width="6.375" style="12" customWidth="1"/>
    <col min="4627" max="4627" width="6.625" style="12" bestFit="1" customWidth="1"/>
    <col min="4628" max="4628" width="8.25" style="12" bestFit="1" customWidth="1"/>
    <col min="4629" max="4867" width="9" style="12"/>
    <col min="4868" max="4868" width="8.5" style="12" customWidth="1"/>
    <col min="4869" max="4869" width="40" style="12" customWidth="1"/>
    <col min="4870" max="4870" width="6.375" style="12" bestFit="1" customWidth="1"/>
    <col min="4871" max="4871" width="6.625" style="12" bestFit="1" customWidth="1"/>
    <col min="4872" max="4872" width="8.25" style="12" bestFit="1" customWidth="1"/>
    <col min="4873" max="4873" width="4.125" style="12" customWidth="1"/>
    <col min="4874" max="4874" width="8.5" style="12" customWidth="1"/>
    <col min="4875" max="4875" width="40" style="12" customWidth="1"/>
    <col min="4876" max="4876" width="6.375" style="12" customWidth="1"/>
    <col min="4877" max="4877" width="6.625" style="12" bestFit="1" customWidth="1"/>
    <col min="4878" max="4878" width="8.25" style="12" bestFit="1" customWidth="1"/>
    <col min="4879" max="4879" width="4.125" style="12" customWidth="1"/>
    <col min="4880" max="4880" width="8.5" style="12" customWidth="1"/>
    <col min="4881" max="4881" width="40" style="12" customWidth="1"/>
    <col min="4882" max="4882" width="6.375" style="12" customWidth="1"/>
    <col min="4883" max="4883" width="6.625" style="12" bestFit="1" customWidth="1"/>
    <col min="4884" max="4884" width="8.25" style="12" bestFit="1" customWidth="1"/>
    <col min="4885" max="5123" width="9" style="12"/>
    <col min="5124" max="5124" width="8.5" style="12" customWidth="1"/>
    <col min="5125" max="5125" width="40" style="12" customWidth="1"/>
    <col min="5126" max="5126" width="6.375" style="12" bestFit="1" customWidth="1"/>
    <col min="5127" max="5127" width="6.625" style="12" bestFit="1" customWidth="1"/>
    <col min="5128" max="5128" width="8.25" style="12" bestFit="1" customWidth="1"/>
    <col min="5129" max="5129" width="4.125" style="12" customWidth="1"/>
    <col min="5130" max="5130" width="8.5" style="12" customWidth="1"/>
    <col min="5131" max="5131" width="40" style="12" customWidth="1"/>
    <col min="5132" max="5132" width="6.375" style="12" customWidth="1"/>
    <col min="5133" max="5133" width="6.625" style="12" bestFit="1" customWidth="1"/>
    <col min="5134" max="5134" width="8.25" style="12" bestFit="1" customWidth="1"/>
    <col min="5135" max="5135" width="4.125" style="12" customWidth="1"/>
    <col min="5136" max="5136" width="8.5" style="12" customWidth="1"/>
    <col min="5137" max="5137" width="40" style="12" customWidth="1"/>
    <col min="5138" max="5138" width="6.375" style="12" customWidth="1"/>
    <col min="5139" max="5139" width="6.625" style="12" bestFit="1" customWidth="1"/>
    <col min="5140" max="5140" width="8.25" style="12" bestFit="1" customWidth="1"/>
    <col min="5141" max="5379" width="9" style="12"/>
    <col min="5380" max="5380" width="8.5" style="12" customWidth="1"/>
    <col min="5381" max="5381" width="40" style="12" customWidth="1"/>
    <col min="5382" max="5382" width="6.375" style="12" bestFit="1" customWidth="1"/>
    <col min="5383" max="5383" width="6.625" style="12" bestFit="1" customWidth="1"/>
    <col min="5384" max="5384" width="8.25" style="12" bestFit="1" customWidth="1"/>
    <col min="5385" max="5385" width="4.125" style="12" customWidth="1"/>
    <col min="5386" max="5386" width="8.5" style="12" customWidth="1"/>
    <col min="5387" max="5387" width="40" style="12" customWidth="1"/>
    <col min="5388" max="5388" width="6.375" style="12" customWidth="1"/>
    <col min="5389" max="5389" width="6.625" style="12" bestFit="1" customWidth="1"/>
    <col min="5390" max="5390" width="8.25" style="12" bestFit="1" customWidth="1"/>
    <col min="5391" max="5391" width="4.125" style="12" customWidth="1"/>
    <col min="5392" max="5392" width="8.5" style="12" customWidth="1"/>
    <col min="5393" max="5393" width="40" style="12" customWidth="1"/>
    <col min="5394" max="5394" width="6.375" style="12" customWidth="1"/>
    <col min="5395" max="5395" width="6.625" style="12" bestFit="1" customWidth="1"/>
    <col min="5396" max="5396" width="8.25" style="12" bestFit="1" customWidth="1"/>
    <col min="5397" max="5635" width="9" style="12"/>
    <col min="5636" max="5636" width="8.5" style="12" customWidth="1"/>
    <col min="5637" max="5637" width="40" style="12" customWidth="1"/>
    <col min="5638" max="5638" width="6.375" style="12" bestFit="1" customWidth="1"/>
    <col min="5639" max="5639" width="6.625" style="12" bestFit="1" customWidth="1"/>
    <col min="5640" max="5640" width="8.25" style="12" bestFit="1" customWidth="1"/>
    <col min="5641" max="5641" width="4.125" style="12" customWidth="1"/>
    <col min="5642" max="5642" width="8.5" style="12" customWidth="1"/>
    <col min="5643" max="5643" width="40" style="12" customWidth="1"/>
    <col min="5644" max="5644" width="6.375" style="12" customWidth="1"/>
    <col min="5645" max="5645" width="6.625" style="12" bestFit="1" customWidth="1"/>
    <col min="5646" max="5646" width="8.25" style="12" bestFit="1" customWidth="1"/>
    <col min="5647" max="5647" width="4.125" style="12" customWidth="1"/>
    <col min="5648" max="5648" width="8.5" style="12" customWidth="1"/>
    <col min="5649" max="5649" width="40" style="12" customWidth="1"/>
    <col min="5650" max="5650" width="6.375" style="12" customWidth="1"/>
    <col min="5651" max="5651" width="6.625" style="12" bestFit="1" customWidth="1"/>
    <col min="5652" max="5652" width="8.25" style="12" bestFit="1" customWidth="1"/>
    <col min="5653" max="5891" width="9" style="12"/>
    <col min="5892" max="5892" width="8.5" style="12" customWidth="1"/>
    <col min="5893" max="5893" width="40" style="12" customWidth="1"/>
    <col min="5894" max="5894" width="6.375" style="12" bestFit="1" customWidth="1"/>
    <col min="5895" max="5895" width="6.625" style="12" bestFit="1" customWidth="1"/>
    <col min="5896" max="5896" width="8.25" style="12" bestFit="1" customWidth="1"/>
    <col min="5897" max="5897" width="4.125" style="12" customWidth="1"/>
    <col min="5898" max="5898" width="8.5" style="12" customWidth="1"/>
    <col min="5899" max="5899" width="40" style="12" customWidth="1"/>
    <col min="5900" max="5900" width="6.375" style="12" customWidth="1"/>
    <col min="5901" max="5901" width="6.625" style="12" bestFit="1" customWidth="1"/>
    <col min="5902" max="5902" width="8.25" style="12" bestFit="1" customWidth="1"/>
    <col min="5903" max="5903" width="4.125" style="12" customWidth="1"/>
    <col min="5904" max="5904" width="8.5" style="12" customWidth="1"/>
    <col min="5905" max="5905" width="40" style="12" customWidth="1"/>
    <col min="5906" max="5906" width="6.375" style="12" customWidth="1"/>
    <col min="5907" max="5907" width="6.625" style="12" bestFit="1" customWidth="1"/>
    <col min="5908" max="5908" width="8.25" style="12" bestFit="1" customWidth="1"/>
    <col min="5909" max="6147" width="9" style="12"/>
    <col min="6148" max="6148" width="8.5" style="12" customWidth="1"/>
    <col min="6149" max="6149" width="40" style="12" customWidth="1"/>
    <col min="6150" max="6150" width="6.375" style="12" bestFit="1" customWidth="1"/>
    <col min="6151" max="6151" width="6.625" style="12" bestFit="1" customWidth="1"/>
    <col min="6152" max="6152" width="8.25" style="12" bestFit="1" customWidth="1"/>
    <col min="6153" max="6153" width="4.125" style="12" customWidth="1"/>
    <col min="6154" max="6154" width="8.5" style="12" customWidth="1"/>
    <col min="6155" max="6155" width="40" style="12" customWidth="1"/>
    <col min="6156" max="6156" width="6.375" style="12" customWidth="1"/>
    <col min="6157" max="6157" width="6.625" style="12" bestFit="1" customWidth="1"/>
    <col min="6158" max="6158" width="8.25" style="12" bestFit="1" customWidth="1"/>
    <col min="6159" max="6159" width="4.125" style="12" customWidth="1"/>
    <col min="6160" max="6160" width="8.5" style="12" customWidth="1"/>
    <col min="6161" max="6161" width="40" style="12" customWidth="1"/>
    <col min="6162" max="6162" width="6.375" style="12" customWidth="1"/>
    <col min="6163" max="6163" width="6.625" style="12" bestFit="1" customWidth="1"/>
    <col min="6164" max="6164" width="8.25" style="12" bestFit="1" customWidth="1"/>
    <col min="6165" max="6403" width="9" style="12"/>
    <col min="6404" max="6404" width="8.5" style="12" customWidth="1"/>
    <col min="6405" max="6405" width="40" style="12" customWidth="1"/>
    <col min="6406" max="6406" width="6.375" style="12" bestFit="1" customWidth="1"/>
    <col min="6407" max="6407" width="6.625" style="12" bestFit="1" customWidth="1"/>
    <col min="6408" max="6408" width="8.25" style="12" bestFit="1" customWidth="1"/>
    <col min="6409" max="6409" width="4.125" style="12" customWidth="1"/>
    <col min="6410" max="6410" width="8.5" style="12" customWidth="1"/>
    <col min="6411" max="6411" width="40" style="12" customWidth="1"/>
    <col min="6412" max="6412" width="6.375" style="12" customWidth="1"/>
    <col min="6413" max="6413" width="6.625" style="12" bestFit="1" customWidth="1"/>
    <col min="6414" max="6414" width="8.25" style="12" bestFit="1" customWidth="1"/>
    <col min="6415" max="6415" width="4.125" style="12" customWidth="1"/>
    <col min="6416" max="6416" width="8.5" style="12" customWidth="1"/>
    <col min="6417" max="6417" width="40" style="12" customWidth="1"/>
    <col min="6418" max="6418" width="6.375" style="12" customWidth="1"/>
    <col min="6419" max="6419" width="6.625" style="12" bestFit="1" customWidth="1"/>
    <col min="6420" max="6420" width="8.25" style="12" bestFit="1" customWidth="1"/>
    <col min="6421" max="6659" width="9" style="12"/>
    <col min="6660" max="6660" width="8.5" style="12" customWidth="1"/>
    <col min="6661" max="6661" width="40" style="12" customWidth="1"/>
    <col min="6662" max="6662" width="6.375" style="12" bestFit="1" customWidth="1"/>
    <col min="6663" max="6663" width="6.625" style="12" bestFit="1" customWidth="1"/>
    <col min="6664" max="6664" width="8.25" style="12" bestFit="1" customWidth="1"/>
    <col min="6665" max="6665" width="4.125" style="12" customWidth="1"/>
    <col min="6666" max="6666" width="8.5" style="12" customWidth="1"/>
    <col min="6667" max="6667" width="40" style="12" customWidth="1"/>
    <col min="6668" max="6668" width="6.375" style="12" customWidth="1"/>
    <col min="6669" max="6669" width="6.625" style="12" bestFit="1" customWidth="1"/>
    <col min="6670" max="6670" width="8.25" style="12" bestFit="1" customWidth="1"/>
    <col min="6671" max="6671" width="4.125" style="12" customWidth="1"/>
    <col min="6672" max="6672" width="8.5" style="12" customWidth="1"/>
    <col min="6673" max="6673" width="40" style="12" customWidth="1"/>
    <col min="6674" max="6674" width="6.375" style="12" customWidth="1"/>
    <col min="6675" max="6675" width="6.625" style="12" bestFit="1" customWidth="1"/>
    <col min="6676" max="6676" width="8.25" style="12" bestFit="1" customWidth="1"/>
    <col min="6677" max="6915" width="9" style="12"/>
    <col min="6916" max="6916" width="8.5" style="12" customWidth="1"/>
    <col min="6917" max="6917" width="40" style="12" customWidth="1"/>
    <col min="6918" max="6918" width="6.375" style="12" bestFit="1" customWidth="1"/>
    <col min="6919" max="6919" width="6.625" style="12" bestFit="1" customWidth="1"/>
    <col min="6920" max="6920" width="8.25" style="12" bestFit="1" customWidth="1"/>
    <col min="6921" max="6921" width="4.125" style="12" customWidth="1"/>
    <col min="6922" max="6922" width="8.5" style="12" customWidth="1"/>
    <col min="6923" max="6923" width="40" style="12" customWidth="1"/>
    <col min="6924" max="6924" width="6.375" style="12" customWidth="1"/>
    <col min="6925" max="6925" width="6.625" style="12" bestFit="1" customWidth="1"/>
    <col min="6926" max="6926" width="8.25" style="12" bestFit="1" customWidth="1"/>
    <col min="6927" max="6927" width="4.125" style="12" customWidth="1"/>
    <col min="6928" max="6928" width="8.5" style="12" customWidth="1"/>
    <col min="6929" max="6929" width="40" style="12" customWidth="1"/>
    <col min="6930" max="6930" width="6.375" style="12" customWidth="1"/>
    <col min="6931" max="6931" width="6.625" style="12" bestFit="1" customWidth="1"/>
    <col min="6932" max="6932" width="8.25" style="12" bestFit="1" customWidth="1"/>
    <col min="6933" max="7171" width="9" style="12"/>
    <col min="7172" max="7172" width="8.5" style="12" customWidth="1"/>
    <col min="7173" max="7173" width="40" style="12" customWidth="1"/>
    <col min="7174" max="7174" width="6.375" style="12" bestFit="1" customWidth="1"/>
    <col min="7175" max="7175" width="6.625" style="12" bestFit="1" customWidth="1"/>
    <col min="7176" max="7176" width="8.25" style="12" bestFit="1" customWidth="1"/>
    <col min="7177" max="7177" width="4.125" style="12" customWidth="1"/>
    <col min="7178" max="7178" width="8.5" style="12" customWidth="1"/>
    <col min="7179" max="7179" width="40" style="12" customWidth="1"/>
    <col min="7180" max="7180" width="6.375" style="12" customWidth="1"/>
    <col min="7181" max="7181" width="6.625" style="12" bestFit="1" customWidth="1"/>
    <col min="7182" max="7182" width="8.25" style="12" bestFit="1" customWidth="1"/>
    <col min="7183" max="7183" width="4.125" style="12" customWidth="1"/>
    <col min="7184" max="7184" width="8.5" style="12" customWidth="1"/>
    <col min="7185" max="7185" width="40" style="12" customWidth="1"/>
    <col min="7186" max="7186" width="6.375" style="12" customWidth="1"/>
    <col min="7187" max="7187" width="6.625" style="12" bestFit="1" customWidth="1"/>
    <col min="7188" max="7188" width="8.25" style="12" bestFit="1" customWidth="1"/>
    <col min="7189" max="7427" width="9" style="12"/>
    <col min="7428" max="7428" width="8.5" style="12" customWidth="1"/>
    <col min="7429" max="7429" width="40" style="12" customWidth="1"/>
    <col min="7430" max="7430" width="6.375" style="12" bestFit="1" customWidth="1"/>
    <col min="7431" max="7431" width="6.625" style="12" bestFit="1" customWidth="1"/>
    <col min="7432" max="7432" width="8.25" style="12" bestFit="1" customWidth="1"/>
    <col min="7433" max="7433" width="4.125" style="12" customWidth="1"/>
    <col min="7434" max="7434" width="8.5" style="12" customWidth="1"/>
    <col min="7435" max="7435" width="40" style="12" customWidth="1"/>
    <col min="7436" max="7436" width="6.375" style="12" customWidth="1"/>
    <col min="7437" max="7437" width="6.625" style="12" bestFit="1" customWidth="1"/>
    <col min="7438" max="7438" width="8.25" style="12" bestFit="1" customWidth="1"/>
    <col min="7439" max="7439" width="4.125" style="12" customWidth="1"/>
    <col min="7440" max="7440" width="8.5" style="12" customWidth="1"/>
    <col min="7441" max="7441" width="40" style="12" customWidth="1"/>
    <col min="7442" max="7442" width="6.375" style="12" customWidth="1"/>
    <col min="7443" max="7443" width="6.625" style="12" bestFit="1" customWidth="1"/>
    <col min="7444" max="7444" width="8.25" style="12" bestFit="1" customWidth="1"/>
    <col min="7445" max="7683" width="9" style="12"/>
    <col min="7684" max="7684" width="8.5" style="12" customWidth="1"/>
    <col min="7685" max="7685" width="40" style="12" customWidth="1"/>
    <col min="7686" max="7686" width="6.375" style="12" bestFit="1" customWidth="1"/>
    <col min="7687" max="7687" width="6.625" style="12" bestFit="1" customWidth="1"/>
    <col min="7688" max="7688" width="8.25" style="12" bestFit="1" customWidth="1"/>
    <col min="7689" max="7689" width="4.125" style="12" customWidth="1"/>
    <col min="7690" max="7690" width="8.5" style="12" customWidth="1"/>
    <col min="7691" max="7691" width="40" style="12" customWidth="1"/>
    <col min="7692" max="7692" width="6.375" style="12" customWidth="1"/>
    <col min="7693" max="7693" width="6.625" style="12" bestFit="1" customWidth="1"/>
    <col min="7694" max="7694" width="8.25" style="12" bestFit="1" customWidth="1"/>
    <col min="7695" max="7695" width="4.125" style="12" customWidth="1"/>
    <col min="7696" max="7696" width="8.5" style="12" customWidth="1"/>
    <col min="7697" max="7697" width="40" style="12" customWidth="1"/>
    <col min="7698" max="7698" width="6.375" style="12" customWidth="1"/>
    <col min="7699" max="7699" width="6.625" style="12" bestFit="1" customWidth="1"/>
    <col min="7700" max="7700" width="8.25" style="12" bestFit="1" customWidth="1"/>
    <col min="7701" max="7939" width="9" style="12"/>
    <col min="7940" max="7940" width="8.5" style="12" customWidth="1"/>
    <col min="7941" max="7941" width="40" style="12" customWidth="1"/>
    <col min="7942" max="7942" width="6.375" style="12" bestFit="1" customWidth="1"/>
    <col min="7943" max="7943" width="6.625" style="12" bestFit="1" customWidth="1"/>
    <col min="7944" max="7944" width="8.25" style="12" bestFit="1" customWidth="1"/>
    <col min="7945" max="7945" width="4.125" style="12" customWidth="1"/>
    <col min="7946" max="7946" width="8.5" style="12" customWidth="1"/>
    <col min="7947" max="7947" width="40" style="12" customWidth="1"/>
    <col min="7948" max="7948" width="6.375" style="12" customWidth="1"/>
    <col min="7949" max="7949" width="6.625" style="12" bestFit="1" customWidth="1"/>
    <col min="7950" max="7950" width="8.25" style="12" bestFit="1" customWidth="1"/>
    <col min="7951" max="7951" width="4.125" style="12" customWidth="1"/>
    <col min="7952" max="7952" width="8.5" style="12" customWidth="1"/>
    <col min="7953" max="7953" width="40" style="12" customWidth="1"/>
    <col min="7954" max="7954" width="6.375" style="12" customWidth="1"/>
    <col min="7955" max="7955" width="6.625" style="12" bestFit="1" customWidth="1"/>
    <col min="7956" max="7956" width="8.25" style="12" bestFit="1" customWidth="1"/>
    <col min="7957" max="8195" width="9" style="12"/>
    <col min="8196" max="8196" width="8.5" style="12" customWidth="1"/>
    <col min="8197" max="8197" width="40" style="12" customWidth="1"/>
    <col min="8198" max="8198" width="6.375" style="12" bestFit="1" customWidth="1"/>
    <col min="8199" max="8199" width="6.625" style="12" bestFit="1" customWidth="1"/>
    <col min="8200" max="8200" width="8.25" style="12" bestFit="1" customWidth="1"/>
    <col min="8201" max="8201" width="4.125" style="12" customWidth="1"/>
    <col min="8202" max="8202" width="8.5" style="12" customWidth="1"/>
    <col min="8203" max="8203" width="40" style="12" customWidth="1"/>
    <col min="8204" max="8204" width="6.375" style="12" customWidth="1"/>
    <col min="8205" max="8205" width="6.625" style="12" bestFit="1" customWidth="1"/>
    <col min="8206" max="8206" width="8.25" style="12" bestFit="1" customWidth="1"/>
    <col min="8207" max="8207" width="4.125" style="12" customWidth="1"/>
    <col min="8208" max="8208" width="8.5" style="12" customWidth="1"/>
    <col min="8209" max="8209" width="40" style="12" customWidth="1"/>
    <col min="8210" max="8210" width="6.375" style="12" customWidth="1"/>
    <col min="8211" max="8211" width="6.625" style="12" bestFit="1" customWidth="1"/>
    <col min="8212" max="8212" width="8.25" style="12" bestFit="1" customWidth="1"/>
    <col min="8213" max="8451" width="9" style="12"/>
    <col min="8452" max="8452" width="8.5" style="12" customWidth="1"/>
    <col min="8453" max="8453" width="40" style="12" customWidth="1"/>
    <col min="8454" max="8454" width="6.375" style="12" bestFit="1" customWidth="1"/>
    <col min="8455" max="8455" width="6.625" style="12" bestFit="1" customWidth="1"/>
    <col min="8456" max="8456" width="8.25" style="12" bestFit="1" customWidth="1"/>
    <col min="8457" max="8457" width="4.125" style="12" customWidth="1"/>
    <col min="8458" max="8458" width="8.5" style="12" customWidth="1"/>
    <col min="8459" max="8459" width="40" style="12" customWidth="1"/>
    <col min="8460" max="8460" width="6.375" style="12" customWidth="1"/>
    <col min="8461" max="8461" width="6.625" style="12" bestFit="1" customWidth="1"/>
    <col min="8462" max="8462" width="8.25" style="12" bestFit="1" customWidth="1"/>
    <col min="8463" max="8463" width="4.125" style="12" customWidth="1"/>
    <col min="8464" max="8464" width="8.5" style="12" customWidth="1"/>
    <col min="8465" max="8465" width="40" style="12" customWidth="1"/>
    <col min="8466" max="8466" width="6.375" style="12" customWidth="1"/>
    <col min="8467" max="8467" width="6.625" style="12" bestFit="1" customWidth="1"/>
    <col min="8468" max="8468" width="8.25" style="12" bestFit="1" customWidth="1"/>
    <col min="8469" max="8707" width="9" style="12"/>
    <col min="8708" max="8708" width="8.5" style="12" customWidth="1"/>
    <col min="8709" max="8709" width="40" style="12" customWidth="1"/>
    <col min="8710" max="8710" width="6.375" style="12" bestFit="1" customWidth="1"/>
    <col min="8711" max="8711" width="6.625" style="12" bestFit="1" customWidth="1"/>
    <col min="8712" max="8712" width="8.25" style="12" bestFit="1" customWidth="1"/>
    <col min="8713" max="8713" width="4.125" style="12" customWidth="1"/>
    <col min="8714" max="8714" width="8.5" style="12" customWidth="1"/>
    <col min="8715" max="8715" width="40" style="12" customWidth="1"/>
    <col min="8716" max="8716" width="6.375" style="12" customWidth="1"/>
    <col min="8717" max="8717" width="6.625" style="12" bestFit="1" customWidth="1"/>
    <col min="8718" max="8718" width="8.25" style="12" bestFit="1" customWidth="1"/>
    <col min="8719" max="8719" width="4.125" style="12" customWidth="1"/>
    <col min="8720" max="8720" width="8.5" style="12" customWidth="1"/>
    <col min="8721" max="8721" width="40" style="12" customWidth="1"/>
    <col min="8722" max="8722" width="6.375" style="12" customWidth="1"/>
    <col min="8723" max="8723" width="6.625" style="12" bestFit="1" customWidth="1"/>
    <col min="8724" max="8724" width="8.25" style="12" bestFit="1" customWidth="1"/>
    <col min="8725" max="8963" width="9" style="12"/>
    <col min="8964" max="8964" width="8.5" style="12" customWidth="1"/>
    <col min="8965" max="8965" width="40" style="12" customWidth="1"/>
    <col min="8966" max="8966" width="6.375" style="12" bestFit="1" customWidth="1"/>
    <col min="8967" max="8967" width="6.625" style="12" bestFit="1" customWidth="1"/>
    <col min="8968" max="8968" width="8.25" style="12" bestFit="1" customWidth="1"/>
    <col min="8969" max="8969" width="4.125" style="12" customWidth="1"/>
    <col min="8970" max="8970" width="8.5" style="12" customWidth="1"/>
    <col min="8971" max="8971" width="40" style="12" customWidth="1"/>
    <col min="8972" max="8972" width="6.375" style="12" customWidth="1"/>
    <col min="8973" max="8973" width="6.625" style="12" bestFit="1" customWidth="1"/>
    <col min="8974" max="8974" width="8.25" style="12" bestFit="1" customWidth="1"/>
    <col min="8975" max="8975" width="4.125" style="12" customWidth="1"/>
    <col min="8976" max="8976" width="8.5" style="12" customWidth="1"/>
    <col min="8977" max="8977" width="40" style="12" customWidth="1"/>
    <col min="8978" max="8978" width="6.375" style="12" customWidth="1"/>
    <col min="8979" max="8979" width="6.625" style="12" bestFit="1" customWidth="1"/>
    <col min="8980" max="8980" width="8.25" style="12" bestFit="1" customWidth="1"/>
    <col min="8981" max="9219" width="9" style="12"/>
    <col min="9220" max="9220" width="8.5" style="12" customWidth="1"/>
    <col min="9221" max="9221" width="40" style="12" customWidth="1"/>
    <col min="9222" max="9222" width="6.375" style="12" bestFit="1" customWidth="1"/>
    <col min="9223" max="9223" width="6.625" style="12" bestFit="1" customWidth="1"/>
    <col min="9224" max="9224" width="8.25" style="12" bestFit="1" customWidth="1"/>
    <col min="9225" max="9225" width="4.125" style="12" customWidth="1"/>
    <col min="9226" max="9226" width="8.5" style="12" customWidth="1"/>
    <col min="9227" max="9227" width="40" style="12" customWidth="1"/>
    <col min="9228" max="9228" width="6.375" style="12" customWidth="1"/>
    <col min="9229" max="9229" width="6.625" style="12" bestFit="1" customWidth="1"/>
    <col min="9230" max="9230" width="8.25" style="12" bestFit="1" customWidth="1"/>
    <col min="9231" max="9231" width="4.125" style="12" customWidth="1"/>
    <col min="9232" max="9232" width="8.5" style="12" customWidth="1"/>
    <col min="9233" max="9233" width="40" style="12" customWidth="1"/>
    <col min="9234" max="9234" width="6.375" style="12" customWidth="1"/>
    <col min="9235" max="9235" width="6.625" style="12" bestFit="1" customWidth="1"/>
    <col min="9236" max="9236" width="8.25" style="12" bestFit="1" customWidth="1"/>
    <col min="9237" max="9475" width="9" style="12"/>
    <col min="9476" max="9476" width="8.5" style="12" customWidth="1"/>
    <col min="9477" max="9477" width="40" style="12" customWidth="1"/>
    <col min="9478" max="9478" width="6.375" style="12" bestFit="1" customWidth="1"/>
    <col min="9479" max="9479" width="6.625" style="12" bestFit="1" customWidth="1"/>
    <col min="9480" max="9480" width="8.25" style="12" bestFit="1" customWidth="1"/>
    <col min="9481" max="9481" width="4.125" style="12" customWidth="1"/>
    <col min="9482" max="9482" width="8.5" style="12" customWidth="1"/>
    <col min="9483" max="9483" width="40" style="12" customWidth="1"/>
    <col min="9484" max="9484" width="6.375" style="12" customWidth="1"/>
    <col min="9485" max="9485" width="6.625" style="12" bestFit="1" customWidth="1"/>
    <col min="9486" max="9486" width="8.25" style="12" bestFit="1" customWidth="1"/>
    <col min="9487" max="9487" width="4.125" style="12" customWidth="1"/>
    <col min="9488" max="9488" width="8.5" style="12" customWidth="1"/>
    <col min="9489" max="9489" width="40" style="12" customWidth="1"/>
    <col min="9490" max="9490" width="6.375" style="12" customWidth="1"/>
    <col min="9491" max="9491" width="6.625" style="12" bestFit="1" customWidth="1"/>
    <col min="9492" max="9492" width="8.25" style="12" bestFit="1" customWidth="1"/>
    <col min="9493" max="9731" width="9" style="12"/>
    <col min="9732" max="9732" width="8.5" style="12" customWidth="1"/>
    <col min="9733" max="9733" width="40" style="12" customWidth="1"/>
    <col min="9734" max="9734" width="6.375" style="12" bestFit="1" customWidth="1"/>
    <col min="9735" max="9735" width="6.625" style="12" bestFit="1" customWidth="1"/>
    <col min="9736" max="9736" width="8.25" style="12" bestFit="1" customWidth="1"/>
    <col min="9737" max="9737" width="4.125" style="12" customWidth="1"/>
    <col min="9738" max="9738" width="8.5" style="12" customWidth="1"/>
    <col min="9739" max="9739" width="40" style="12" customWidth="1"/>
    <col min="9740" max="9740" width="6.375" style="12" customWidth="1"/>
    <col min="9741" max="9741" width="6.625" style="12" bestFit="1" customWidth="1"/>
    <col min="9742" max="9742" width="8.25" style="12" bestFit="1" customWidth="1"/>
    <col min="9743" max="9743" width="4.125" style="12" customWidth="1"/>
    <col min="9744" max="9744" width="8.5" style="12" customWidth="1"/>
    <col min="9745" max="9745" width="40" style="12" customWidth="1"/>
    <col min="9746" max="9746" width="6.375" style="12" customWidth="1"/>
    <col min="9747" max="9747" width="6.625" style="12" bestFit="1" customWidth="1"/>
    <col min="9748" max="9748" width="8.25" style="12" bestFit="1" customWidth="1"/>
    <col min="9749" max="9987" width="9" style="12"/>
    <col min="9988" max="9988" width="8.5" style="12" customWidth="1"/>
    <col min="9989" max="9989" width="40" style="12" customWidth="1"/>
    <col min="9990" max="9990" width="6.375" style="12" bestFit="1" customWidth="1"/>
    <col min="9991" max="9991" width="6.625" style="12" bestFit="1" customWidth="1"/>
    <col min="9992" max="9992" width="8.25" style="12" bestFit="1" customWidth="1"/>
    <col min="9993" max="9993" width="4.125" style="12" customWidth="1"/>
    <col min="9994" max="9994" width="8.5" style="12" customWidth="1"/>
    <col min="9995" max="9995" width="40" style="12" customWidth="1"/>
    <col min="9996" max="9996" width="6.375" style="12" customWidth="1"/>
    <col min="9997" max="9997" width="6.625" style="12" bestFit="1" customWidth="1"/>
    <col min="9998" max="9998" width="8.25" style="12" bestFit="1" customWidth="1"/>
    <col min="9999" max="9999" width="4.125" style="12" customWidth="1"/>
    <col min="10000" max="10000" width="8.5" style="12" customWidth="1"/>
    <col min="10001" max="10001" width="40" style="12" customWidth="1"/>
    <col min="10002" max="10002" width="6.375" style="12" customWidth="1"/>
    <col min="10003" max="10003" width="6.625" style="12" bestFit="1" customWidth="1"/>
    <col min="10004" max="10004" width="8.25" style="12" bestFit="1" customWidth="1"/>
    <col min="10005" max="10243" width="9" style="12"/>
    <col min="10244" max="10244" width="8.5" style="12" customWidth="1"/>
    <col min="10245" max="10245" width="40" style="12" customWidth="1"/>
    <col min="10246" max="10246" width="6.375" style="12" bestFit="1" customWidth="1"/>
    <col min="10247" max="10247" width="6.625" style="12" bestFit="1" customWidth="1"/>
    <col min="10248" max="10248" width="8.25" style="12" bestFit="1" customWidth="1"/>
    <col min="10249" max="10249" width="4.125" style="12" customWidth="1"/>
    <col min="10250" max="10250" width="8.5" style="12" customWidth="1"/>
    <col min="10251" max="10251" width="40" style="12" customWidth="1"/>
    <col min="10252" max="10252" width="6.375" style="12" customWidth="1"/>
    <col min="10253" max="10253" width="6.625" style="12" bestFit="1" customWidth="1"/>
    <col min="10254" max="10254" width="8.25" style="12" bestFit="1" customWidth="1"/>
    <col min="10255" max="10255" width="4.125" style="12" customWidth="1"/>
    <col min="10256" max="10256" width="8.5" style="12" customWidth="1"/>
    <col min="10257" max="10257" width="40" style="12" customWidth="1"/>
    <col min="10258" max="10258" width="6.375" style="12" customWidth="1"/>
    <col min="10259" max="10259" width="6.625" style="12" bestFit="1" customWidth="1"/>
    <col min="10260" max="10260" width="8.25" style="12" bestFit="1" customWidth="1"/>
    <col min="10261" max="10499" width="9" style="12"/>
    <col min="10500" max="10500" width="8.5" style="12" customWidth="1"/>
    <col min="10501" max="10501" width="40" style="12" customWidth="1"/>
    <col min="10502" max="10502" width="6.375" style="12" bestFit="1" customWidth="1"/>
    <col min="10503" max="10503" width="6.625" style="12" bestFit="1" customWidth="1"/>
    <col min="10504" max="10504" width="8.25" style="12" bestFit="1" customWidth="1"/>
    <col min="10505" max="10505" width="4.125" style="12" customWidth="1"/>
    <col min="10506" max="10506" width="8.5" style="12" customWidth="1"/>
    <col min="10507" max="10507" width="40" style="12" customWidth="1"/>
    <col min="10508" max="10508" width="6.375" style="12" customWidth="1"/>
    <col min="10509" max="10509" width="6.625" style="12" bestFit="1" customWidth="1"/>
    <col min="10510" max="10510" width="8.25" style="12" bestFit="1" customWidth="1"/>
    <col min="10511" max="10511" width="4.125" style="12" customWidth="1"/>
    <col min="10512" max="10512" width="8.5" style="12" customWidth="1"/>
    <col min="10513" max="10513" width="40" style="12" customWidth="1"/>
    <col min="10514" max="10514" width="6.375" style="12" customWidth="1"/>
    <col min="10515" max="10515" width="6.625" style="12" bestFit="1" customWidth="1"/>
    <col min="10516" max="10516" width="8.25" style="12" bestFit="1" customWidth="1"/>
    <col min="10517" max="10755" width="9" style="12"/>
    <col min="10756" max="10756" width="8.5" style="12" customWidth="1"/>
    <col min="10757" max="10757" width="40" style="12" customWidth="1"/>
    <col min="10758" max="10758" width="6.375" style="12" bestFit="1" customWidth="1"/>
    <col min="10759" max="10759" width="6.625" style="12" bestFit="1" customWidth="1"/>
    <col min="10760" max="10760" width="8.25" style="12" bestFit="1" customWidth="1"/>
    <col min="10761" max="10761" width="4.125" style="12" customWidth="1"/>
    <col min="10762" max="10762" width="8.5" style="12" customWidth="1"/>
    <col min="10763" max="10763" width="40" style="12" customWidth="1"/>
    <col min="10764" max="10764" width="6.375" style="12" customWidth="1"/>
    <col min="10765" max="10765" width="6.625" style="12" bestFit="1" customWidth="1"/>
    <col min="10766" max="10766" width="8.25" style="12" bestFit="1" customWidth="1"/>
    <col min="10767" max="10767" width="4.125" style="12" customWidth="1"/>
    <col min="10768" max="10768" width="8.5" style="12" customWidth="1"/>
    <col min="10769" max="10769" width="40" style="12" customWidth="1"/>
    <col min="10770" max="10770" width="6.375" style="12" customWidth="1"/>
    <col min="10771" max="10771" width="6.625" style="12" bestFit="1" customWidth="1"/>
    <col min="10772" max="10772" width="8.25" style="12" bestFit="1" customWidth="1"/>
    <col min="10773" max="11011" width="9" style="12"/>
    <col min="11012" max="11012" width="8.5" style="12" customWidth="1"/>
    <col min="11013" max="11013" width="40" style="12" customWidth="1"/>
    <col min="11014" max="11014" width="6.375" style="12" bestFit="1" customWidth="1"/>
    <col min="11015" max="11015" width="6.625" style="12" bestFit="1" customWidth="1"/>
    <col min="11016" max="11016" width="8.25" style="12" bestFit="1" customWidth="1"/>
    <col min="11017" max="11017" width="4.125" style="12" customWidth="1"/>
    <col min="11018" max="11018" width="8.5" style="12" customWidth="1"/>
    <col min="11019" max="11019" width="40" style="12" customWidth="1"/>
    <col min="11020" max="11020" width="6.375" style="12" customWidth="1"/>
    <col min="11021" max="11021" width="6.625" style="12" bestFit="1" customWidth="1"/>
    <col min="11022" max="11022" width="8.25" style="12" bestFit="1" customWidth="1"/>
    <col min="11023" max="11023" width="4.125" style="12" customWidth="1"/>
    <col min="11024" max="11024" width="8.5" style="12" customWidth="1"/>
    <col min="11025" max="11025" width="40" style="12" customWidth="1"/>
    <col min="11026" max="11026" width="6.375" style="12" customWidth="1"/>
    <col min="11027" max="11027" width="6.625" style="12" bestFit="1" customWidth="1"/>
    <col min="11028" max="11028" width="8.25" style="12" bestFit="1" customWidth="1"/>
    <col min="11029" max="11267" width="9" style="12"/>
    <col min="11268" max="11268" width="8.5" style="12" customWidth="1"/>
    <col min="11269" max="11269" width="40" style="12" customWidth="1"/>
    <col min="11270" max="11270" width="6.375" style="12" bestFit="1" customWidth="1"/>
    <col min="11271" max="11271" width="6.625" style="12" bestFit="1" customWidth="1"/>
    <col min="11272" max="11272" width="8.25" style="12" bestFit="1" customWidth="1"/>
    <col min="11273" max="11273" width="4.125" style="12" customWidth="1"/>
    <col min="11274" max="11274" width="8.5" style="12" customWidth="1"/>
    <col min="11275" max="11275" width="40" style="12" customWidth="1"/>
    <col min="11276" max="11276" width="6.375" style="12" customWidth="1"/>
    <col min="11277" max="11277" width="6.625" style="12" bestFit="1" customWidth="1"/>
    <col min="11278" max="11278" width="8.25" style="12" bestFit="1" customWidth="1"/>
    <col min="11279" max="11279" width="4.125" style="12" customWidth="1"/>
    <col min="11280" max="11280" width="8.5" style="12" customWidth="1"/>
    <col min="11281" max="11281" width="40" style="12" customWidth="1"/>
    <col min="11282" max="11282" width="6.375" style="12" customWidth="1"/>
    <col min="11283" max="11283" width="6.625" style="12" bestFit="1" customWidth="1"/>
    <col min="11284" max="11284" width="8.25" style="12" bestFit="1" customWidth="1"/>
    <col min="11285" max="11523" width="9" style="12"/>
    <col min="11524" max="11524" width="8.5" style="12" customWidth="1"/>
    <col min="11525" max="11525" width="40" style="12" customWidth="1"/>
    <col min="11526" max="11526" width="6.375" style="12" bestFit="1" customWidth="1"/>
    <col min="11527" max="11527" width="6.625" style="12" bestFit="1" customWidth="1"/>
    <col min="11528" max="11528" width="8.25" style="12" bestFit="1" customWidth="1"/>
    <col min="11529" max="11529" width="4.125" style="12" customWidth="1"/>
    <col min="11530" max="11530" width="8.5" style="12" customWidth="1"/>
    <col min="11531" max="11531" width="40" style="12" customWidth="1"/>
    <col min="11532" max="11532" width="6.375" style="12" customWidth="1"/>
    <col min="11533" max="11533" width="6.625" style="12" bestFit="1" customWidth="1"/>
    <col min="11534" max="11534" width="8.25" style="12" bestFit="1" customWidth="1"/>
    <col min="11535" max="11535" width="4.125" style="12" customWidth="1"/>
    <col min="11536" max="11536" width="8.5" style="12" customWidth="1"/>
    <col min="11537" max="11537" width="40" style="12" customWidth="1"/>
    <col min="11538" max="11538" width="6.375" style="12" customWidth="1"/>
    <col min="11539" max="11539" width="6.625" style="12" bestFit="1" customWidth="1"/>
    <col min="11540" max="11540" width="8.25" style="12" bestFit="1" customWidth="1"/>
    <col min="11541" max="11779" width="9" style="12"/>
    <col min="11780" max="11780" width="8.5" style="12" customWidth="1"/>
    <col min="11781" max="11781" width="40" style="12" customWidth="1"/>
    <col min="11782" max="11782" width="6.375" style="12" bestFit="1" customWidth="1"/>
    <col min="11783" max="11783" width="6.625" style="12" bestFit="1" customWidth="1"/>
    <col min="11784" max="11784" width="8.25" style="12" bestFit="1" customWidth="1"/>
    <col min="11785" max="11785" width="4.125" style="12" customWidth="1"/>
    <col min="11786" max="11786" width="8.5" style="12" customWidth="1"/>
    <col min="11787" max="11787" width="40" style="12" customWidth="1"/>
    <col min="11788" max="11788" width="6.375" style="12" customWidth="1"/>
    <col min="11789" max="11789" width="6.625" style="12" bestFit="1" customWidth="1"/>
    <col min="11790" max="11790" width="8.25" style="12" bestFit="1" customWidth="1"/>
    <col min="11791" max="11791" width="4.125" style="12" customWidth="1"/>
    <col min="11792" max="11792" width="8.5" style="12" customWidth="1"/>
    <col min="11793" max="11793" width="40" style="12" customWidth="1"/>
    <col min="11794" max="11794" width="6.375" style="12" customWidth="1"/>
    <col min="11795" max="11795" width="6.625" style="12" bestFit="1" customWidth="1"/>
    <col min="11796" max="11796" width="8.25" style="12" bestFit="1" customWidth="1"/>
    <col min="11797" max="12035" width="9" style="12"/>
    <col min="12036" max="12036" width="8.5" style="12" customWidth="1"/>
    <col min="12037" max="12037" width="40" style="12" customWidth="1"/>
    <col min="12038" max="12038" width="6.375" style="12" bestFit="1" customWidth="1"/>
    <col min="12039" max="12039" width="6.625" style="12" bestFit="1" customWidth="1"/>
    <col min="12040" max="12040" width="8.25" style="12" bestFit="1" customWidth="1"/>
    <col min="12041" max="12041" width="4.125" style="12" customWidth="1"/>
    <col min="12042" max="12042" width="8.5" style="12" customWidth="1"/>
    <col min="12043" max="12043" width="40" style="12" customWidth="1"/>
    <col min="12044" max="12044" width="6.375" style="12" customWidth="1"/>
    <col min="12045" max="12045" width="6.625" style="12" bestFit="1" customWidth="1"/>
    <col min="12046" max="12046" width="8.25" style="12" bestFit="1" customWidth="1"/>
    <col min="12047" max="12047" width="4.125" style="12" customWidth="1"/>
    <col min="12048" max="12048" width="8.5" style="12" customWidth="1"/>
    <col min="12049" max="12049" width="40" style="12" customWidth="1"/>
    <col min="12050" max="12050" width="6.375" style="12" customWidth="1"/>
    <col min="12051" max="12051" width="6.625" style="12" bestFit="1" customWidth="1"/>
    <col min="12052" max="12052" width="8.25" style="12" bestFit="1" customWidth="1"/>
    <col min="12053" max="12291" width="9" style="12"/>
    <col min="12292" max="12292" width="8.5" style="12" customWidth="1"/>
    <col min="12293" max="12293" width="40" style="12" customWidth="1"/>
    <col min="12294" max="12294" width="6.375" style="12" bestFit="1" customWidth="1"/>
    <col min="12295" max="12295" width="6.625" style="12" bestFit="1" customWidth="1"/>
    <col min="12296" max="12296" width="8.25" style="12" bestFit="1" customWidth="1"/>
    <col min="12297" max="12297" width="4.125" style="12" customWidth="1"/>
    <col min="12298" max="12298" width="8.5" style="12" customWidth="1"/>
    <col min="12299" max="12299" width="40" style="12" customWidth="1"/>
    <col min="12300" max="12300" width="6.375" style="12" customWidth="1"/>
    <col min="12301" max="12301" width="6.625" style="12" bestFit="1" customWidth="1"/>
    <col min="12302" max="12302" width="8.25" style="12" bestFit="1" customWidth="1"/>
    <col min="12303" max="12303" width="4.125" style="12" customWidth="1"/>
    <col min="12304" max="12304" width="8.5" style="12" customWidth="1"/>
    <col min="12305" max="12305" width="40" style="12" customWidth="1"/>
    <col min="12306" max="12306" width="6.375" style="12" customWidth="1"/>
    <col min="12307" max="12307" width="6.625" style="12" bestFit="1" customWidth="1"/>
    <col min="12308" max="12308" width="8.25" style="12" bestFit="1" customWidth="1"/>
    <col min="12309" max="12547" width="9" style="12"/>
    <col min="12548" max="12548" width="8.5" style="12" customWidth="1"/>
    <col min="12549" max="12549" width="40" style="12" customWidth="1"/>
    <col min="12550" max="12550" width="6.375" style="12" bestFit="1" customWidth="1"/>
    <col min="12551" max="12551" width="6.625" style="12" bestFit="1" customWidth="1"/>
    <col min="12552" max="12552" width="8.25" style="12" bestFit="1" customWidth="1"/>
    <col min="12553" max="12553" width="4.125" style="12" customWidth="1"/>
    <col min="12554" max="12554" width="8.5" style="12" customWidth="1"/>
    <col min="12555" max="12555" width="40" style="12" customWidth="1"/>
    <col min="12556" max="12556" width="6.375" style="12" customWidth="1"/>
    <col min="12557" max="12557" width="6.625" style="12" bestFit="1" customWidth="1"/>
    <col min="12558" max="12558" width="8.25" style="12" bestFit="1" customWidth="1"/>
    <col min="12559" max="12559" width="4.125" style="12" customWidth="1"/>
    <col min="12560" max="12560" width="8.5" style="12" customWidth="1"/>
    <col min="12561" max="12561" width="40" style="12" customWidth="1"/>
    <col min="12562" max="12562" width="6.375" style="12" customWidth="1"/>
    <col min="12563" max="12563" width="6.625" style="12" bestFit="1" customWidth="1"/>
    <col min="12564" max="12564" width="8.25" style="12" bestFit="1" customWidth="1"/>
    <col min="12565" max="12803" width="9" style="12"/>
    <col min="12804" max="12804" width="8.5" style="12" customWidth="1"/>
    <col min="12805" max="12805" width="40" style="12" customWidth="1"/>
    <col min="12806" max="12806" width="6.375" style="12" bestFit="1" customWidth="1"/>
    <col min="12807" max="12807" width="6.625" style="12" bestFit="1" customWidth="1"/>
    <col min="12808" max="12808" width="8.25" style="12" bestFit="1" customWidth="1"/>
    <col min="12809" max="12809" width="4.125" style="12" customWidth="1"/>
    <col min="12810" max="12810" width="8.5" style="12" customWidth="1"/>
    <col min="12811" max="12811" width="40" style="12" customWidth="1"/>
    <col min="12812" max="12812" width="6.375" style="12" customWidth="1"/>
    <col min="12813" max="12813" width="6.625" style="12" bestFit="1" customWidth="1"/>
    <col min="12814" max="12814" width="8.25" style="12" bestFit="1" customWidth="1"/>
    <col min="12815" max="12815" width="4.125" style="12" customWidth="1"/>
    <col min="12816" max="12816" width="8.5" style="12" customWidth="1"/>
    <col min="12817" max="12817" width="40" style="12" customWidth="1"/>
    <col min="12818" max="12818" width="6.375" style="12" customWidth="1"/>
    <col min="12819" max="12819" width="6.625" style="12" bestFit="1" customWidth="1"/>
    <col min="12820" max="12820" width="8.25" style="12" bestFit="1" customWidth="1"/>
    <col min="12821" max="13059" width="9" style="12"/>
    <col min="13060" max="13060" width="8.5" style="12" customWidth="1"/>
    <col min="13061" max="13061" width="40" style="12" customWidth="1"/>
    <col min="13062" max="13062" width="6.375" style="12" bestFit="1" customWidth="1"/>
    <col min="13063" max="13063" width="6.625" style="12" bestFit="1" customWidth="1"/>
    <col min="13064" max="13064" width="8.25" style="12" bestFit="1" customWidth="1"/>
    <col min="13065" max="13065" width="4.125" style="12" customWidth="1"/>
    <col min="13066" max="13066" width="8.5" style="12" customWidth="1"/>
    <col min="13067" max="13067" width="40" style="12" customWidth="1"/>
    <col min="13068" max="13068" width="6.375" style="12" customWidth="1"/>
    <col min="13069" max="13069" width="6.625" style="12" bestFit="1" customWidth="1"/>
    <col min="13070" max="13070" width="8.25" style="12" bestFit="1" customWidth="1"/>
    <col min="13071" max="13071" width="4.125" style="12" customWidth="1"/>
    <col min="13072" max="13072" width="8.5" style="12" customWidth="1"/>
    <col min="13073" max="13073" width="40" style="12" customWidth="1"/>
    <col min="13074" max="13074" width="6.375" style="12" customWidth="1"/>
    <col min="13075" max="13075" width="6.625" style="12" bestFit="1" customWidth="1"/>
    <col min="13076" max="13076" width="8.25" style="12" bestFit="1" customWidth="1"/>
    <col min="13077" max="13315" width="9" style="12"/>
    <col min="13316" max="13316" width="8.5" style="12" customWidth="1"/>
    <col min="13317" max="13317" width="40" style="12" customWidth="1"/>
    <col min="13318" max="13318" width="6.375" style="12" bestFit="1" customWidth="1"/>
    <col min="13319" max="13319" width="6.625" style="12" bestFit="1" customWidth="1"/>
    <col min="13320" max="13320" width="8.25" style="12" bestFit="1" customWidth="1"/>
    <col min="13321" max="13321" width="4.125" style="12" customWidth="1"/>
    <col min="13322" max="13322" width="8.5" style="12" customWidth="1"/>
    <col min="13323" max="13323" width="40" style="12" customWidth="1"/>
    <col min="13324" max="13324" width="6.375" style="12" customWidth="1"/>
    <col min="13325" max="13325" width="6.625" style="12" bestFit="1" customWidth="1"/>
    <col min="13326" max="13326" width="8.25" style="12" bestFit="1" customWidth="1"/>
    <col min="13327" max="13327" width="4.125" style="12" customWidth="1"/>
    <col min="13328" max="13328" width="8.5" style="12" customWidth="1"/>
    <col min="13329" max="13329" width="40" style="12" customWidth="1"/>
    <col min="13330" max="13330" width="6.375" style="12" customWidth="1"/>
    <col min="13331" max="13331" width="6.625" style="12" bestFit="1" customWidth="1"/>
    <col min="13332" max="13332" width="8.25" style="12" bestFit="1" customWidth="1"/>
    <col min="13333" max="13571" width="9" style="12"/>
    <col min="13572" max="13572" width="8.5" style="12" customWidth="1"/>
    <col min="13573" max="13573" width="40" style="12" customWidth="1"/>
    <col min="13574" max="13574" width="6.375" style="12" bestFit="1" customWidth="1"/>
    <col min="13575" max="13575" width="6.625" style="12" bestFit="1" customWidth="1"/>
    <col min="13576" max="13576" width="8.25" style="12" bestFit="1" customWidth="1"/>
    <col min="13577" max="13577" width="4.125" style="12" customWidth="1"/>
    <col min="13578" max="13578" width="8.5" style="12" customWidth="1"/>
    <col min="13579" max="13579" width="40" style="12" customWidth="1"/>
    <col min="13580" max="13580" width="6.375" style="12" customWidth="1"/>
    <col min="13581" max="13581" width="6.625" style="12" bestFit="1" customWidth="1"/>
    <col min="13582" max="13582" width="8.25" style="12" bestFit="1" customWidth="1"/>
    <col min="13583" max="13583" width="4.125" style="12" customWidth="1"/>
    <col min="13584" max="13584" width="8.5" style="12" customWidth="1"/>
    <col min="13585" max="13585" width="40" style="12" customWidth="1"/>
    <col min="13586" max="13586" width="6.375" style="12" customWidth="1"/>
    <col min="13587" max="13587" width="6.625" style="12" bestFit="1" customWidth="1"/>
    <col min="13588" max="13588" width="8.25" style="12" bestFit="1" customWidth="1"/>
    <col min="13589" max="13827" width="9" style="12"/>
    <col min="13828" max="13828" width="8.5" style="12" customWidth="1"/>
    <col min="13829" max="13829" width="40" style="12" customWidth="1"/>
    <col min="13830" max="13830" width="6.375" style="12" bestFit="1" customWidth="1"/>
    <col min="13831" max="13831" width="6.625" style="12" bestFit="1" customWidth="1"/>
    <col min="13832" max="13832" width="8.25" style="12" bestFit="1" customWidth="1"/>
    <col min="13833" max="13833" width="4.125" style="12" customWidth="1"/>
    <col min="13834" max="13834" width="8.5" style="12" customWidth="1"/>
    <col min="13835" max="13835" width="40" style="12" customWidth="1"/>
    <col min="13836" max="13836" width="6.375" style="12" customWidth="1"/>
    <col min="13837" max="13837" width="6.625" style="12" bestFit="1" customWidth="1"/>
    <col min="13838" max="13838" width="8.25" style="12" bestFit="1" customWidth="1"/>
    <col min="13839" max="13839" width="4.125" style="12" customWidth="1"/>
    <col min="13840" max="13840" width="8.5" style="12" customWidth="1"/>
    <col min="13841" max="13841" width="40" style="12" customWidth="1"/>
    <col min="13842" max="13842" width="6.375" style="12" customWidth="1"/>
    <col min="13843" max="13843" width="6.625" style="12" bestFit="1" customWidth="1"/>
    <col min="13844" max="13844" width="8.25" style="12" bestFit="1" customWidth="1"/>
    <col min="13845" max="14083" width="9" style="12"/>
    <col min="14084" max="14084" width="8.5" style="12" customWidth="1"/>
    <col min="14085" max="14085" width="40" style="12" customWidth="1"/>
    <col min="14086" max="14086" width="6.375" style="12" bestFit="1" customWidth="1"/>
    <col min="14087" max="14087" width="6.625" style="12" bestFit="1" customWidth="1"/>
    <col min="14088" max="14088" width="8.25" style="12" bestFit="1" customWidth="1"/>
    <col min="14089" max="14089" width="4.125" style="12" customWidth="1"/>
    <col min="14090" max="14090" width="8.5" style="12" customWidth="1"/>
    <col min="14091" max="14091" width="40" style="12" customWidth="1"/>
    <col min="14092" max="14092" width="6.375" style="12" customWidth="1"/>
    <col min="14093" max="14093" width="6.625" style="12" bestFit="1" customWidth="1"/>
    <col min="14094" max="14094" width="8.25" style="12" bestFit="1" customWidth="1"/>
    <col min="14095" max="14095" width="4.125" style="12" customWidth="1"/>
    <col min="14096" max="14096" width="8.5" style="12" customWidth="1"/>
    <col min="14097" max="14097" width="40" style="12" customWidth="1"/>
    <col min="14098" max="14098" width="6.375" style="12" customWidth="1"/>
    <col min="14099" max="14099" width="6.625" style="12" bestFit="1" customWidth="1"/>
    <col min="14100" max="14100" width="8.25" style="12" bestFit="1" customWidth="1"/>
    <col min="14101" max="14339" width="9" style="12"/>
    <col min="14340" max="14340" width="8.5" style="12" customWidth="1"/>
    <col min="14341" max="14341" width="40" style="12" customWidth="1"/>
    <col min="14342" max="14342" width="6.375" style="12" bestFit="1" customWidth="1"/>
    <col min="14343" max="14343" width="6.625" style="12" bestFit="1" customWidth="1"/>
    <col min="14344" max="14344" width="8.25" style="12" bestFit="1" customWidth="1"/>
    <col min="14345" max="14345" width="4.125" style="12" customWidth="1"/>
    <col min="14346" max="14346" width="8.5" style="12" customWidth="1"/>
    <col min="14347" max="14347" width="40" style="12" customWidth="1"/>
    <col min="14348" max="14348" width="6.375" style="12" customWidth="1"/>
    <col min="14349" max="14349" width="6.625" style="12" bestFit="1" customWidth="1"/>
    <col min="14350" max="14350" width="8.25" style="12" bestFit="1" customWidth="1"/>
    <col min="14351" max="14351" width="4.125" style="12" customWidth="1"/>
    <col min="14352" max="14352" width="8.5" style="12" customWidth="1"/>
    <col min="14353" max="14353" width="40" style="12" customWidth="1"/>
    <col min="14354" max="14354" width="6.375" style="12" customWidth="1"/>
    <col min="14355" max="14355" width="6.625" style="12" bestFit="1" customWidth="1"/>
    <col min="14356" max="14356" width="8.25" style="12" bestFit="1" customWidth="1"/>
    <col min="14357" max="14595" width="9" style="12"/>
    <col min="14596" max="14596" width="8.5" style="12" customWidth="1"/>
    <col min="14597" max="14597" width="40" style="12" customWidth="1"/>
    <col min="14598" max="14598" width="6.375" style="12" bestFit="1" customWidth="1"/>
    <col min="14599" max="14599" width="6.625" style="12" bestFit="1" customWidth="1"/>
    <col min="14600" max="14600" width="8.25" style="12" bestFit="1" customWidth="1"/>
    <col min="14601" max="14601" width="4.125" style="12" customWidth="1"/>
    <col min="14602" max="14602" width="8.5" style="12" customWidth="1"/>
    <col min="14603" max="14603" width="40" style="12" customWidth="1"/>
    <col min="14604" max="14604" width="6.375" style="12" customWidth="1"/>
    <col min="14605" max="14605" width="6.625" style="12" bestFit="1" customWidth="1"/>
    <col min="14606" max="14606" width="8.25" style="12" bestFit="1" customWidth="1"/>
    <col min="14607" max="14607" width="4.125" style="12" customWidth="1"/>
    <col min="14608" max="14608" width="8.5" style="12" customWidth="1"/>
    <col min="14609" max="14609" width="40" style="12" customWidth="1"/>
    <col min="14610" max="14610" width="6.375" style="12" customWidth="1"/>
    <col min="14611" max="14611" width="6.625" style="12" bestFit="1" customWidth="1"/>
    <col min="14612" max="14612" width="8.25" style="12" bestFit="1" customWidth="1"/>
    <col min="14613" max="14851" width="9" style="12"/>
    <col min="14852" max="14852" width="8.5" style="12" customWidth="1"/>
    <col min="14853" max="14853" width="40" style="12" customWidth="1"/>
    <col min="14854" max="14854" width="6.375" style="12" bestFit="1" customWidth="1"/>
    <col min="14855" max="14855" width="6.625" style="12" bestFit="1" customWidth="1"/>
    <col min="14856" max="14856" width="8.25" style="12" bestFit="1" customWidth="1"/>
    <col min="14857" max="14857" width="4.125" style="12" customWidth="1"/>
    <col min="14858" max="14858" width="8.5" style="12" customWidth="1"/>
    <col min="14859" max="14859" width="40" style="12" customWidth="1"/>
    <col min="14860" max="14860" width="6.375" style="12" customWidth="1"/>
    <col min="14861" max="14861" width="6.625" style="12" bestFit="1" customWidth="1"/>
    <col min="14862" max="14862" width="8.25" style="12" bestFit="1" customWidth="1"/>
    <col min="14863" max="14863" width="4.125" style="12" customWidth="1"/>
    <col min="14864" max="14864" width="8.5" style="12" customWidth="1"/>
    <col min="14865" max="14865" width="40" style="12" customWidth="1"/>
    <col min="14866" max="14866" width="6.375" style="12" customWidth="1"/>
    <col min="14867" max="14867" width="6.625" style="12" bestFit="1" customWidth="1"/>
    <col min="14868" max="14868" width="8.25" style="12" bestFit="1" customWidth="1"/>
    <col min="14869" max="15107" width="9" style="12"/>
    <col min="15108" max="15108" width="8.5" style="12" customWidth="1"/>
    <col min="15109" max="15109" width="40" style="12" customWidth="1"/>
    <col min="15110" max="15110" width="6.375" style="12" bestFit="1" customWidth="1"/>
    <col min="15111" max="15111" width="6.625" style="12" bestFit="1" customWidth="1"/>
    <col min="15112" max="15112" width="8.25" style="12" bestFit="1" customWidth="1"/>
    <col min="15113" max="15113" width="4.125" style="12" customWidth="1"/>
    <col min="15114" max="15114" width="8.5" style="12" customWidth="1"/>
    <col min="15115" max="15115" width="40" style="12" customWidth="1"/>
    <col min="15116" max="15116" width="6.375" style="12" customWidth="1"/>
    <col min="15117" max="15117" width="6.625" style="12" bestFit="1" customWidth="1"/>
    <col min="15118" max="15118" width="8.25" style="12" bestFit="1" customWidth="1"/>
    <col min="15119" max="15119" width="4.125" style="12" customWidth="1"/>
    <col min="15120" max="15120" width="8.5" style="12" customWidth="1"/>
    <col min="15121" max="15121" width="40" style="12" customWidth="1"/>
    <col min="15122" max="15122" width="6.375" style="12" customWidth="1"/>
    <col min="15123" max="15123" width="6.625" style="12" bestFit="1" customWidth="1"/>
    <col min="15124" max="15124" width="8.25" style="12" bestFit="1" customWidth="1"/>
    <col min="15125" max="15363" width="9" style="12"/>
    <col min="15364" max="15364" width="8.5" style="12" customWidth="1"/>
    <col min="15365" max="15365" width="40" style="12" customWidth="1"/>
    <col min="15366" max="15366" width="6.375" style="12" bestFit="1" customWidth="1"/>
    <col min="15367" max="15367" width="6.625" style="12" bestFit="1" customWidth="1"/>
    <col min="15368" max="15368" width="8.25" style="12" bestFit="1" customWidth="1"/>
    <col min="15369" max="15369" width="4.125" style="12" customWidth="1"/>
    <col min="15370" max="15370" width="8.5" style="12" customWidth="1"/>
    <col min="15371" max="15371" width="40" style="12" customWidth="1"/>
    <col min="15372" max="15372" width="6.375" style="12" customWidth="1"/>
    <col min="15373" max="15373" width="6.625" style="12" bestFit="1" customWidth="1"/>
    <col min="15374" max="15374" width="8.25" style="12" bestFit="1" customWidth="1"/>
    <col min="15375" max="15375" width="4.125" style="12" customWidth="1"/>
    <col min="15376" max="15376" width="8.5" style="12" customWidth="1"/>
    <col min="15377" max="15377" width="40" style="12" customWidth="1"/>
    <col min="15378" max="15378" width="6.375" style="12" customWidth="1"/>
    <col min="15379" max="15379" width="6.625" style="12" bestFit="1" customWidth="1"/>
    <col min="15380" max="15380" width="8.25" style="12" bestFit="1" customWidth="1"/>
    <col min="15381" max="15619" width="9" style="12"/>
    <col min="15620" max="15620" width="8.5" style="12" customWidth="1"/>
    <col min="15621" max="15621" width="40" style="12" customWidth="1"/>
    <col min="15622" max="15622" width="6.375" style="12" bestFit="1" customWidth="1"/>
    <col min="15623" max="15623" width="6.625" style="12" bestFit="1" customWidth="1"/>
    <col min="15624" max="15624" width="8.25" style="12" bestFit="1" customWidth="1"/>
    <col min="15625" max="15625" width="4.125" style="12" customWidth="1"/>
    <col min="15626" max="15626" width="8.5" style="12" customWidth="1"/>
    <col min="15627" max="15627" width="40" style="12" customWidth="1"/>
    <col min="15628" max="15628" width="6.375" style="12" customWidth="1"/>
    <col min="15629" max="15629" width="6.625" style="12" bestFit="1" customWidth="1"/>
    <col min="15630" max="15630" width="8.25" style="12" bestFit="1" customWidth="1"/>
    <col min="15631" max="15631" width="4.125" style="12" customWidth="1"/>
    <col min="15632" max="15632" width="8.5" style="12" customWidth="1"/>
    <col min="15633" max="15633" width="40" style="12" customWidth="1"/>
    <col min="15634" max="15634" width="6.375" style="12" customWidth="1"/>
    <col min="15635" max="15635" width="6.625" style="12" bestFit="1" customWidth="1"/>
    <col min="15636" max="15636" width="8.25" style="12" bestFit="1" customWidth="1"/>
    <col min="15637" max="15875" width="9" style="12"/>
    <col min="15876" max="15876" width="8.5" style="12" customWidth="1"/>
    <col min="15877" max="15877" width="40" style="12" customWidth="1"/>
    <col min="15878" max="15878" width="6.375" style="12" bestFit="1" customWidth="1"/>
    <col min="15879" max="15879" width="6.625" style="12" bestFit="1" customWidth="1"/>
    <col min="15880" max="15880" width="8.25" style="12" bestFit="1" customWidth="1"/>
    <col min="15881" max="15881" width="4.125" style="12" customWidth="1"/>
    <col min="15882" max="15882" width="8.5" style="12" customWidth="1"/>
    <col min="15883" max="15883" width="40" style="12" customWidth="1"/>
    <col min="15884" max="15884" width="6.375" style="12" customWidth="1"/>
    <col min="15885" max="15885" width="6.625" style="12" bestFit="1" customWidth="1"/>
    <col min="15886" max="15886" width="8.25" style="12" bestFit="1" customWidth="1"/>
    <col min="15887" max="15887" width="4.125" style="12" customWidth="1"/>
    <col min="15888" max="15888" width="8.5" style="12" customWidth="1"/>
    <col min="15889" max="15889" width="40" style="12" customWidth="1"/>
    <col min="15890" max="15890" width="6.375" style="12" customWidth="1"/>
    <col min="15891" max="15891" width="6.625" style="12" bestFit="1" customWidth="1"/>
    <col min="15892" max="15892" width="8.25" style="12" bestFit="1" customWidth="1"/>
    <col min="15893" max="16131" width="9" style="12"/>
    <col min="16132" max="16132" width="8.5" style="12" customWidth="1"/>
    <col min="16133" max="16133" width="40" style="12" customWidth="1"/>
    <col min="16134" max="16134" width="6.375" style="12" bestFit="1" customWidth="1"/>
    <col min="16135" max="16135" width="6.625" style="12" bestFit="1" customWidth="1"/>
    <col min="16136" max="16136" width="8.25" style="12" bestFit="1" customWidth="1"/>
    <col min="16137" max="16137" width="4.125" style="12" customWidth="1"/>
    <col min="16138" max="16138" width="8.5" style="12" customWidth="1"/>
    <col min="16139" max="16139" width="40" style="12" customWidth="1"/>
    <col min="16140" max="16140" width="6.375" style="12" customWidth="1"/>
    <col min="16141" max="16141" width="6.625" style="12" bestFit="1" customWidth="1"/>
    <col min="16142" max="16142" width="8.25" style="12" bestFit="1" customWidth="1"/>
    <col min="16143" max="16143" width="4.125" style="12" customWidth="1"/>
    <col min="16144" max="16144" width="8.5" style="12" customWidth="1"/>
    <col min="16145" max="16145" width="40" style="12" customWidth="1"/>
    <col min="16146" max="16146" width="6.375" style="12" customWidth="1"/>
    <col min="16147" max="16147" width="6.625" style="12" bestFit="1" customWidth="1"/>
    <col min="16148" max="16148" width="8.25" style="12" bestFit="1" customWidth="1"/>
    <col min="16149" max="16384" width="9" style="12"/>
  </cols>
  <sheetData>
    <row r="1" spans="1:20" ht="15" customHeight="1" x14ac:dyDescent="0.2">
      <c r="A1" s="100" t="s">
        <v>598</v>
      </c>
      <c r="B1" s="5"/>
      <c r="C1" s="6"/>
      <c r="D1" s="7"/>
      <c r="E1" s="7"/>
      <c r="F1" s="7"/>
      <c r="G1" s="9"/>
      <c r="H1" s="4"/>
      <c r="I1" s="5"/>
      <c r="J1" s="10"/>
      <c r="K1" s="11"/>
      <c r="L1" s="7"/>
      <c r="M1" s="146"/>
      <c r="N1" s="9"/>
      <c r="O1" s="4"/>
      <c r="P1" s="5"/>
      <c r="Q1" s="10"/>
      <c r="R1" s="11"/>
      <c r="S1" s="7"/>
      <c r="T1" s="7"/>
    </row>
    <row r="2" spans="1:20" s="199" customFormat="1" ht="15" customHeight="1" x14ac:dyDescent="0.2">
      <c r="A2" s="500" t="s">
        <v>585</v>
      </c>
    </row>
    <row r="3" spans="1:20" ht="15" customHeight="1" x14ac:dyDescent="0.2">
      <c r="A3" s="13"/>
      <c r="B3" s="607" t="s">
        <v>0</v>
      </c>
      <c r="C3" s="607"/>
      <c r="D3" s="607"/>
      <c r="E3" s="124"/>
      <c r="F3" s="124"/>
      <c r="G3" s="14"/>
      <c r="H3" s="13"/>
      <c r="I3" s="607" t="s">
        <v>1</v>
      </c>
      <c r="J3" s="607"/>
      <c r="K3" s="607"/>
      <c r="L3" s="124"/>
      <c r="M3" s="124"/>
      <c r="N3" s="14"/>
      <c r="O3" s="13"/>
      <c r="P3" s="607" t="s">
        <v>2</v>
      </c>
      <c r="Q3" s="607"/>
      <c r="R3" s="607"/>
      <c r="S3" s="124"/>
      <c r="T3" s="124"/>
    </row>
    <row r="4" spans="1:20" s="20" customFormat="1" ht="45" customHeight="1" x14ac:dyDescent="0.2">
      <c r="A4" s="15" t="s">
        <v>235</v>
      </c>
      <c r="B4" s="16" t="s">
        <v>40</v>
      </c>
      <c r="C4" s="17" t="s">
        <v>75</v>
      </c>
      <c r="D4" s="18" t="s">
        <v>38</v>
      </c>
      <c r="E4" s="125" t="s">
        <v>565</v>
      </c>
      <c r="F4" s="125" t="s">
        <v>560</v>
      </c>
      <c r="G4" s="19"/>
      <c r="H4" s="15" t="s">
        <v>235</v>
      </c>
      <c r="I4" s="16" t="s">
        <v>40</v>
      </c>
      <c r="J4" s="17" t="s">
        <v>75</v>
      </c>
      <c r="K4" s="18" t="s">
        <v>38</v>
      </c>
      <c r="L4" s="125" t="s">
        <v>565</v>
      </c>
      <c r="M4" s="125" t="s">
        <v>560</v>
      </c>
      <c r="N4" s="19"/>
      <c r="O4" s="15" t="s">
        <v>235</v>
      </c>
      <c r="P4" s="16" t="s">
        <v>40</v>
      </c>
      <c r="Q4" s="17" t="s">
        <v>75</v>
      </c>
      <c r="R4" s="18" t="s">
        <v>38</v>
      </c>
      <c r="S4" s="125" t="s">
        <v>565</v>
      </c>
      <c r="T4" s="125" t="s">
        <v>560</v>
      </c>
    </row>
    <row r="5" spans="1:20" s="95" customFormat="1" ht="15" customHeight="1" x14ac:dyDescent="0.2">
      <c r="A5" s="269" t="s">
        <v>234</v>
      </c>
      <c r="B5" s="566"/>
      <c r="C5" s="271"/>
      <c r="D5" s="272"/>
      <c r="E5" s="272"/>
      <c r="F5" s="272"/>
      <c r="G5" s="271"/>
      <c r="H5" s="269" t="s">
        <v>234</v>
      </c>
      <c r="I5" s="270"/>
      <c r="J5" s="271"/>
      <c r="K5" s="272"/>
      <c r="L5" s="272"/>
      <c r="M5" s="272"/>
      <c r="N5" s="271"/>
      <c r="O5" s="269" t="s">
        <v>234</v>
      </c>
      <c r="P5" s="270"/>
      <c r="Q5" s="271"/>
      <c r="R5" s="272"/>
      <c r="S5" s="272"/>
      <c r="T5" s="272"/>
    </row>
    <row r="6" spans="1:20" s="25" customFormat="1" ht="15" customHeight="1" x14ac:dyDescent="0.2">
      <c r="A6" s="71">
        <v>1</v>
      </c>
      <c r="B6" s="62" t="s">
        <v>581</v>
      </c>
      <c r="C6" s="63">
        <v>713</v>
      </c>
      <c r="D6" s="64">
        <v>12.7</v>
      </c>
      <c r="E6" s="64">
        <v>54.7</v>
      </c>
      <c r="F6" s="64">
        <v>86.2</v>
      </c>
      <c r="G6" s="30"/>
      <c r="H6" s="71">
        <v>1</v>
      </c>
      <c r="I6" s="62" t="s">
        <v>117</v>
      </c>
      <c r="J6" s="34">
        <v>373</v>
      </c>
      <c r="K6" s="30">
        <v>9</v>
      </c>
      <c r="L6" s="64">
        <v>28.9</v>
      </c>
      <c r="M6" s="64">
        <v>43.1</v>
      </c>
      <c r="N6" s="30"/>
      <c r="O6" s="71">
        <v>1</v>
      </c>
      <c r="P6" s="62" t="s">
        <v>581</v>
      </c>
      <c r="Q6" s="34">
        <v>1079</v>
      </c>
      <c r="R6" s="30">
        <v>11.1</v>
      </c>
      <c r="S6" s="64">
        <v>41.6</v>
      </c>
      <c r="T6" s="64">
        <v>62.7</v>
      </c>
    </row>
    <row r="7" spans="1:20" s="25" customFormat="1" ht="15" customHeight="1" x14ac:dyDescent="0.2">
      <c r="A7" s="71">
        <v>2</v>
      </c>
      <c r="B7" s="62" t="s">
        <v>126</v>
      </c>
      <c r="C7" s="63">
        <v>471</v>
      </c>
      <c r="D7" s="64">
        <v>8.4</v>
      </c>
      <c r="E7" s="64">
        <v>36.200000000000003</v>
      </c>
      <c r="F7" s="64">
        <v>42.8</v>
      </c>
      <c r="G7" s="30"/>
      <c r="H7" s="71">
        <v>2</v>
      </c>
      <c r="I7" s="62" t="s">
        <v>581</v>
      </c>
      <c r="J7" s="34">
        <v>366</v>
      </c>
      <c r="K7" s="30">
        <v>8.8000000000000007</v>
      </c>
      <c r="L7" s="64">
        <v>28.4</v>
      </c>
      <c r="M7" s="64">
        <v>41.1</v>
      </c>
      <c r="N7" s="30"/>
      <c r="O7" s="71">
        <v>2</v>
      </c>
      <c r="P7" s="62" t="s">
        <v>117</v>
      </c>
      <c r="Q7" s="34">
        <v>710</v>
      </c>
      <c r="R7" s="30">
        <v>7.3</v>
      </c>
      <c r="S7" s="64">
        <v>27.4</v>
      </c>
      <c r="T7" s="64">
        <v>42.7</v>
      </c>
    </row>
    <row r="8" spans="1:20" s="25" customFormat="1" ht="15" customHeight="1" x14ac:dyDescent="0.2">
      <c r="A8" s="71">
        <v>3</v>
      </c>
      <c r="B8" s="62" t="s">
        <v>117</v>
      </c>
      <c r="C8" s="63">
        <v>337</v>
      </c>
      <c r="D8" s="64">
        <v>6</v>
      </c>
      <c r="E8" s="64">
        <v>25.9</v>
      </c>
      <c r="F8" s="64">
        <v>42.3</v>
      </c>
      <c r="G8" s="30"/>
      <c r="H8" s="71">
        <v>3</v>
      </c>
      <c r="I8" s="62" t="s">
        <v>322</v>
      </c>
      <c r="J8" s="34">
        <v>274</v>
      </c>
      <c r="K8" s="30">
        <v>6.6</v>
      </c>
      <c r="L8" s="64">
        <v>21.3</v>
      </c>
      <c r="M8" s="64">
        <v>32.1</v>
      </c>
      <c r="N8" s="30"/>
      <c r="O8" s="71">
        <v>3</v>
      </c>
      <c r="P8" s="62" t="s">
        <v>126</v>
      </c>
      <c r="Q8" s="34">
        <v>645</v>
      </c>
      <c r="R8" s="30">
        <v>6.6</v>
      </c>
      <c r="S8" s="64">
        <v>24.9</v>
      </c>
      <c r="T8" s="64">
        <v>28.4</v>
      </c>
    </row>
    <row r="9" spans="1:20" s="25" customFormat="1" ht="15" customHeight="1" x14ac:dyDescent="0.2">
      <c r="A9" s="71">
        <v>4</v>
      </c>
      <c r="B9" s="62" t="s">
        <v>322</v>
      </c>
      <c r="C9" s="63">
        <v>291</v>
      </c>
      <c r="D9" s="64">
        <v>5.2</v>
      </c>
      <c r="E9" s="64">
        <v>22.3</v>
      </c>
      <c r="F9" s="64">
        <v>38.299999999999997</v>
      </c>
      <c r="G9" s="30"/>
      <c r="H9" s="71">
        <v>4</v>
      </c>
      <c r="I9" s="62" t="s">
        <v>126</v>
      </c>
      <c r="J9" s="34">
        <v>174</v>
      </c>
      <c r="K9" s="30">
        <v>4.2</v>
      </c>
      <c r="L9" s="64">
        <v>13.5</v>
      </c>
      <c r="M9" s="64">
        <v>20.100000000000001</v>
      </c>
      <c r="N9" s="30"/>
      <c r="O9" s="71">
        <v>4</v>
      </c>
      <c r="P9" s="62" t="s">
        <v>322</v>
      </c>
      <c r="Q9" s="34">
        <v>565</v>
      </c>
      <c r="R9" s="30">
        <v>5.8</v>
      </c>
      <c r="S9" s="64">
        <v>21.8</v>
      </c>
      <c r="T9" s="64">
        <v>35</v>
      </c>
    </row>
    <row r="10" spans="1:20" s="25" customFormat="1" ht="15" customHeight="1" x14ac:dyDescent="0.2">
      <c r="A10" s="71">
        <v>5</v>
      </c>
      <c r="B10" s="62" t="s">
        <v>128</v>
      </c>
      <c r="C10" s="63">
        <v>243</v>
      </c>
      <c r="D10" s="64">
        <v>4.3</v>
      </c>
      <c r="E10" s="64">
        <v>18.7</v>
      </c>
      <c r="F10" s="64">
        <v>20.9</v>
      </c>
      <c r="G10" s="30"/>
      <c r="H10" s="71">
        <v>5</v>
      </c>
      <c r="I10" s="62" t="s">
        <v>120</v>
      </c>
      <c r="J10" s="63">
        <v>174</v>
      </c>
      <c r="K10" s="64">
        <v>4.2</v>
      </c>
      <c r="L10" s="64">
        <v>13.5</v>
      </c>
      <c r="M10" s="64">
        <v>14.3</v>
      </c>
      <c r="N10" s="30"/>
      <c r="O10" s="71">
        <v>5</v>
      </c>
      <c r="P10" s="62" t="s">
        <v>128</v>
      </c>
      <c r="Q10" s="34">
        <v>341</v>
      </c>
      <c r="R10" s="30">
        <v>3.5</v>
      </c>
      <c r="S10" s="64">
        <v>13.2</v>
      </c>
      <c r="T10" s="64">
        <v>14.7</v>
      </c>
    </row>
    <row r="11" spans="1:20" s="25" customFormat="1" ht="15" customHeight="1" x14ac:dyDescent="0.2">
      <c r="A11" s="71">
        <v>6</v>
      </c>
      <c r="B11" s="62" t="s">
        <v>130</v>
      </c>
      <c r="C11" s="63">
        <v>207</v>
      </c>
      <c r="D11" s="64">
        <v>3.7</v>
      </c>
      <c r="E11" s="64">
        <v>15.9</v>
      </c>
      <c r="F11" s="64">
        <v>21.8</v>
      </c>
      <c r="G11" s="30"/>
      <c r="H11" s="71">
        <v>6</v>
      </c>
      <c r="I11" s="62" t="s">
        <v>313</v>
      </c>
      <c r="J11" s="34">
        <v>124</v>
      </c>
      <c r="K11" s="30">
        <v>3</v>
      </c>
      <c r="L11" s="64">
        <v>9.6</v>
      </c>
      <c r="M11" s="64">
        <v>14.4</v>
      </c>
      <c r="N11" s="30"/>
      <c r="O11" s="71">
        <v>6</v>
      </c>
      <c r="P11" s="62" t="s">
        <v>120</v>
      </c>
      <c r="Q11" s="34">
        <v>300</v>
      </c>
      <c r="R11" s="30">
        <v>3.1</v>
      </c>
      <c r="S11" s="64">
        <v>11.6</v>
      </c>
      <c r="T11" s="64">
        <v>18</v>
      </c>
    </row>
    <row r="12" spans="1:20" s="25" customFormat="1" ht="15" customHeight="1" x14ac:dyDescent="0.2">
      <c r="A12" s="71">
        <v>7</v>
      </c>
      <c r="B12" s="62" t="s">
        <v>120</v>
      </c>
      <c r="C12" s="63">
        <v>126</v>
      </c>
      <c r="D12" s="64">
        <v>2.2000000000000002</v>
      </c>
      <c r="E12" s="64">
        <v>9.6999999999999993</v>
      </c>
      <c r="F12" s="64">
        <v>15.8</v>
      </c>
      <c r="G12" s="30"/>
      <c r="H12" s="71">
        <v>7</v>
      </c>
      <c r="I12" s="62" t="s">
        <v>128</v>
      </c>
      <c r="J12" s="34">
        <v>98</v>
      </c>
      <c r="K12" s="30">
        <v>2.4</v>
      </c>
      <c r="L12" s="64">
        <v>7.6</v>
      </c>
      <c r="M12" s="64">
        <v>8.6999999999999993</v>
      </c>
      <c r="N12" s="30"/>
      <c r="O12" s="71">
        <v>7</v>
      </c>
      <c r="P12" s="62" t="s">
        <v>130</v>
      </c>
      <c r="Q12" s="34">
        <v>294</v>
      </c>
      <c r="R12" s="30">
        <v>3</v>
      </c>
      <c r="S12" s="64">
        <v>11.3</v>
      </c>
      <c r="T12" s="64">
        <v>15.2</v>
      </c>
    </row>
    <row r="13" spans="1:20" s="25" customFormat="1" ht="15" customHeight="1" x14ac:dyDescent="0.2">
      <c r="A13" s="71">
        <v>8</v>
      </c>
      <c r="B13" s="62" t="s">
        <v>132</v>
      </c>
      <c r="C13" s="63">
        <v>103</v>
      </c>
      <c r="D13" s="64">
        <v>1.8</v>
      </c>
      <c r="E13" s="64">
        <v>7.9</v>
      </c>
      <c r="F13" s="64">
        <v>4.9000000000000004</v>
      </c>
      <c r="G13" s="30"/>
      <c r="H13" s="71">
        <v>8</v>
      </c>
      <c r="I13" s="62" t="s">
        <v>130</v>
      </c>
      <c r="J13" s="34">
        <v>87</v>
      </c>
      <c r="K13" s="30">
        <v>2.1</v>
      </c>
      <c r="L13" s="64">
        <v>6.8</v>
      </c>
      <c r="M13" s="64">
        <v>8.8000000000000007</v>
      </c>
      <c r="N13" s="30"/>
      <c r="O13" s="71">
        <v>8</v>
      </c>
      <c r="P13" s="62" t="s">
        <v>132</v>
      </c>
      <c r="Q13" s="34">
        <v>184</v>
      </c>
      <c r="R13" s="30">
        <v>1.9</v>
      </c>
      <c r="S13" s="64">
        <v>7.1</v>
      </c>
      <c r="T13" s="64">
        <v>4.5</v>
      </c>
    </row>
    <row r="14" spans="1:20" s="25" customFormat="1" ht="15" customHeight="1" x14ac:dyDescent="0.2">
      <c r="A14" s="71">
        <v>9</v>
      </c>
      <c r="B14" s="62" t="s">
        <v>112</v>
      </c>
      <c r="C14" s="63">
        <v>100</v>
      </c>
      <c r="D14" s="64">
        <v>1.8</v>
      </c>
      <c r="E14" s="64">
        <v>7.7</v>
      </c>
      <c r="F14" s="64">
        <v>12</v>
      </c>
      <c r="G14" s="30"/>
      <c r="H14" s="71">
        <v>9</v>
      </c>
      <c r="I14" s="62" t="s">
        <v>115</v>
      </c>
      <c r="J14" s="34">
        <v>84</v>
      </c>
      <c r="K14" s="30">
        <v>2</v>
      </c>
      <c r="L14" s="64">
        <v>6.5</v>
      </c>
      <c r="M14" s="64">
        <v>9.6</v>
      </c>
      <c r="N14" s="30"/>
      <c r="O14" s="71">
        <v>9</v>
      </c>
      <c r="P14" s="62" t="s">
        <v>115</v>
      </c>
      <c r="Q14" s="34">
        <v>183</v>
      </c>
      <c r="R14" s="30">
        <v>1.9</v>
      </c>
      <c r="S14" s="64">
        <v>7.1</v>
      </c>
      <c r="T14" s="64">
        <v>11.1</v>
      </c>
    </row>
    <row r="15" spans="1:20" s="25" customFormat="1" ht="15" customHeight="1" x14ac:dyDescent="0.2">
      <c r="A15" s="71">
        <v>10</v>
      </c>
      <c r="B15" s="62" t="s">
        <v>115</v>
      </c>
      <c r="C15" s="63">
        <v>99</v>
      </c>
      <c r="D15" s="64">
        <v>1.8</v>
      </c>
      <c r="E15" s="64">
        <v>7.6</v>
      </c>
      <c r="F15" s="64">
        <v>12.8</v>
      </c>
      <c r="G15" s="30"/>
      <c r="H15" s="71">
        <v>10</v>
      </c>
      <c r="I15" s="62" t="s">
        <v>132</v>
      </c>
      <c r="J15" s="34">
        <v>81</v>
      </c>
      <c r="K15" s="30">
        <v>2</v>
      </c>
      <c r="L15" s="64">
        <v>6.3</v>
      </c>
      <c r="M15" s="64">
        <v>4.0999999999999996</v>
      </c>
      <c r="N15" s="30"/>
      <c r="O15" s="71">
        <v>10</v>
      </c>
      <c r="P15" s="62" t="s">
        <v>112</v>
      </c>
      <c r="Q15" s="34">
        <v>168</v>
      </c>
      <c r="R15" s="30">
        <v>1.7</v>
      </c>
      <c r="S15" s="64">
        <v>6.5</v>
      </c>
      <c r="T15" s="64">
        <v>9.6999999999999993</v>
      </c>
    </row>
    <row r="16" spans="1:20" s="25" customFormat="1" ht="15" customHeight="1" x14ac:dyDescent="0.2">
      <c r="A16" s="71">
        <v>11</v>
      </c>
      <c r="B16" s="62" t="s">
        <v>131</v>
      </c>
      <c r="C16" s="63">
        <v>61</v>
      </c>
      <c r="D16" s="64">
        <v>1.1000000000000001</v>
      </c>
      <c r="E16" s="64">
        <v>4.7</v>
      </c>
      <c r="F16" s="64">
        <v>5.3</v>
      </c>
      <c r="G16" s="30"/>
      <c r="H16" s="71">
        <v>11</v>
      </c>
      <c r="I16" s="62" t="s">
        <v>118</v>
      </c>
      <c r="J16" s="34">
        <v>77</v>
      </c>
      <c r="K16" s="30">
        <v>1.9</v>
      </c>
      <c r="L16" s="64">
        <v>6</v>
      </c>
      <c r="M16" s="64">
        <v>8.1999999999999993</v>
      </c>
      <c r="N16" s="30"/>
      <c r="O16" s="71">
        <v>11</v>
      </c>
      <c r="P16" s="62" t="s">
        <v>118</v>
      </c>
      <c r="Q16" s="34">
        <v>125</v>
      </c>
      <c r="R16" s="30">
        <v>1.3</v>
      </c>
      <c r="S16" s="64">
        <v>4.8</v>
      </c>
      <c r="T16" s="64">
        <v>6.9</v>
      </c>
    </row>
    <row r="17" spans="1:20" s="25" customFormat="1" ht="15" customHeight="1" x14ac:dyDescent="0.2">
      <c r="A17" s="71">
        <v>12</v>
      </c>
      <c r="B17" s="62" t="s">
        <v>318</v>
      </c>
      <c r="C17" s="63">
        <v>49</v>
      </c>
      <c r="D17" s="64">
        <v>0.9</v>
      </c>
      <c r="E17" s="64">
        <v>3.8</v>
      </c>
      <c r="F17" s="64">
        <v>6.8</v>
      </c>
      <c r="G17" s="30"/>
      <c r="H17" s="71">
        <v>12</v>
      </c>
      <c r="I17" s="62" t="s">
        <v>112</v>
      </c>
      <c r="J17" s="34">
        <v>68</v>
      </c>
      <c r="K17" s="30">
        <v>1.6</v>
      </c>
      <c r="L17" s="64">
        <v>5.3</v>
      </c>
      <c r="M17" s="64">
        <v>7.6</v>
      </c>
      <c r="N17" s="30"/>
      <c r="O17" s="71">
        <v>12</v>
      </c>
      <c r="P17" s="62" t="s">
        <v>313</v>
      </c>
      <c r="Q17" s="34">
        <v>124</v>
      </c>
      <c r="R17" s="30">
        <v>1.3</v>
      </c>
      <c r="S17" s="64">
        <v>4.8</v>
      </c>
      <c r="T17" s="64">
        <v>7.6</v>
      </c>
    </row>
    <row r="18" spans="1:20" s="25" customFormat="1" ht="15" customHeight="1" x14ac:dyDescent="0.2">
      <c r="A18" s="71">
        <v>13</v>
      </c>
      <c r="B18" s="62" t="s">
        <v>118</v>
      </c>
      <c r="C18" s="63">
        <v>48</v>
      </c>
      <c r="D18" s="64">
        <v>0.9</v>
      </c>
      <c r="E18" s="64">
        <v>3.7</v>
      </c>
      <c r="F18" s="64">
        <v>5.4</v>
      </c>
      <c r="G18" s="30"/>
      <c r="H18" s="71">
        <v>13</v>
      </c>
      <c r="I18" s="62" t="s">
        <v>123</v>
      </c>
      <c r="J18" s="34">
        <v>64</v>
      </c>
      <c r="K18" s="30">
        <v>1.5</v>
      </c>
      <c r="L18" s="64">
        <v>5</v>
      </c>
      <c r="M18" s="64">
        <v>7.5</v>
      </c>
      <c r="N18" s="30"/>
      <c r="O18" s="71">
        <v>13</v>
      </c>
      <c r="P18" s="62" t="s">
        <v>123</v>
      </c>
      <c r="Q18" s="34">
        <v>110</v>
      </c>
      <c r="R18" s="30">
        <v>1.1000000000000001</v>
      </c>
      <c r="S18" s="64">
        <v>4.2</v>
      </c>
      <c r="T18" s="64">
        <v>6.7</v>
      </c>
    </row>
    <row r="19" spans="1:20" s="25" customFormat="1" ht="15" customHeight="1" x14ac:dyDescent="0.2">
      <c r="A19" s="71">
        <v>14</v>
      </c>
      <c r="B19" s="62" t="s">
        <v>119</v>
      </c>
      <c r="C19" s="63">
        <v>48</v>
      </c>
      <c r="D19" s="64">
        <v>0.9</v>
      </c>
      <c r="E19" s="64">
        <v>3.7</v>
      </c>
      <c r="F19" s="64">
        <v>5.8</v>
      </c>
      <c r="G19" s="30"/>
      <c r="H19" s="71">
        <v>14</v>
      </c>
      <c r="I19" s="62" t="s">
        <v>119</v>
      </c>
      <c r="J19" s="34">
        <v>43</v>
      </c>
      <c r="K19" s="30">
        <v>1</v>
      </c>
      <c r="L19" s="64">
        <v>3.3</v>
      </c>
      <c r="M19" s="64">
        <v>5.0999999999999996</v>
      </c>
      <c r="N19" s="30"/>
      <c r="O19" s="71">
        <v>14</v>
      </c>
      <c r="P19" s="62" t="s">
        <v>119</v>
      </c>
      <c r="Q19" s="34">
        <v>91</v>
      </c>
      <c r="R19" s="30">
        <v>0.9</v>
      </c>
      <c r="S19" s="64">
        <v>3.5</v>
      </c>
      <c r="T19" s="64">
        <v>5.5</v>
      </c>
    </row>
    <row r="20" spans="1:20" s="25" customFormat="1" ht="15" customHeight="1" x14ac:dyDescent="0.2">
      <c r="A20" s="71">
        <v>15</v>
      </c>
      <c r="B20" s="62" t="s">
        <v>123</v>
      </c>
      <c r="C20" s="63">
        <v>46</v>
      </c>
      <c r="D20" s="64">
        <v>0.8</v>
      </c>
      <c r="E20" s="64">
        <v>3.5</v>
      </c>
      <c r="F20" s="64">
        <v>5.8</v>
      </c>
      <c r="G20" s="30"/>
      <c r="H20" s="71">
        <v>15</v>
      </c>
      <c r="I20" s="62" t="s">
        <v>423</v>
      </c>
      <c r="J20" s="34">
        <v>41</v>
      </c>
      <c r="K20" s="30">
        <v>1</v>
      </c>
      <c r="L20" s="64">
        <v>3.2</v>
      </c>
      <c r="M20" s="64">
        <v>4.4000000000000004</v>
      </c>
      <c r="N20" s="30"/>
      <c r="O20" s="71">
        <v>15</v>
      </c>
      <c r="P20" s="62" t="s">
        <v>131</v>
      </c>
      <c r="Q20" s="34">
        <v>86</v>
      </c>
      <c r="R20" s="30">
        <v>0.9</v>
      </c>
      <c r="S20" s="64">
        <v>3.3</v>
      </c>
      <c r="T20" s="64">
        <v>3.9</v>
      </c>
    </row>
    <row r="21" spans="1:20" s="588" customFormat="1" ht="15" customHeight="1" x14ac:dyDescent="0.2">
      <c r="A21" s="583">
        <v>16</v>
      </c>
      <c r="B21" s="584" t="s">
        <v>125</v>
      </c>
      <c r="C21" s="585">
        <v>40</v>
      </c>
      <c r="D21" s="73">
        <v>0.7</v>
      </c>
      <c r="E21" s="73">
        <v>3.1</v>
      </c>
      <c r="F21" s="73">
        <v>4.5</v>
      </c>
      <c r="G21" s="586"/>
      <c r="H21" s="583">
        <v>16</v>
      </c>
      <c r="I21" s="584" t="s">
        <v>124</v>
      </c>
      <c r="J21" s="585" t="s">
        <v>552</v>
      </c>
      <c r="K21" s="585" t="s">
        <v>552</v>
      </c>
      <c r="L21" s="585" t="s">
        <v>552</v>
      </c>
      <c r="M21" s="585" t="s">
        <v>552</v>
      </c>
      <c r="N21" s="586"/>
      <c r="O21" s="583">
        <v>16</v>
      </c>
      <c r="P21" s="584" t="s">
        <v>125</v>
      </c>
      <c r="Q21" s="587">
        <v>63</v>
      </c>
      <c r="R21" s="586">
        <v>0.6</v>
      </c>
      <c r="S21" s="73">
        <v>2.4</v>
      </c>
      <c r="T21" s="73">
        <v>3.6</v>
      </c>
    </row>
    <row r="22" spans="1:20" s="588" customFormat="1" ht="15" customHeight="1" x14ac:dyDescent="0.2">
      <c r="A22" s="583">
        <v>17</v>
      </c>
      <c r="B22" s="584" t="s">
        <v>542</v>
      </c>
      <c r="C22" s="585" t="s">
        <v>552</v>
      </c>
      <c r="D22" s="585" t="s">
        <v>552</v>
      </c>
      <c r="E22" s="585" t="s">
        <v>552</v>
      </c>
      <c r="F22" s="585" t="s">
        <v>552</v>
      </c>
      <c r="G22" s="586"/>
      <c r="H22" s="583">
        <v>17</v>
      </c>
      <c r="I22" s="584" t="s">
        <v>131</v>
      </c>
      <c r="J22" s="587">
        <v>25</v>
      </c>
      <c r="K22" s="586">
        <v>0.6</v>
      </c>
      <c r="L22" s="73">
        <v>1.9</v>
      </c>
      <c r="M22" s="73">
        <v>2.4</v>
      </c>
      <c r="N22" s="586"/>
      <c r="O22" s="583">
        <v>17</v>
      </c>
      <c r="P22" s="584" t="s">
        <v>121</v>
      </c>
      <c r="Q22" s="587">
        <v>53</v>
      </c>
      <c r="R22" s="586">
        <v>0.5</v>
      </c>
      <c r="S22" s="73">
        <v>2</v>
      </c>
      <c r="T22" s="73">
        <v>3</v>
      </c>
    </row>
    <row r="23" spans="1:20" s="588" customFormat="1" ht="15" customHeight="1" x14ac:dyDescent="0.2">
      <c r="A23" s="583">
        <v>18</v>
      </c>
      <c r="B23" s="584" t="s">
        <v>121</v>
      </c>
      <c r="C23" s="585">
        <v>32</v>
      </c>
      <c r="D23" s="73">
        <v>0.6</v>
      </c>
      <c r="E23" s="73">
        <v>2.5</v>
      </c>
      <c r="F23" s="73">
        <v>3.9</v>
      </c>
      <c r="G23" s="586"/>
      <c r="H23" s="583">
        <v>18</v>
      </c>
      <c r="I23" s="584" t="s">
        <v>602</v>
      </c>
      <c r="J23" s="585" t="s">
        <v>552</v>
      </c>
      <c r="K23" s="585" t="s">
        <v>552</v>
      </c>
      <c r="L23" s="585" t="s">
        <v>552</v>
      </c>
      <c r="M23" s="585" t="s">
        <v>552</v>
      </c>
      <c r="N23" s="586"/>
      <c r="O23" s="583">
        <v>18</v>
      </c>
      <c r="P23" s="584" t="s">
        <v>542</v>
      </c>
      <c r="Q23" s="585">
        <v>51</v>
      </c>
      <c r="R23" s="73">
        <v>0.5</v>
      </c>
      <c r="S23" s="73">
        <v>2</v>
      </c>
      <c r="T23" s="73">
        <v>3.1</v>
      </c>
    </row>
    <row r="24" spans="1:20" s="588" customFormat="1" ht="15" customHeight="1" x14ac:dyDescent="0.2">
      <c r="A24" s="583">
        <v>19</v>
      </c>
      <c r="B24" s="589" t="s">
        <v>426</v>
      </c>
      <c r="C24" s="585" t="s">
        <v>552</v>
      </c>
      <c r="D24" s="585" t="s">
        <v>552</v>
      </c>
      <c r="E24" s="585" t="s">
        <v>552</v>
      </c>
      <c r="F24" s="585" t="s">
        <v>552</v>
      </c>
      <c r="G24" s="586"/>
      <c r="H24" s="583">
        <v>19</v>
      </c>
      <c r="I24" s="584" t="s">
        <v>125</v>
      </c>
      <c r="J24" s="587">
        <v>23</v>
      </c>
      <c r="K24" s="586">
        <v>0.6</v>
      </c>
      <c r="L24" s="73">
        <v>1.8</v>
      </c>
      <c r="M24" s="73">
        <v>2.7</v>
      </c>
      <c r="N24" s="586"/>
      <c r="O24" s="583">
        <v>19</v>
      </c>
      <c r="P24" s="584" t="s">
        <v>318</v>
      </c>
      <c r="Q24" s="587">
        <v>49</v>
      </c>
      <c r="R24" s="586">
        <v>0.5</v>
      </c>
      <c r="S24" s="73">
        <v>1.9</v>
      </c>
      <c r="T24" s="73">
        <v>3.2</v>
      </c>
    </row>
    <row r="25" spans="1:20" s="588" customFormat="1" ht="15" customHeight="1" x14ac:dyDescent="0.2">
      <c r="A25" s="583">
        <v>20</v>
      </c>
      <c r="B25" s="589" t="s">
        <v>601</v>
      </c>
      <c r="C25" s="585" t="s">
        <v>552</v>
      </c>
      <c r="D25" s="585" t="s">
        <v>552</v>
      </c>
      <c r="E25" s="585" t="s">
        <v>552</v>
      </c>
      <c r="F25" s="585" t="s">
        <v>552</v>
      </c>
      <c r="G25" s="586"/>
      <c r="H25" s="583">
        <v>20</v>
      </c>
      <c r="I25" s="584" t="s">
        <v>121</v>
      </c>
      <c r="J25" s="585">
        <v>21</v>
      </c>
      <c r="K25" s="73">
        <v>0.5</v>
      </c>
      <c r="L25" s="73">
        <v>1.6</v>
      </c>
      <c r="M25" s="73">
        <v>2.2000000000000002</v>
      </c>
      <c r="N25" s="586"/>
      <c r="O25" s="583">
        <v>20</v>
      </c>
      <c r="P25" s="589" t="s">
        <v>124</v>
      </c>
      <c r="Q25" s="585">
        <v>47</v>
      </c>
      <c r="R25" s="73">
        <v>0.5</v>
      </c>
      <c r="S25" s="73">
        <v>1.8</v>
      </c>
      <c r="T25" s="73">
        <v>2.5</v>
      </c>
    </row>
    <row r="26" spans="1:20" s="43" customFormat="1" ht="15" customHeight="1" x14ac:dyDescent="0.2">
      <c r="A26" s="140"/>
      <c r="B26" s="65" t="s">
        <v>253</v>
      </c>
      <c r="C26" s="66">
        <v>3276</v>
      </c>
      <c r="D26" s="67">
        <v>58.3</v>
      </c>
      <c r="E26" s="67">
        <v>251.5</v>
      </c>
      <c r="F26" s="67">
        <v>362.7</v>
      </c>
      <c r="G26" s="38"/>
      <c r="H26" s="140"/>
      <c r="I26" s="65" t="s">
        <v>253</v>
      </c>
      <c r="J26" s="41">
        <v>2359</v>
      </c>
      <c r="K26" s="38">
        <v>56.9</v>
      </c>
      <c r="L26" s="67">
        <v>183.1</v>
      </c>
      <c r="M26" s="67">
        <v>253</v>
      </c>
      <c r="N26" s="38"/>
      <c r="O26" s="140"/>
      <c r="P26" s="65" t="s">
        <v>253</v>
      </c>
      <c r="Q26" s="41">
        <v>5635</v>
      </c>
      <c r="R26" s="38">
        <v>57.7</v>
      </c>
      <c r="S26" s="67">
        <v>217.5</v>
      </c>
      <c r="T26" s="67">
        <v>306.39999999999998</v>
      </c>
    </row>
    <row r="27" spans="1:20" s="43" customFormat="1" ht="15" customHeight="1" x14ac:dyDescent="0.2">
      <c r="A27" s="139"/>
      <c r="B27" s="65" t="s">
        <v>574</v>
      </c>
      <c r="C27" s="66">
        <v>2339</v>
      </c>
      <c r="D27" s="67">
        <v>41.7</v>
      </c>
      <c r="E27" s="67">
        <v>179.6</v>
      </c>
      <c r="F27" s="67">
        <v>273.3</v>
      </c>
      <c r="G27" s="38"/>
      <c r="H27" s="139"/>
      <c r="I27" s="65" t="s">
        <v>574</v>
      </c>
      <c r="J27" s="41">
        <v>1788</v>
      </c>
      <c r="K27" s="38">
        <v>43.1</v>
      </c>
      <c r="L27" s="67">
        <v>138.80000000000001</v>
      </c>
      <c r="M27" s="67">
        <v>196.2</v>
      </c>
      <c r="N27" s="38"/>
      <c r="O27" s="139"/>
      <c r="P27" s="65" t="s">
        <v>574</v>
      </c>
      <c r="Q27" s="41">
        <v>4127</v>
      </c>
      <c r="R27" s="38">
        <v>42.3</v>
      </c>
      <c r="S27" s="67">
        <v>159.30000000000001</v>
      </c>
      <c r="T27" s="67">
        <v>233.2</v>
      </c>
    </row>
    <row r="28" spans="1:20" s="54" customFormat="1" ht="15" customHeight="1" x14ac:dyDescent="0.2">
      <c r="A28" s="68"/>
      <c r="B28" s="68" t="s">
        <v>575</v>
      </c>
      <c r="C28" s="69">
        <v>5615</v>
      </c>
      <c r="D28" s="70">
        <v>100</v>
      </c>
      <c r="E28" s="70">
        <v>431.1</v>
      </c>
      <c r="F28" s="70">
        <v>635.9</v>
      </c>
      <c r="G28" s="48"/>
      <c r="H28" s="68"/>
      <c r="I28" s="68" t="s">
        <v>575</v>
      </c>
      <c r="J28" s="52">
        <v>4147</v>
      </c>
      <c r="K28" s="48">
        <v>100</v>
      </c>
      <c r="L28" s="70">
        <v>321.89999999999998</v>
      </c>
      <c r="M28" s="70">
        <v>449.2</v>
      </c>
      <c r="N28" s="48"/>
      <c r="O28" s="68"/>
      <c r="P28" s="68" t="s">
        <v>575</v>
      </c>
      <c r="Q28" s="52">
        <v>9762</v>
      </c>
      <c r="R28" s="48">
        <v>100</v>
      </c>
      <c r="S28" s="70">
        <v>376.8</v>
      </c>
      <c r="T28" s="70">
        <v>539.6</v>
      </c>
    </row>
    <row r="29" spans="1:20" s="54" customFormat="1" ht="15" customHeight="1" x14ac:dyDescent="0.2">
      <c r="A29" s="103" t="s">
        <v>236</v>
      </c>
      <c r="B29" s="55"/>
      <c r="C29" s="56"/>
      <c r="D29" s="57"/>
      <c r="E29" s="57"/>
      <c r="F29" s="57"/>
      <c r="G29" s="58"/>
      <c r="H29" s="103" t="s">
        <v>236</v>
      </c>
      <c r="I29" s="55"/>
      <c r="J29" s="60"/>
      <c r="K29" s="58"/>
      <c r="L29" s="57"/>
      <c r="M29" s="57"/>
      <c r="N29" s="58"/>
      <c r="O29" s="103" t="s">
        <v>236</v>
      </c>
      <c r="P29" s="55"/>
      <c r="Q29" s="60"/>
      <c r="R29" s="58"/>
      <c r="S29" s="57"/>
      <c r="T29" s="57"/>
    </row>
    <row r="30" spans="1:20" s="25" customFormat="1" ht="15" customHeight="1" x14ac:dyDescent="0.2">
      <c r="A30" s="71">
        <v>1</v>
      </c>
      <c r="B30" s="62" t="s">
        <v>581</v>
      </c>
      <c r="C30" s="63">
        <v>7993</v>
      </c>
      <c r="D30" s="64">
        <v>11.1</v>
      </c>
      <c r="E30" s="64">
        <v>32.9</v>
      </c>
      <c r="F30" s="64">
        <v>26.1</v>
      </c>
      <c r="G30" s="30"/>
      <c r="H30" s="71">
        <v>1</v>
      </c>
      <c r="I30" s="62" t="s">
        <v>313</v>
      </c>
      <c r="J30" s="34">
        <v>3411</v>
      </c>
      <c r="K30" s="30">
        <v>7.7</v>
      </c>
      <c r="L30" s="64">
        <v>14.1</v>
      </c>
      <c r="M30" s="64">
        <v>11.1</v>
      </c>
      <c r="N30" s="30"/>
      <c r="O30" s="71">
        <v>1</v>
      </c>
      <c r="P30" s="62" t="s">
        <v>581</v>
      </c>
      <c r="Q30" s="34">
        <v>10171</v>
      </c>
      <c r="R30" s="30">
        <v>8.8000000000000007</v>
      </c>
      <c r="S30" s="64">
        <v>21</v>
      </c>
      <c r="T30" s="64">
        <v>16.100000000000001</v>
      </c>
    </row>
    <row r="31" spans="1:20" s="25" customFormat="1" ht="15" customHeight="1" x14ac:dyDescent="0.2">
      <c r="A31" s="71">
        <v>2</v>
      </c>
      <c r="B31" s="62" t="s">
        <v>126</v>
      </c>
      <c r="C31" s="63">
        <v>4378</v>
      </c>
      <c r="D31" s="64">
        <v>6.1</v>
      </c>
      <c r="E31" s="64">
        <v>18</v>
      </c>
      <c r="F31" s="64">
        <v>17.600000000000001</v>
      </c>
      <c r="G31" s="30"/>
      <c r="H31" s="71">
        <v>2</v>
      </c>
      <c r="I31" s="62" t="s">
        <v>581</v>
      </c>
      <c r="J31" s="34">
        <v>2178</v>
      </c>
      <c r="K31" s="30">
        <v>4.9000000000000004</v>
      </c>
      <c r="L31" s="64">
        <v>9</v>
      </c>
      <c r="M31" s="64">
        <v>6.6</v>
      </c>
      <c r="N31" s="30"/>
      <c r="O31" s="71">
        <v>2</v>
      </c>
      <c r="P31" s="62" t="s">
        <v>126</v>
      </c>
      <c r="Q31" s="34">
        <v>5768</v>
      </c>
      <c r="R31" s="30">
        <v>5</v>
      </c>
      <c r="S31" s="64">
        <v>11.9</v>
      </c>
      <c r="T31" s="64">
        <v>11.6</v>
      </c>
    </row>
    <row r="32" spans="1:20" s="25" customFormat="1" ht="15" customHeight="1" x14ac:dyDescent="0.2">
      <c r="A32" s="71">
        <v>3</v>
      </c>
      <c r="B32" s="62" t="s">
        <v>115</v>
      </c>
      <c r="C32" s="63">
        <v>2713</v>
      </c>
      <c r="D32" s="64">
        <v>3.8</v>
      </c>
      <c r="E32" s="64">
        <v>11.2</v>
      </c>
      <c r="F32" s="64">
        <v>8.9</v>
      </c>
      <c r="G32" s="30"/>
      <c r="H32" s="71">
        <v>3</v>
      </c>
      <c r="I32" s="62" t="s">
        <v>322</v>
      </c>
      <c r="J32" s="34">
        <v>2022</v>
      </c>
      <c r="K32" s="30">
        <v>4.5999999999999996</v>
      </c>
      <c r="L32" s="64">
        <v>8.4</v>
      </c>
      <c r="M32" s="64">
        <v>5.8</v>
      </c>
      <c r="N32" s="30"/>
      <c r="O32" s="71">
        <v>3</v>
      </c>
      <c r="P32" s="62" t="s">
        <v>115</v>
      </c>
      <c r="Q32" s="34">
        <v>4631</v>
      </c>
      <c r="R32" s="30">
        <v>4</v>
      </c>
      <c r="S32" s="64">
        <v>9.6</v>
      </c>
      <c r="T32" s="64">
        <v>7.5</v>
      </c>
    </row>
    <row r="33" spans="1:20" s="25" customFormat="1" ht="15" customHeight="1" x14ac:dyDescent="0.2">
      <c r="A33" s="71">
        <v>4</v>
      </c>
      <c r="B33" s="62" t="s">
        <v>322</v>
      </c>
      <c r="C33" s="63">
        <v>2521</v>
      </c>
      <c r="D33" s="64">
        <v>3.5</v>
      </c>
      <c r="E33" s="64">
        <v>10.4</v>
      </c>
      <c r="F33" s="64">
        <v>7.7</v>
      </c>
      <c r="G33" s="30"/>
      <c r="H33" s="71">
        <v>4</v>
      </c>
      <c r="I33" s="62" t="s">
        <v>115</v>
      </c>
      <c r="J33" s="34">
        <v>1918</v>
      </c>
      <c r="K33" s="30">
        <v>4.4000000000000004</v>
      </c>
      <c r="L33" s="64">
        <v>7.9</v>
      </c>
      <c r="M33" s="64">
        <v>6.2</v>
      </c>
      <c r="N33" s="30"/>
      <c r="O33" s="71">
        <v>4</v>
      </c>
      <c r="P33" s="62" t="s">
        <v>322</v>
      </c>
      <c r="Q33" s="34">
        <v>4543</v>
      </c>
      <c r="R33" s="30">
        <v>3.9</v>
      </c>
      <c r="S33" s="64">
        <v>9.4</v>
      </c>
      <c r="T33" s="64">
        <v>6.7</v>
      </c>
    </row>
    <row r="34" spans="1:20" s="25" customFormat="1" ht="15" customHeight="1" x14ac:dyDescent="0.2">
      <c r="A34" s="71">
        <v>5</v>
      </c>
      <c r="B34" s="62" t="s">
        <v>117</v>
      </c>
      <c r="C34" s="63">
        <v>2238</v>
      </c>
      <c r="D34" s="64">
        <v>3.1</v>
      </c>
      <c r="E34" s="64">
        <v>9.1999999999999993</v>
      </c>
      <c r="F34" s="64">
        <v>7.2</v>
      </c>
      <c r="G34" s="30"/>
      <c r="H34" s="71">
        <v>5</v>
      </c>
      <c r="I34" s="62" t="s">
        <v>120</v>
      </c>
      <c r="J34" s="34">
        <v>1596</v>
      </c>
      <c r="K34" s="30">
        <v>3.6</v>
      </c>
      <c r="L34" s="64">
        <v>6.6</v>
      </c>
      <c r="M34" s="64">
        <v>5</v>
      </c>
      <c r="N34" s="30"/>
      <c r="O34" s="71">
        <v>5</v>
      </c>
      <c r="P34" s="62" t="s">
        <v>120</v>
      </c>
      <c r="Q34" s="34">
        <v>3705</v>
      </c>
      <c r="R34" s="30">
        <v>3.2</v>
      </c>
      <c r="S34" s="64">
        <v>7.6</v>
      </c>
      <c r="T34" s="64">
        <v>5.9</v>
      </c>
    </row>
    <row r="35" spans="1:20" s="25" customFormat="1" ht="15" customHeight="1" x14ac:dyDescent="0.2">
      <c r="A35" s="71">
        <v>6</v>
      </c>
      <c r="B35" s="62" t="s">
        <v>120</v>
      </c>
      <c r="C35" s="63">
        <v>2109</v>
      </c>
      <c r="D35" s="64">
        <v>2.9</v>
      </c>
      <c r="E35" s="64">
        <v>8.6999999999999993</v>
      </c>
      <c r="F35" s="64">
        <v>6.8</v>
      </c>
      <c r="G35" s="30"/>
      <c r="H35" s="71">
        <v>6</v>
      </c>
      <c r="I35" s="62" t="s">
        <v>126</v>
      </c>
      <c r="J35" s="34">
        <v>1390</v>
      </c>
      <c r="K35" s="30">
        <v>3.2</v>
      </c>
      <c r="L35" s="64">
        <v>5.7</v>
      </c>
      <c r="M35" s="64">
        <v>5.6</v>
      </c>
      <c r="N35" s="30"/>
      <c r="O35" s="71">
        <v>6</v>
      </c>
      <c r="P35" s="62" t="s">
        <v>313</v>
      </c>
      <c r="Q35" s="34">
        <v>3411</v>
      </c>
      <c r="R35" s="30">
        <v>2.9</v>
      </c>
      <c r="S35" s="64">
        <v>7</v>
      </c>
      <c r="T35" s="64">
        <v>5.7</v>
      </c>
    </row>
    <row r="36" spans="1:20" s="25" customFormat="1" ht="15" customHeight="1" x14ac:dyDescent="0.2">
      <c r="A36" s="71">
        <v>7</v>
      </c>
      <c r="B36" s="62" t="s">
        <v>128</v>
      </c>
      <c r="C36" s="63">
        <v>1875</v>
      </c>
      <c r="D36" s="64">
        <v>2.6</v>
      </c>
      <c r="E36" s="64">
        <v>7.7</v>
      </c>
      <c r="F36" s="64">
        <v>7.5</v>
      </c>
      <c r="G36" s="30"/>
      <c r="H36" s="71">
        <v>7</v>
      </c>
      <c r="I36" s="62" t="s">
        <v>117</v>
      </c>
      <c r="J36" s="34">
        <v>1118</v>
      </c>
      <c r="K36" s="30">
        <v>2.5</v>
      </c>
      <c r="L36" s="64">
        <v>4.5999999999999996</v>
      </c>
      <c r="M36" s="64">
        <v>3.4</v>
      </c>
      <c r="N36" s="30"/>
      <c r="O36" s="71">
        <v>7</v>
      </c>
      <c r="P36" s="62" t="s">
        <v>117</v>
      </c>
      <c r="Q36" s="34">
        <v>3356</v>
      </c>
      <c r="R36" s="30">
        <v>2.9</v>
      </c>
      <c r="S36" s="64">
        <v>6.9</v>
      </c>
      <c r="T36" s="64">
        <v>5.2</v>
      </c>
    </row>
    <row r="37" spans="1:20" s="25" customFormat="1" ht="15" customHeight="1" x14ac:dyDescent="0.2">
      <c r="A37" s="71">
        <v>8</v>
      </c>
      <c r="B37" s="62" t="s">
        <v>318</v>
      </c>
      <c r="C37" s="63">
        <v>1705</v>
      </c>
      <c r="D37" s="63">
        <v>2.4</v>
      </c>
      <c r="E37" s="63">
        <v>7</v>
      </c>
      <c r="F37" s="63">
        <v>5.0999999999999996</v>
      </c>
      <c r="G37" s="30"/>
      <c r="H37" s="71">
        <v>8</v>
      </c>
      <c r="I37" s="62" t="s">
        <v>130</v>
      </c>
      <c r="J37" s="34">
        <v>687</v>
      </c>
      <c r="K37" s="30">
        <v>1.6</v>
      </c>
      <c r="L37" s="64">
        <v>2.8</v>
      </c>
      <c r="M37" s="64">
        <v>2.7</v>
      </c>
      <c r="N37" s="30"/>
      <c r="O37" s="71">
        <v>8</v>
      </c>
      <c r="P37" s="62" t="s">
        <v>128</v>
      </c>
      <c r="Q37" s="34">
        <v>2340</v>
      </c>
      <c r="R37" s="30">
        <v>2</v>
      </c>
      <c r="S37" s="64">
        <v>4.8</v>
      </c>
      <c r="T37" s="64">
        <v>4.7</v>
      </c>
    </row>
    <row r="38" spans="1:20" s="25" customFormat="1" ht="15" customHeight="1" x14ac:dyDescent="0.2">
      <c r="A38" s="71">
        <v>9</v>
      </c>
      <c r="B38" s="62" t="s">
        <v>130</v>
      </c>
      <c r="C38" s="63">
        <v>1537</v>
      </c>
      <c r="D38" s="64">
        <v>2.1</v>
      </c>
      <c r="E38" s="64">
        <v>6.3</v>
      </c>
      <c r="F38" s="64">
        <v>6.4</v>
      </c>
      <c r="G38" s="30"/>
      <c r="H38" s="71">
        <v>9</v>
      </c>
      <c r="I38" s="62" t="s">
        <v>542</v>
      </c>
      <c r="J38" s="63">
        <v>529</v>
      </c>
      <c r="K38" s="63">
        <v>1.2</v>
      </c>
      <c r="L38" s="63">
        <v>2.2000000000000002</v>
      </c>
      <c r="M38" s="63">
        <v>1.7</v>
      </c>
      <c r="N38" s="30"/>
      <c r="O38" s="71">
        <v>9</v>
      </c>
      <c r="P38" s="62" t="s">
        <v>130</v>
      </c>
      <c r="Q38" s="34">
        <v>2224</v>
      </c>
      <c r="R38" s="30">
        <v>1.9</v>
      </c>
      <c r="S38" s="64">
        <v>4.5999999999999996</v>
      </c>
      <c r="T38" s="64">
        <v>4.5</v>
      </c>
    </row>
    <row r="39" spans="1:20" s="25" customFormat="1" ht="15" customHeight="1" x14ac:dyDescent="0.2">
      <c r="A39" s="71">
        <v>10</v>
      </c>
      <c r="B39" s="62" t="s">
        <v>542</v>
      </c>
      <c r="C39" s="63">
        <v>1324</v>
      </c>
      <c r="D39" s="64">
        <v>1.8</v>
      </c>
      <c r="E39" s="64">
        <v>5.5</v>
      </c>
      <c r="F39" s="64">
        <v>4.3</v>
      </c>
      <c r="G39" s="30"/>
      <c r="H39" s="71">
        <v>10</v>
      </c>
      <c r="I39" s="62" t="s">
        <v>112</v>
      </c>
      <c r="J39" s="34">
        <v>528</v>
      </c>
      <c r="K39" s="30">
        <v>1.2</v>
      </c>
      <c r="L39" s="64">
        <v>2.2000000000000002</v>
      </c>
      <c r="M39" s="64">
        <v>1.7</v>
      </c>
      <c r="N39" s="30"/>
      <c r="O39" s="71">
        <v>10</v>
      </c>
      <c r="P39" s="62" t="s">
        <v>542</v>
      </c>
      <c r="Q39" s="34">
        <v>1853</v>
      </c>
      <c r="R39" s="30">
        <v>1.6</v>
      </c>
      <c r="S39" s="64">
        <v>3.8</v>
      </c>
      <c r="T39" s="64">
        <v>2.9</v>
      </c>
    </row>
    <row r="40" spans="1:20" s="25" customFormat="1" ht="15" customHeight="1" x14ac:dyDescent="0.2">
      <c r="A40" s="71">
        <v>11</v>
      </c>
      <c r="B40" s="62" t="s">
        <v>426</v>
      </c>
      <c r="C40" s="63">
        <v>710</v>
      </c>
      <c r="D40" s="64">
        <v>1</v>
      </c>
      <c r="E40" s="64">
        <v>2.9</v>
      </c>
      <c r="F40" s="64">
        <v>2.2999999999999998</v>
      </c>
      <c r="G40" s="30"/>
      <c r="H40" s="71">
        <v>11</v>
      </c>
      <c r="I40" s="62" t="s">
        <v>128</v>
      </c>
      <c r="J40" s="34">
        <v>465</v>
      </c>
      <c r="K40" s="30">
        <v>1.1000000000000001</v>
      </c>
      <c r="L40" s="64">
        <v>1.9</v>
      </c>
      <c r="M40" s="64">
        <v>1.9</v>
      </c>
      <c r="N40" s="30"/>
      <c r="O40" s="71">
        <v>11</v>
      </c>
      <c r="P40" s="62" t="s">
        <v>318</v>
      </c>
      <c r="Q40" s="34">
        <v>1705</v>
      </c>
      <c r="R40" s="30">
        <v>1.5</v>
      </c>
      <c r="S40" s="64">
        <v>3.5</v>
      </c>
      <c r="T40" s="64">
        <v>2.5</v>
      </c>
    </row>
    <row r="41" spans="1:20" s="25" customFormat="1" ht="15" customHeight="1" x14ac:dyDescent="0.2">
      <c r="A41" s="71">
        <v>12</v>
      </c>
      <c r="B41" s="62" t="s">
        <v>112</v>
      </c>
      <c r="C41" s="63">
        <v>694</v>
      </c>
      <c r="D41" s="64">
        <v>1</v>
      </c>
      <c r="E41" s="64">
        <v>2.9</v>
      </c>
      <c r="F41" s="64">
        <v>2.2999999999999998</v>
      </c>
      <c r="G41" s="30"/>
      <c r="H41" s="71">
        <v>12</v>
      </c>
      <c r="I41" s="62" t="s">
        <v>132</v>
      </c>
      <c r="J41" s="34">
        <v>430</v>
      </c>
      <c r="K41" s="30">
        <v>1</v>
      </c>
      <c r="L41" s="64">
        <v>1.8</v>
      </c>
      <c r="M41" s="64">
        <v>2.1</v>
      </c>
      <c r="N41" s="30"/>
      <c r="O41" s="71">
        <v>12</v>
      </c>
      <c r="P41" s="62" t="s">
        <v>112</v>
      </c>
      <c r="Q41" s="34">
        <v>1222</v>
      </c>
      <c r="R41" s="30">
        <v>1.1000000000000001</v>
      </c>
      <c r="S41" s="64">
        <v>2.5</v>
      </c>
      <c r="T41" s="64">
        <v>2</v>
      </c>
    </row>
    <row r="42" spans="1:20" s="25" customFormat="1" ht="15" customHeight="1" x14ac:dyDescent="0.2">
      <c r="A42" s="71">
        <v>13</v>
      </c>
      <c r="B42" s="62" t="s">
        <v>125</v>
      </c>
      <c r="C42" s="63">
        <v>685</v>
      </c>
      <c r="D42" s="64">
        <v>1</v>
      </c>
      <c r="E42" s="64">
        <v>2.8</v>
      </c>
      <c r="F42" s="64">
        <v>2.2000000000000002</v>
      </c>
      <c r="G42" s="30"/>
      <c r="H42" s="71">
        <v>13</v>
      </c>
      <c r="I42" s="62" t="s">
        <v>423</v>
      </c>
      <c r="J42" s="34">
        <v>406</v>
      </c>
      <c r="K42" s="30">
        <v>0.9</v>
      </c>
      <c r="L42" s="64">
        <v>1.7</v>
      </c>
      <c r="M42" s="64">
        <v>1.5</v>
      </c>
      <c r="N42" s="30"/>
      <c r="O42" s="71">
        <v>13</v>
      </c>
      <c r="P42" s="62" t="s">
        <v>125</v>
      </c>
      <c r="Q42" s="34">
        <v>1023</v>
      </c>
      <c r="R42" s="30">
        <v>0.9</v>
      </c>
      <c r="S42" s="64">
        <v>2.1</v>
      </c>
      <c r="T42" s="64">
        <v>1.6</v>
      </c>
    </row>
    <row r="43" spans="1:20" s="25" customFormat="1" ht="15" customHeight="1" x14ac:dyDescent="0.2">
      <c r="A43" s="71">
        <v>14</v>
      </c>
      <c r="B43" s="62" t="s">
        <v>119</v>
      </c>
      <c r="C43" s="63">
        <v>608</v>
      </c>
      <c r="D43" s="64">
        <v>0.8</v>
      </c>
      <c r="E43" s="64">
        <v>2.5</v>
      </c>
      <c r="F43" s="64">
        <v>1.9</v>
      </c>
      <c r="G43" s="30"/>
      <c r="H43" s="71">
        <v>14</v>
      </c>
      <c r="I43" s="62" t="s">
        <v>125</v>
      </c>
      <c r="J43" s="34">
        <v>338</v>
      </c>
      <c r="K43" s="30">
        <v>0.8</v>
      </c>
      <c r="L43" s="64">
        <v>1.4</v>
      </c>
      <c r="M43" s="64">
        <v>1</v>
      </c>
      <c r="N43" s="30"/>
      <c r="O43" s="71">
        <v>14</v>
      </c>
      <c r="P43" s="62" t="s">
        <v>426</v>
      </c>
      <c r="Q43" s="34">
        <v>980</v>
      </c>
      <c r="R43" s="30">
        <v>0.8</v>
      </c>
      <c r="S43" s="64">
        <v>2</v>
      </c>
      <c r="T43" s="64">
        <v>1.5</v>
      </c>
    </row>
    <row r="44" spans="1:20" s="25" customFormat="1" ht="15" customHeight="1" x14ac:dyDescent="0.2">
      <c r="A44" s="71">
        <v>15</v>
      </c>
      <c r="B44" s="62" t="s">
        <v>132</v>
      </c>
      <c r="C44" s="63">
        <v>522</v>
      </c>
      <c r="D44" s="64">
        <v>0.7</v>
      </c>
      <c r="E44" s="64">
        <v>2.2000000000000002</v>
      </c>
      <c r="F44" s="64">
        <v>2.4</v>
      </c>
      <c r="G44" s="30"/>
      <c r="H44" s="71">
        <v>15</v>
      </c>
      <c r="I44" s="62" t="s">
        <v>119</v>
      </c>
      <c r="J44" s="34">
        <v>295</v>
      </c>
      <c r="K44" s="30">
        <v>0.7</v>
      </c>
      <c r="L44" s="64">
        <v>1.2</v>
      </c>
      <c r="M44" s="64">
        <v>0.9</v>
      </c>
      <c r="N44" s="30"/>
      <c r="O44" s="71">
        <v>15</v>
      </c>
      <c r="P44" s="62" t="s">
        <v>132</v>
      </c>
      <c r="Q44" s="34">
        <v>952</v>
      </c>
      <c r="R44" s="30">
        <v>0.8</v>
      </c>
      <c r="S44" s="64">
        <v>2</v>
      </c>
      <c r="T44" s="64">
        <v>2.2999999999999998</v>
      </c>
    </row>
    <row r="45" spans="1:20" s="25" customFormat="1" ht="15" customHeight="1" x14ac:dyDescent="0.2">
      <c r="A45" s="71">
        <v>16</v>
      </c>
      <c r="B45" s="62" t="s">
        <v>123</v>
      </c>
      <c r="C45" s="63">
        <v>430</v>
      </c>
      <c r="D45" s="64">
        <v>0.6</v>
      </c>
      <c r="E45" s="64">
        <v>1.8</v>
      </c>
      <c r="F45" s="64">
        <v>1.3</v>
      </c>
      <c r="G45" s="30"/>
      <c r="H45" s="71">
        <v>16</v>
      </c>
      <c r="I45" s="62" t="s">
        <v>123</v>
      </c>
      <c r="J45" s="34">
        <v>294</v>
      </c>
      <c r="K45" s="30">
        <v>0.7</v>
      </c>
      <c r="L45" s="64">
        <v>1.2</v>
      </c>
      <c r="M45" s="64">
        <v>0.9</v>
      </c>
      <c r="N45" s="30"/>
      <c r="O45" s="71">
        <v>16</v>
      </c>
      <c r="P45" s="62" t="s">
        <v>119</v>
      </c>
      <c r="Q45" s="34">
        <v>903</v>
      </c>
      <c r="R45" s="30">
        <v>0.8</v>
      </c>
      <c r="S45" s="64">
        <v>1.9</v>
      </c>
      <c r="T45" s="64">
        <v>1.4</v>
      </c>
    </row>
    <row r="46" spans="1:20" s="25" customFormat="1" ht="15" customHeight="1" x14ac:dyDescent="0.2">
      <c r="A46" s="71">
        <v>17</v>
      </c>
      <c r="B46" s="62" t="s">
        <v>118</v>
      </c>
      <c r="C46" s="63">
        <v>390</v>
      </c>
      <c r="D46" s="64">
        <v>0.5</v>
      </c>
      <c r="E46" s="64">
        <v>1.6</v>
      </c>
      <c r="F46" s="64">
        <v>1.3</v>
      </c>
      <c r="G46" s="30"/>
      <c r="H46" s="71">
        <v>17</v>
      </c>
      <c r="I46" s="62" t="s">
        <v>118</v>
      </c>
      <c r="J46" s="34">
        <v>288</v>
      </c>
      <c r="K46" s="30">
        <v>0.7</v>
      </c>
      <c r="L46" s="64">
        <v>1.2</v>
      </c>
      <c r="M46" s="64">
        <v>0.9</v>
      </c>
      <c r="N46" s="30"/>
      <c r="O46" s="71">
        <v>17</v>
      </c>
      <c r="P46" s="62" t="s">
        <v>123</v>
      </c>
      <c r="Q46" s="34">
        <v>724</v>
      </c>
      <c r="R46" s="30">
        <v>0.6</v>
      </c>
      <c r="S46" s="64">
        <v>1.5</v>
      </c>
      <c r="T46" s="64">
        <v>1.1000000000000001</v>
      </c>
    </row>
    <row r="47" spans="1:20" s="25" customFormat="1" ht="15" customHeight="1" x14ac:dyDescent="0.2">
      <c r="A47" s="71">
        <v>18</v>
      </c>
      <c r="B47" s="62" t="s">
        <v>121</v>
      </c>
      <c r="C47" s="63">
        <v>368</v>
      </c>
      <c r="D47" s="64">
        <v>0.5</v>
      </c>
      <c r="E47" s="64">
        <v>1.5</v>
      </c>
      <c r="F47" s="64">
        <v>1.2</v>
      </c>
      <c r="G47" s="30"/>
      <c r="H47" s="71">
        <v>18</v>
      </c>
      <c r="I47" s="62" t="s">
        <v>426</v>
      </c>
      <c r="J47" s="34">
        <v>270</v>
      </c>
      <c r="K47" s="30">
        <v>0.6</v>
      </c>
      <c r="L47" s="64">
        <v>1.1000000000000001</v>
      </c>
      <c r="M47" s="64">
        <v>0.8</v>
      </c>
      <c r="N47" s="30"/>
      <c r="O47" s="71">
        <v>18</v>
      </c>
      <c r="P47" s="62" t="s">
        <v>118</v>
      </c>
      <c r="Q47" s="34">
        <v>678</v>
      </c>
      <c r="R47" s="30">
        <v>0.6</v>
      </c>
      <c r="S47" s="64">
        <v>1.4</v>
      </c>
      <c r="T47" s="64">
        <v>1.1000000000000001</v>
      </c>
    </row>
    <row r="48" spans="1:20" s="25" customFormat="1" ht="15" customHeight="1" x14ac:dyDescent="0.2">
      <c r="A48" s="71">
        <v>19</v>
      </c>
      <c r="B48" s="62" t="s">
        <v>129</v>
      </c>
      <c r="C48" s="63">
        <v>308</v>
      </c>
      <c r="D48" s="64">
        <v>0.4</v>
      </c>
      <c r="E48" s="64">
        <v>1.3</v>
      </c>
      <c r="F48" s="64">
        <v>1.2</v>
      </c>
      <c r="G48" s="30"/>
      <c r="H48" s="71">
        <v>19</v>
      </c>
      <c r="I48" s="62" t="s">
        <v>121</v>
      </c>
      <c r="J48" s="34">
        <v>214</v>
      </c>
      <c r="K48" s="30">
        <v>0.5</v>
      </c>
      <c r="L48" s="64">
        <v>0.9</v>
      </c>
      <c r="M48" s="64">
        <v>0.6</v>
      </c>
      <c r="N48" s="30"/>
      <c r="O48" s="71">
        <v>19</v>
      </c>
      <c r="P48" s="62" t="s">
        <v>121</v>
      </c>
      <c r="Q48" s="34">
        <v>582</v>
      </c>
      <c r="R48" s="30">
        <v>0.5</v>
      </c>
      <c r="S48" s="64">
        <v>1.2</v>
      </c>
      <c r="T48" s="64">
        <v>0.9</v>
      </c>
    </row>
    <row r="49" spans="1:21" s="25" customFormat="1" ht="15" customHeight="1" x14ac:dyDescent="0.2">
      <c r="A49" s="71">
        <v>20</v>
      </c>
      <c r="B49" s="62" t="s">
        <v>131</v>
      </c>
      <c r="C49" s="63">
        <v>254</v>
      </c>
      <c r="D49" s="64">
        <v>0.4</v>
      </c>
      <c r="E49" s="64">
        <v>1</v>
      </c>
      <c r="F49" s="64">
        <v>1.1000000000000001</v>
      </c>
      <c r="G49" s="30"/>
      <c r="H49" s="71">
        <v>20</v>
      </c>
      <c r="I49" s="62" t="s">
        <v>124</v>
      </c>
      <c r="J49" s="34">
        <v>178</v>
      </c>
      <c r="K49" s="30">
        <v>0.4</v>
      </c>
      <c r="L49" s="64">
        <v>0.7</v>
      </c>
      <c r="M49" s="64">
        <v>0.6</v>
      </c>
      <c r="N49" s="30"/>
      <c r="O49" s="71">
        <v>20</v>
      </c>
      <c r="P49" s="62" t="s">
        <v>423</v>
      </c>
      <c r="Q49" s="34">
        <v>406</v>
      </c>
      <c r="R49" s="30">
        <v>0.3</v>
      </c>
      <c r="S49" s="64">
        <v>0.8</v>
      </c>
      <c r="T49" s="64">
        <v>0.7</v>
      </c>
    </row>
    <row r="50" spans="1:21" s="43" customFormat="1" ht="15" customHeight="1" x14ac:dyDescent="0.2">
      <c r="A50" s="40"/>
      <c r="B50" s="65" t="s">
        <v>253</v>
      </c>
      <c r="C50" s="66">
        <v>35198</v>
      </c>
      <c r="D50" s="67">
        <v>48.9</v>
      </c>
      <c r="E50" s="67">
        <v>145.1</v>
      </c>
      <c r="F50" s="67">
        <v>121.4</v>
      </c>
      <c r="G50" s="38"/>
      <c r="H50" s="40"/>
      <c r="I50" s="65" t="s">
        <v>253</v>
      </c>
      <c r="J50" s="41">
        <v>19650</v>
      </c>
      <c r="K50" s="38">
        <v>44.6</v>
      </c>
      <c r="L50" s="67">
        <v>81.2</v>
      </c>
      <c r="M50" s="67">
        <v>64.900000000000006</v>
      </c>
      <c r="N50" s="38"/>
      <c r="O50" s="40"/>
      <c r="P50" s="65" t="s">
        <v>253</v>
      </c>
      <c r="Q50" s="41">
        <v>54848</v>
      </c>
      <c r="R50" s="38">
        <v>47.3</v>
      </c>
      <c r="S50" s="67">
        <v>113.2</v>
      </c>
      <c r="T50" s="67">
        <v>92.7</v>
      </c>
    </row>
    <row r="51" spans="1:21" s="43" customFormat="1" ht="15" customHeight="1" x14ac:dyDescent="0.2">
      <c r="A51" s="139"/>
      <c r="B51" s="65" t="s">
        <v>574</v>
      </c>
      <c r="C51" s="66">
        <v>36787</v>
      </c>
      <c r="D51" s="67">
        <v>51.1</v>
      </c>
      <c r="E51" s="67">
        <v>151.6</v>
      </c>
      <c r="F51" s="67">
        <v>120.1</v>
      </c>
      <c r="G51" s="38"/>
      <c r="H51" s="139"/>
      <c r="I51" s="65" t="s">
        <v>574</v>
      </c>
      <c r="J51" s="41">
        <v>24414</v>
      </c>
      <c r="K51" s="38">
        <v>55.4</v>
      </c>
      <c r="L51" s="67">
        <v>100.9</v>
      </c>
      <c r="M51" s="67">
        <v>76.400000000000006</v>
      </c>
      <c r="N51" s="38"/>
      <c r="O51" s="139"/>
      <c r="P51" s="65" t="s">
        <v>574</v>
      </c>
      <c r="Q51" s="41">
        <v>61201</v>
      </c>
      <c r="R51" s="38">
        <v>52.7</v>
      </c>
      <c r="S51" s="67">
        <v>126.3</v>
      </c>
      <c r="T51" s="67">
        <v>97.8</v>
      </c>
    </row>
    <row r="52" spans="1:21" s="54" customFormat="1" ht="15" customHeight="1" x14ac:dyDescent="0.2">
      <c r="A52" s="68"/>
      <c r="B52" s="68" t="s">
        <v>575</v>
      </c>
      <c r="C52" s="69">
        <v>71985</v>
      </c>
      <c r="D52" s="70">
        <v>100</v>
      </c>
      <c r="E52" s="70">
        <v>296.7</v>
      </c>
      <c r="F52" s="70">
        <v>241.5</v>
      </c>
      <c r="G52" s="48"/>
      <c r="H52" s="68"/>
      <c r="I52" s="68" t="s">
        <v>575</v>
      </c>
      <c r="J52" s="52">
        <v>44064</v>
      </c>
      <c r="K52" s="48">
        <v>100</v>
      </c>
      <c r="L52" s="70">
        <v>182.1</v>
      </c>
      <c r="M52" s="70">
        <v>141.30000000000001</v>
      </c>
      <c r="N52" s="48"/>
      <c r="O52" s="68"/>
      <c r="P52" s="68" t="s">
        <v>575</v>
      </c>
      <c r="Q52" s="52">
        <v>116049</v>
      </c>
      <c r="R52" s="48">
        <v>100</v>
      </c>
      <c r="S52" s="70">
        <v>239.5</v>
      </c>
      <c r="T52" s="70">
        <v>190.4</v>
      </c>
    </row>
    <row r="53" spans="1:21" s="199" customFormat="1" ht="15" customHeight="1" x14ac:dyDescent="0.2">
      <c r="A53" s="300" t="s">
        <v>68</v>
      </c>
      <c r="B53" s="300" t="s">
        <v>69</v>
      </c>
      <c r="C53" s="301"/>
      <c r="D53" s="301"/>
      <c r="E53" s="214"/>
      <c r="F53" s="214"/>
      <c r="G53" s="463"/>
      <c r="H53" s="463"/>
      <c r="I53" s="214"/>
      <c r="J53" s="246"/>
      <c r="K53" s="214"/>
      <c r="L53" s="214"/>
      <c r="M53" s="463"/>
      <c r="N53" s="463"/>
      <c r="O53" s="214"/>
      <c r="P53" s="246"/>
      <c r="Q53" s="214"/>
    </row>
    <row r="54" spans="1:21" s="165" customFormat="1" ht="15" customHeight="1" x14ac:dyDescent="0.2">
      <c r="A54" s="207" t="s">
        <v>616</v>
      </c>
      <c r="B54" s="207" t="s">
        <v>568</v>
      </c>
      <c r="C54" s="242"/>
      <c r="D54" s="439"/>
      <c r="E54" s="439"/>
      <c r="F54" s="548"/>
      <c r="G54" s="242"/>
      <c r="H54" s="439"/>
      <c r="I54" s="439"/>
      <c r="J54" s="548"/>
      <c r="K54" s="242"/>
      <c r="L54" s="439"/>
      <c r="M54" s="549"/>
      <c r="N54" s="548"/>
      <c r="O54" s="550"/>
      <c r="P54" s="439"/>
      <c r="Q54" s="549"/>
      <c r="R54" s="548"/>
      <c r="S54" s="550"/>
      <c r="T54" s="439"/>
    </row>
    <row r="55" spans="1:21" ht="15" customHeight="1" x14ac:dyDescent="0.2">
      <c r="A55" s="95" t="s">
        <v>254</v>
      </c>
      <c r="B55" s="85"/>
      <c r="C55" s="86"/>
      <c r="D55" s="87"/>
      <c r="E55" s="87"/>
      <c r="F55" s="87"/>
      <c r="G55" s="20"/>
      <c r="H55" s="95"/>
      <c r="I55" s="85"/>
      <c r="J55" s="86"/>
      <c r="K55" s="87"/>
      <c r="L55" s="87"/>
      <c r="M55" s="87"/>
      <c r="N55" s="20"/>
      <c r="O55" s="95"/>
      <c r="S55" s="87"/>
      <c r="T55" s="87"/>
    </row>
    <row r="56" spans="1:21" s="28" customFormat="1" ht="15" customHeight="1" x14ac:dyDescent="0.2">
      <c r="A56" s="84" t="s">
        <v>4</v>
      </c>
      <c r="B56" s="85"/>
      <c r="C56" s="86"/>
      <c r="D56" s="87"/>
      <c r="E56" s="87"/>
      <c r="F56" s="87"/>
      <c r="G56" s="87"/>
      <c r="H56" s="84"/>
      <c r="I56" s="85"/>
      <c r="J56" s="88"/>
      <c r="K56" s="89"/>
      <c r="L56" s="87"/>
      <c r="M56" s="87"/>
      <c r="N56" s="86"/>
      <c r="O56" s="84"/>
      <c r="P56" s="101"/>
      <c r="Q56" s="90"/>
      <c r="R56" s="91"/>
      <c r="S56" s="87"/>
      <c r="T56" s="87"/>
    </row>
    <row r="57" spans="1:21" s="93" customFormat="1" ht="15" customHeight="1" x14ac:dyDescent="0.2">
      <c r="A57" s="617" t="s">
        <v>240</v>
      </c>
      <c r="B57" s="617"/>
      <c r="C57" s="617"/>
      <c r="D57" s="617"/>
      <c r="E57" s="617"/>
      <c r="F57" s="617"/>
      <c r="G57" s="617"/>
      <c r="H57" s="617"/>
      <c r="I57" s="617"/>
      <c r="J57" s="617"/>
      <c r="K57" s="617"/>
      <c r="L57" s="617"/>
      <c r="M57" s="617"/>
      <c r="N57" s="617"/>
      <c r="O57" s="617"/>
      <c r="P57" s="114"/>
      <c r="Q57" s="115"/>
      <c r="R57" s="116"/>
      <c r="S57" s="116"/>
      <c r="T57" s="116"/>
    </row>
    <row r="58" spans="1:21" s="93" customFormat="1" ht="15" customHeight="1" x14ac:dyDescent="0.2">
      <c r="A58" s="92" t="s">
        <v>241</v>
      </c>
      <c r="B58" s="114"/>
      <c r="C58" s="114"/>
      <c r="D58" s="114"/>
      <c r="E58" s="114"/>
      <c r="F58" s="114"/>
      <c r="G58" s="114"/>
      <c r="H58" s="114"/>
      <c r="I58" s="114"/>
      <c r="J58" s="114"/>
      <c r="K58" s="114"/>
      <c r="L58" s="114"/>
      <c r="M58" s="114"/>
      <c r="N58" s="114"/>
      <c r="O58" s="114"/>
      <c r="P58" s="114"/>
      <c r="Q58" s="115"/>
      <c r="R58" s="116"/>
      <c r="S58" s="114"/>
      <c r="T58" s="114"/>
    </row>
    <row r="59" spans="1:21" s="93" customFormat="1" ht="15" customHeight="1" x14ac:dyDescent="0.2">
      <c r="A59" s="92" t="s">
        <v>242</v>
      </c>
      <c r="B59" s="114"/>
      <c r="C59" s="114"/>
      <c r="D59" s="114"/>
      <c r="E59" s="114"/>
      <c r="F59" s="114"/>
      <c r="G59" s="114"/>
      <c r="H59" s="114"/>
      <c r="I59" s="114"/>
      <c r="J59" s="114"/>
      <c r="K59" s="114"/>
      <c r="L59" s="114"/>
      <c r="M59" s="114"/>
      <c r="N59" s="114"/>
      <c r="O59" s="114"/>
      <c r="P59" s="114"/>
      <c r="Q59" s="115"/>
      <c r="R59" s="116"/>
      <c r="S59" s="114"/>
      <c r="T59" s="114"/>
    </row>
    <row r="60" spans="1:21" s="93" customFormat="1" ht="15" customHeight="1" x14ac:dyDescent="0.2">
      <c r="A60" s="92" t="s">
        <v>256</v>
      </c>
      <c r="B60" s="114"/>
      <c r="C60" s="115"/>
      <c r="D60" s="116"/>
      <c r="E60" s="116"/>
      <c r="F60" s="116"/>
      <c r="H60" s="117"/>
      <c r="I60" s="114"/>
      <c r="J60" s="115"/>
      <c r="K60" s="116"/>
      <c r="L60" s="116"/>
      <c r="M60" s="116"/>
      <c r="O60" s="114"/>
      <c r="P60" s="114"/>
      <c r="Q60" s="115"/>
      <c r="R60" s="116"/>
      <c r="S60" s="116"/>
      <c r="T60" s="116"/>
    </row>
    <row r="61" spans="1:21" s="93" customFormat="1" ht="15" customHeight="1" x14ac:dyDescent="0.2">
      <c r="A61" s="617" t="s">
        <v>257</v>
      </c>
      <c r="B61" s="617"/>
      <c r="C61" s="617"/>
      <c r="D61" s="617"/>
      <c r="E61" s="617"/>
      <c r="F61" s="617"/>
      <c r="G61" s="617"/>
      <c r="H61" s="617"/>
      <c r="I61" s="617"/>
      <c r="J61" s="617"/>
      <c r="K61" s="617"/>
      <c r="L61" s="617"/>
      <c r="M61" s="617"/>
      <c r="N61" s="617"/>
      <c r="O61" s="617"/>
      <c r="P61" s="118"/>
      <c r="Q61" s="118"/>
      <c r="R61" s="118"/>
      <c r="S61" s="118"/>
      <c r="T61" s="118"/>
      <c r="U61" s="118"/>
    </row>
    <row r="62" spans="1:21" s="93" customFormat="1" ht="15" customHeight="1" x14ac:dyDescent="0.2">
      <c r="A62" s="92" t="s">
        <v>654</v>
      </c>
      <c r="B62" s="101"/>
      <c r="C62" s="101"/>
      <c r="D62" s="101"/>
      <c r="E62" s="101"/>
      <c r="F62" s="101"/>
      <c r="G62" s="101"/>
      <c r="H62" s="101"/>
      <c r="I62" s="101"/>
      <c r="J62" s="101"/>
      <c r="K62" s="101"/>
      <c r="L62" s="101"/>
      <c r="M62" s="101"/>
      <c r="N62" s="101"/>
      <c r="O62" s="101"/>
      <c r="P62" s="118"/>
      <c r="Q62" s="118"/>
      <c r="R62" s="118"/>
      <c r="S62" s="118"/>
      <c r="T62" s="118"/>
      <c r="U62" s="118"/>
    </row>
    <row r="63" spans="1:21" s="94" customFormat="1" ht="15" customHeight="1" x14ac:dyDescent="0.2">
      <c r="A63" s="95" t="s">
        <v>99</v>
      </c>
      <c r="B63" s="120"/>
      <c r="C63" s="121"/>
      <c r="D63" s="122"/>
      <c r="E63" s="122"/>
      <c r="F63" s="122"/>
      <c r="G63" s="96"/>
      <c r="H63" s="97"/>
      <c r="I63" s="120"/>
      <c r="J63" s="121"/>
      <c r="K63" s="122"/>
      <c r="L63" s="122"/>
      <c r="M63" s="122"/>
      <c r="N63" s="119"/>
      <c r="O63" s="119"/>
      <c r="P63" s="123"/>
      <c r="Q63" s="115"/>
      <c r="S63" s="122"/>
      <c r="T63" s="122"/>
    </row>
    <row r="64" spans="1:21" ht="15" customHeight="1" x14ac:dyDescent="0.2">
      <c r="G64" s="92"/>
      <c r="I64" s="98"/>
      <c r="K64" s="29"/>
    </row>
    <row r="65" spans="2:2" ht="15" customHeight="1" x14ac:dyDescent="0.2">
      <c r="B65" s="99"/>
    </row>
  </sheetData>
  <mergeCells count="5">
    <mergeCell ref="B3:D3"/>
    <mergeCell ref="I3:K3"/>
    <mergeCell ref="P3:R3"/>
    <mergeCell ref="A57:O57"/>
    <mergeCell ref="A61:O61"/>
  </mergeCells>
  <phoneticPr fontId="33" type="noConversion"/>
  <hyperlinks>
    <hyperlink ref="A2" location="Contents!A1" display="Back to contents" xr:uid="{E202D036-6F41-485B-A45A-026D8E838FAB}"/>
  </hyperlinks>
  <pageMargins left="0.7" right="0.7" top="0.75" bottom="0.75" header="0.3" footer="0.3"/>
  <pageSetup paperSize="9" orientation="portrait" horizontalDpi="4294967292"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F222D-29C5-42C7-B0E5-4F749B7C411E}">
  <dimension ref="A1:T79"/>
  <sheetViews>
    <sheetView showGridLines="0" zoomScaleNormal="100" workbookViewId="0">
      <pane ySplit="4" topLeftCell="A5" activePane="bottomLeft" state="frozen"/>
      <selection activeCell="M33" sqref="M33:N33"/>
      <selection pane="bottomLeft" activeCell="A5" sqref="A5"/>
    </sheetView>
  </sheetViews>
  <sheetFormatPr defaultRowHeight="15" customHeight="1" x14ac:dyDescent="0.2"/>
  <cols>
    <col min="1" max="1" width="10.625" style="92" customWidth="1"/>
    <col min="2" max="2" width="35.625" style="101" customWidth="1"/>
    <col min="3" max="3" width="7.625" style="90" customWidth="1"/>
    <col min="4" max="4" width="7.625" style="91" customWidth="1"/>
    <col min="5" max="5" width="9.625" style="91" customWidth="1"/>
    <col min="6" max="6" width="9.625" style="29" customWidth="1"/>
    <col min="7" max="7" width="2.625" style="12" customWidth="1"/>
    <col min="8" max="8" width="10.625" style="92" customWidth="1"/>
    <col min="9" max="9" width="35.625" style="101" customWidth="1"/>
    <col min="10" max="10" width="7.625" style="90" customWidth="1"/>
    <col min="11" max="11" width="7.625" style="91" customWidth="1"/>
    <col min="12" max="12" width="9.625" style="91" customWidth="1"/>
    <col min="13" max="13" width="9.625" style="29" customWidth="1"/>
    <col min="14" max="14" width="2.625" style="12" customWidth="1"/>
    <col min="15" max="15" width="10.625" style="92" customWidth="1"/>
    <col min="16" max="16" width="35.625" style="101" customWidth="1"/>
    <col min="17" max="17" width="7.625" style="90" customWidth="1"/>
    <col min="18" max="18" width="7.625" style="91" customWidth="1"/>
    <col min="19" max="19" width="9.625" style="91" customWidth="1"/>
    <col min="20" max="20" width="9.625" style="29" customWidth="1"/>
    <col min="21" max="259" width="9" style="12"/>
    <col min="260" max="260" width="8.5" style="12" customWidth="1"/>
    <col min="261" max="261" width="40" style="12" customWidth="1"/>
    <col min="262" max="262" width="6.375" style="12" bestFit="1" customWidth="1"/>
    <col min="263" max="263" width="6.625" style="12" bestFit="1" customWidth="1"/>
    <col min="264" max="264" width="8.25" style="12" bestFit="1" customWidth="1"/>
    <col min="265" max="265" width="4.125" style="12" customWidth="1"/>
    <col min="266" max="266" width="8.5" style="12" customWidth="1"/>
    <col min="267" max="267" width="40" style="12" customWidth="1"/>
    <col min="268" max="268" width="6.375" style="12" customWidth="1"/>
    <col min="269" max="269" width="6.625" style="12" bestFit="1" customWidth="1"/>
    <col min="270" max="270" width="8.25" style="12" bestFit="1" customWidth="1"/>
    <col min="271" max="271" width="4.125" style="12" customWidth="1"/>
    <col min="272" max="272" width="8.5" style="12" customWidth="1"/>
    <col min="273" max="273" width="40" style="12" customWidth="1"/>
    <col min="274" max="274" width="6.375" style="12" customWidth="1"/>
    <col min="275" max="275" width="6.625" style="12" bestFit="1" customWidth="1"/>
    <col min="276" max="276" width="8.25" style="12" bestFit="1" customWidth="1"/>
    <col min="277" max="515" width="9" style="12"/>
    <col min="516" max="516" width="8.5" style="12" customWidth="1"/>
    <col min="517" max="517" width="40" style="12" customWidth="1"/>
    <col min="518" max="518" width="6.375" style="12" bestFit="1" customWidth="1"/>
    <col min="519" max="519" width="6.625" style="12" bestFit="1" customWidth="1"/>
    <col min="520" max="520" width="8.25" style="12" bestFit="1" customWidth="1"/>
    <col min="521" max="521" width="4.125" style="12" customWidth="1"/>
    <col min="522" max="522" width="8.5" style="12" customWidth="1"/>
    <col min="523" max="523" width="40" style="12" customWidth="1"/>
    <col min="524" max="524" width="6.375" style="12" customWidth="1"/>
    <col min="525" max="525" width="6.625" style="12" bestFit="1" customWidth="1"/>
    <col min="526" max="526" width="8.25" style="12" bestFit="1" customWidth="1"/>
    <col min="527" max="527" width="4.125" style="12" customWidth="1"/>
    <col min="528" max="528" width="8.5" style="12" customWidth="1"/>
    <col min="529" max="529" width="40" style="12" customWidth="1"/>
    <col min="530" max="530" width="6.375" style="12" customWidth="1"/>
    <col min="531" max="531" width="6.625" style="12" bestFit="1" customWidth="1"/>
    <col min="532" max="532" width="8.25" style="12" bestFit="1" customWidth="1"/>
    <col min="533" max="771" width="9" style="12"/>
    <col min="772" max="772" width="8.5" style="12" customWidth="1"/>
    <col min="773" max="773" width="40" style="12" customWidth="1"/>
    <col min="774" max="774" width="6.375" style="12" bestFit="1" customWidth="1"/>
    <col min="775" max="775" width="6.625" style="12" bestFit="1" customWidth="1"/>
    <col min="776" max="776" width="8.25" style="12" bestFit="1" customWidth="1"/>
    <col min="777" max="777" width="4.125" style="12" customWidth="1"/>
    <col min="778" max="778" width="8.5" style="12" customWidth="1"/>
    <col min="779" max="779" width="40" style="12" customWidth="1"/>
    <col min="780" max="780" width="6.375" style="12" customWidth="1"/>
    <col min="781" max="781" width="6.625" style="12" bestFit="1" customWidth="1"/>
    <col min="782" max="782" width="8.25" style="12" bestFit="1" customWidth="1"/>
    <col min="783" max="783" width="4.125" style="12" customWidth="1"/>
    <col min="784" max="784" width="8.5" style="12" customWidth="1"/>
    <col min="785" max="785" width="40" style="12" customWidth="1"/>
    <col min="786" max="786" width="6.375" style="12" customWidth="1"/>
    <col min="787" max="787" width="6.625" style="12" bestFit="1" customWidth="1"/>
    <col min="788" max="788" width="8.25" style="12" bestFit="1" customWidth="1"/>
    <col min="789" max="1027" width="9" style="12"/>
    <col min="1028" max="1028" width="8.5" style="12" customWidth="1"/>
    <col min="1029" max="1029" width="40" style="12" customWidth="1"/>
    <col min="1030" max="1030" width="6.375" style="12" bestFit="1" customWidth="1"/>
    <col min="1031" max="1031" width="6.625" style="12" bestFit="1" customWidth="1"/>
    <col min="1032" max="1032" width="8.25" style="12" bestFit="1" customWidth="1"/>
    <col min="1033" max="1033" width="4.125" style="12" customWidth="1"/>
    <col min="1034" max="1034" width="8.5" style="12" customWidth="1"/>
    <col min="1035" max="1035" width="40" style="12" customWidth="1"/>
    <col min="1036" max="1036" width="6.375" style="12" customWidth="1"/>
    <col min="1037" max="1037" width="6.625" style="12" bestFit="1" customWidth="1"/>
    <col min="1038" max="1038" width="8.25" style="12" bestFit="1" customWidth="1"/>
    <col min="1039" max="1039" width="4.125" style="12" customWidth="1"/>
    <col min="1040" max="1040" width="8.5" style="12" customWidth="1"/>
    <col min="1041" max="1041" width="40" style="12" customWidth="1"/>
    <col min="1042" max="1042" width="6.375" style="12" customWidth="1"/>
    <col min="1043" max="1043" width="6.625" style="12" bestFit="1" customWidth="1"/>
    <col min="1044" max="1044" width="8.25" style="12" bestFit="1" customWidth="1"/>
    <col min="1045" max="1283" width="9" style="12"/>
    <col min="1284" max="1284" width="8.5" style="12" customWidth="1"/>
    <col min="1285" max="1285" width="40" style="12" customWidth="1"/>
    <col min="1286" max="1286" width="6.375" style="12" bestFit="1" customWidth="1"/>
    <col min="1287" max="1287" width="6.625" style="12" bestFit="1" customWidth="1"/>
    <col min="1288" max="1288" width="8.25" style="12" bestFit="1" customWidth="1"/>
    <col min="1289" max="1289" width="4.125" style="12" customWidth="1"/>
    <col min="1290" max="1290" width="8.5" style="12" customWidth="1"/>
    <col min="1291" max="1291" width="40" style="12" customWidth="1"/>
    <col min="1292" max="1292" width="6.375" style="12" customWidth="1"/>
    <col min="1293" max="1293" width="6.625" style="12" bestFit="1" customWidth="1"/>
    <col min="1294" max="1294" width="8.25" style="12" bestFit="1" customWidth="1"/>
    <col min="1295" max="1295" width="4.125" style="12" customWidth="1"/>
    <col min="1296" max="1296" width="8.5" style="12" customWidth="1"/>
    <col min="1297" max="1297" width="40" style="12" customWidth="1"/>
    <col min="1298" max="1298" width="6.375" style="12" customWidth="1"/>
    <col min="1299" max="1299" width="6.625" style="12" bestFit="1" customWidth="1"/>
    <col min="1300" max="1300" width="8.25" style="12" bestFit="1" customWidth="1"/>
    <col min="1301" max="1539" width="9" style="12"/>
    <col min="1540" max="1540" width="8.5" style="12" customWidth="1"/>
    <col min="1541" max="1541" width="40" style="12" customWidth="1"/>
    <col min="1542" max="1542" width="6.375" style="12" bestFit="1" customWidth="1"/>
    <col min="1543" max="1543" width="6.625" style="12" bestFit="1" customWidth="1"/>
    <col min="1544" max="1544" width="8.25" style="12" bestFit="1" customWidth="1"/>
    <col min="1545" max="1545" width="4.125" style="12" customWidth="1"/>
    <col min="1546" max="1546" width="8.5" style="12" customWidth="1"/>
    <col min="1547" max="1547" width="40" style="12" customWidth="1"/>
    <col min="1548" max="1548" width="6.375" style="12" customWidth="1"/>
    <col min="1549" max="1549" width="6.625" style="12" bestFit="1" customWidth="1"/>
    <col min="1550" max="1550" width="8.25" style="12" bestFit="1" customWidth="1"/>
    <col min="1551" max="1551" width="4.125" style="12" customWidth="1"/>
    <col min="1552" max="1552" width="8.5" style="12" customWidth="1"/>
    <col min="1553" max="1553" width="40" style="12" customWidth="1"/>
    <col min="1554" max="1554" width="6.375" style="12" customWidth="1"/>
    <col min="1555" max="1555" width="6.625" style="12" bestFit="1" customWidth="1"/>
    <col min="1556" max="1556" width="8.25" style="12" bestFit="1" customWidth="1"/>
    <col min="1557" max="1795" width="9" style="12"/>
    <col min="1796" max="1796" width="8.5" style="12" customWidth="1"/>
    <col min="1797" max="1797" width="40" style="12" customWidth="1"/>
    <col min="1798" max="1798" width="6.375" style="12" bestFit="1" customWidth="1"/>
    <col min="1799" max="1799" width="6.625" style="12" bestFit="1" customWidth="1"/>
    <col min="1800" max="1800" width="8.25" style="12" bestFit="1" customWidth="1"/>
    <col min="1801" max="1801" width="4.125" style="12" customWidth="1"/>
    <col min="1802" max="1802" width="8.5" style="12" customWidth="1"/>
    <col min="1803" max="1803" width="40" style="12" customWidth="1"/>
    <col min="1804" max="1804" width="6.375" style="12" customWidth="1"/>
    <col min="1805" max="1805" width="6.625" style="12" bestFit="1" customWidth="1"/>
    <col min="1806" max="1806" width="8.25" style="12" bestFit="1" customWidth="1"/>
    <col min="1807" max="1807" width="4.125" style="12" customWidth="1"/>
    <col min="1808" max="1808" width="8.5" style="12" customWidth="1"/>
    <col min="1809" max="1809" width="40" style="12" customWidth="1"/>
    <col min="1810" max="1810" width="6.375" style="12" customWidth="1"/>
    <col min="1811" max="1811" width="6.625" style="12" bestFit="1" customWidth="1"/>
    <col min="1812" max="1812" width="8.25" style="12" bestFit="1" customWidth="1"/>
    <col min="1813" max="2051" width="9" style="12"/>
    <col min="2052" max="2052" width="8.5" style="12" customWidth="1"/>
    <col min="2053" max="2053" width="40" style="12" customWidth="1"/>
    <col min="2054" max="2054" width="6.375" style="12" bestFit="1" customWidth="1"/>
    <col min="2055" max="2055" width="6.625" style="12" bestFit="1" customWidth="1"/>
    <col min="2056" max="2056" width="8.25" style="12" bestFit="1" customWidth="1"/>
    <col min="2057" max="2057" width="4.125" style="12" customWidth="1"/>
    <col min="2058" max="2058" width="8.5" style="12" customWidth="1"/>
    <col min="2059" max="2059" width="40" style="12" customWidth="1"/>
    <col min="2060" max="2060" width="6.375" style="12" customWidth="1"/>
    <col min="2061" max="2061" width="6.625" style="12" bestFit="1" customWidth="1"/>
    <col min="2062" max="2062" width="8.25" style="12" bestFit="1" customWidth="1"/>
    <col min="2063" max="2063" width="4.125" style="12" customWidth="1"/>
    <col min="2064" max="2064" width="8.5" style="12" customWidth="1"/>
    <col min="2065" max="2065" width="40" style="12" customWidth="1"/>
    <col min="2066" max="2066" width="6.375" style="12" customWidth="1"/>
    <col min="2067" max="2067" width="6.625" style="12" bestFit="1" customWidth="1"/>
    <col min="2068" max="2068" width="8.25" style="12" bestFit="1" customWidth="1"/>
    <col min="2069" max="2307" width="9" style="12"/>
    <col min="2308" max="2308" width="8.5" style="12" customWidth="1"/>
    <col min="2309" max="2309" width="40" style="12" customWidth="1"/>
    <col min="2310" max="2310" width="6.375" style="12" bestFit="1" customWidth="1"/>
    <col min="2311" max="2311" width="6.625" style="12" bestFit="1" customWidth="1"/>
    <col min="2312" max="2312" width="8.25" style="12" bestFit="1" customWidth="1"/>
    <col min="2313" max="2313" width="4.125" style="12" customWidth="1"/>
    <col min="2314" max="2314" width="8.5" style="12" customWidth="1"/>
    <col min="2315" max="2315" width="40" style="12" customWidth="1"/>
    <col min="2316" max="2316" width="6.375" style="12" customWidth="1"/>
    <col min="2317" max="2317" width="6.625" style="12" bestFit="1" customWidth="1"/>
    <col min="2318" max="2318" width="8.25" style="12" bestFit="1" customWidth="1"/>
    <col min="2319" max="2319" width="4.125" style="12" customWidth="1"/>
    <col min="2320" max="2320" width="8.5" style="12" customWidth="1"/>
    <col min="2321" max="2321" width="40" style="12" customWidth="1"/>
    <col min="2322" max="2322" width="6.375" style="12" customWidth="1"/>
    <col min="2323" max="2323" width="6.625" style="12" bestFit="1" customWidth="1"/>
    <col min="2324" max="2324" width="8.25" style="12" bestFit="1" customWidth="1"/>
    <col min="2325" max="2563" width="9" style="12"/>
    <col min="2564" max="2564" width="8.5" style="12" customWidth="1"/>
    <col min="2565" max="2565" width="40" style="12" customWidth="1"/>
    <col min="2566" max="2566" width="6.375" style="12" bestFit="1" customWidth="1"/>
    <col min="2567" max="2567" width="6.625" style="12" bestFit="1" customWidth="1"/>
    <col min="2568" max="2568" width="8.25" style="12" bestFit="1" customWidth="1"/>
    <col min="2569" max="2569" width="4.125" style="12" customWidth="1"/>
    <col min="2570" max="2570" width="8.5" style="12" customWidth="1"/>
    <col min="2571" max="2571" width="40" style="12" customWidth="1"/>
    <col min="2572" max="2572" width="6.375" style="12" customWidth="1"/>
    <col min="2573" max="2573" width="6.625" style="12" bestFit="1" customWidth="1"/>
    <col min="2574" max="2574" width="8.25" style="12" bestFit="1" customWidth="1"/>
    <col min="2575" max="2575" width="4.125" style="12" customWidth="1"/>
    <col min="2576" max="2576" width="8.5" style="12" customWidth="1"/>
    <col min="2577" max="2577" width="40" style="12" customWidth="1"/>
    <col min="2578" max="2578" width="6.375" style="12" customWidth="1"/>
    <col min="2579" max="2579" width="6.625" style="12" bestFit="1" customWidth="1"/>
    <col min="2580" max="2580" width="8.25" style="12" bestFit="1" customWidth="1"/>
    <col min="2581" max="2819" width="9" style="12"/>
    <col min="2820" max="2820" width="8.5" style="12" customWidth="1"/>
    <col min="2821" max="2821" width="40" style="12" customWidth="1"/>
    <col min="2822" max="2822" width="6.375" style="12" bestFit="1" customWidth="1"/>
    <col min="2823" max="2823" width="6.625" style="12" bestFit="1" customWidth="1"/>
    <col min="2824" max="2824" width="8.25" style="12" bestFit="1" customWidth="1"/>
    <col min="2825" max="2825" width="4.125" style="12" customWidth="1"/>
    <col min="2826" max="2826" width="8.5" style="12" customWidth="1"/>
    <col min="2827" max="2827" width="40" style="12" customWidth="1"/>
    <col min="2828" max="2828" width="6.375" style="12" customWidth="1"/>
    <col min="2829" max="2829" width="6.625" style="12" bestFit="1" customWidth="1"/>
    <col min="2830" max="2830" width="8.25" style="12" bestFit="1" customWidth="1"/>
    <col min="2831" max="2831" width="4.125" style="12" customWidth="1"/>
    <col min="2832" max="2832" width="8.5" style="12" customWidth="1"/>
    <col min="2833" max="2833" width="40" style="12" customWidth="1"/>
    <col min="2834" max="2834" width="6.375" style="12" customWidth="1"/>
    <col min="2835" max="2835" width="6.625" style="12" bestFit="1" customWidth="1"/>
    <col min="2836" max="2836" width="8.25" style="12" bestFit="1" customWidth="1"/>
    <col min="2837" max="3075" width="9" style="12"/>
    <col min="3076" max="3076" width="8.5" style="12" customWidth="1"/>
    <col min="3077" max="3077" width="40" style="12" customWidth="1"/>
    <col min="3078" max="3078" width="6.375" style="12" bestFit="1" customWidth="1"/>
    <col min="3079" max="3079" width="6.625" style="12" bestFit="1" customWidth="1"/>
    <col min="3080" max="3080" width="8.25" style="12" bestFit="1" customWidth="1"/>
    <col min="3081" max="3081" width="4.125" style="12" customWidth="1"/>
    <col min="3082" max="3082" width="8.5" style="12" customWidth="1"/>
    <col min="3083" max="3083" width="40" style="12" customWidth="1"/>
    <col min="3084" max="3084" width="6.375" style="12" customWidth="1"/>
    <col min="3085" max="3085" width="6.625" style="12" bestFit="1" customWidth="1"/>
    <col min="3086" max="3086" width="8.25" style="12" bestFit="1" customWidth="1"/>
    <col min="3087" max="3087" width="4.125" style="12" customWidth="1"/>
    <col min="3088" max="3088" width="8.5" style="12" customWidth="1"/>
    <col min="3089" max="3089" width="40" style="12" customWidth="1"/>
    <col min="3090" max="3090" width="6.375" style="12" customWidth="1"/>
    <col min="3091" max="3091" width="6.625" style="12" bestFit="1" customWidth="1"/>
    <col min="3092" max="3092" width="8.25" style="12" bestFit="1" customWidth="1"/>
    <col min="3093" max="3331" width="9" style="12"/>
    <col min="3332" max="3332" width="8.5" style="12" customWidth="1"/>
    <col min="3333" max="3333" width="40" style="12" customWidth="1"/>
    <col min="3334" max="3334" width="6.375" style="12" bestFit="1" customWidth="1"/>
    <col min="3335" max="3335" width="6.625" style="12" bestFit="1" customWidth="1"/>
    <col min="3336" max="3336" width="8.25" style="12" bestFit="1" customWidth="1"/>
    <col min="3337" max="3337" width="4.125" style="12" customWidth="1"/>
    <col min="3338" max="3338" width="8.5" style="12" customWidth="1"/>
    <col min="3339" max="3339" width="40" style="12" customWidth="1"/>
    <col min="3340" max="3340" width="6.375" style="12" customWidth="1"/>
    <col min="3341" max="3341" width="6.625" style="12" bestFit="1" customWidth="1"/>
    <col min="3342" max="3342" width="8.25" style="12" bestFit="1" customWidth="1"/>
    <col min="3343" max="3343" width="4.125" style="12" customWidth="1"/>
    <col min="3344" max="3344" width="8.5" style="12" customWidth="1"/>
    <col min="3345" max="3345" width="40" style="12" customWidth="1"/>
    <col min="3346" max="3346" width="6.375" style="12" customWidth="1"/>
    <col min="3347" max="3347" width="6.625" style="12" bestFit="1" customWidth="1"/>
    <col min="3348" max="3348" width="8.25" style="12" bestFit="1" customWidth="1"/>
    <col min="3349" max="3587" width="9" style="12"/>
    <col min="3588" max="3588" width="8.5" style="12" customWidth="1"/>
    <col min="3589" max="3589" width="40" style="12" customWidth="1"/>
    <col min="3590" max="3590" width="6.375" style="12" bestFit="1" customWidth="1"/>
    <col min="3591" max="3591" width="6.625" style="12" bestFit="1" customWidth="1"/>
    <col min="3592" max="3592" width="8.25" style="12" bestFit="1" customWidth="1"/>
    <col min="3593" max="3593" width="4.125" style="12" customWidth="1"/>
    <col min="3594" max="3594" width="8.5" style="12" customWidth="1"/>
    <col min="3595" max="3595" width="40" style="12" customWidth="1"/>
    <col min="3596" max="3596" width="6.375" style="12" customWidth="1"/>
    <col min="3597" max="3597" width="6.625" style="12" bestFit="1" customWidth="1"/>
    <col min="3598" max="3598" width="8.25" style="12" bestFit="1" customWidth="1"/>
    <col min="3599" max="3599" width="4.125" style="12" customWidth="1"/>
    <col min="3600" max="3600" width="8.5" style="12" customWidth="1"/>
    <col min="3601" max="3601" width="40" style="12" customWidth="1"/>
    <col min="3602" max="3602" width="6.375" style="12" customWidth="1"/>
    <col min="3603" max="3603" width="6.625" style="12" bestFit="1" customWidth="1"/>
    <col min="3604" max="3604" width="8.25" style="12" bestFit="1" customWidth="1"/>
    <col min="3605" max="3843" width="9" style="12"/>
    <col min="3844" max="3844" width="8.5" style="12" customWidth="1"/>
    <col min="3845" max="3845" width="40" style="12" customWidth="1"/>
    <col min="3846" max="3846" width="6.375" style="12" bestFit="1" customWidth="1"/>
    <col min="3847" max="3847" width="6.625" style="12" bestFit="1" customWidth="1"/>
    <col min="3848" max="3848" width="8.25" style="12" bestFit="1" customWidth="1"/>
    <col min="3849" max="3849" width="4.125" style="12" customWidth="1"/>
    <col min="3850" max="3850" width="8.5" style="12" customWidth="1"/>
    <col min="3851" max="3851" width="40" style="12" customWidth="1"/>
    <col min="3852" max="3852" width="6.375" style="12" customWidth="1"/>
    <col min="3853" max="3853" width="6.625" style="12" bestFit="1" customWidth="1"/>
    <col min="3854" max="3854" width="8.25" style="12" bestFit="1" customWidth="1"/>
    <col min="3855" max="3855" width="4.125" style="12" customWidth="1"/>
    <col min="3856" max="3856" width="8.5" style="12" customWidth="1"/>
    <col min="3857" max="3857" width="40" style="12" customWidth="1"/>
    <col min="3858" max="3858" width="6.375" style="12" customWidth="1"/>
    <col min="3859" max="3859" width="6.625" style="12" bestFit="1" customWidth="1"/>
    <col min="3860" max="3860" width="8.25" style="12" bestFit="1" customWidth="1"/>
    <col min="3861" max="4099" width="9" style="12"/>
    <col min="4100" max="4100" width="8.5" style="12" customWidth="1"/>
    <col min="4101" max="4101" width="40" style="12" customWidth="1"/>
    <col min="4102" max="4102" width="6.375" style="12" bestFit="1" customWidth="1"/>
    <col min="4103" max="4103" width="6.625" style="12" bestFit="1" customWidth="1"/>
    <col min="4104" max="4104" width="8.25" style="12" bestFit="1" customWidth="1"/>
    <col min="4105" max="4105" width="4.125" style="12" customWidth="1"/>
    <col min="4106" max="4106" width="8.5" style="12" customWidth="1"/>
    <col min="4107" max="4107" width="40" style="12" customWidth="1"/>
    <col min="4108" max="4108" width="6.375" style="12" customWidth="1"/>
    <col min="4109" max="4109" width="6.625" style="12" bestFit="1" customWidth="1"/>
    <col min="4110" max="4110" width="8.25" style="12" bestFit="1" customWidth="1"/>
    <col min="4111" max="4111" width="4.125" style="12" customWidth="1"/>
    <col min="4112" max="4112" width="8.5" style="12" customWidth="1"/>
    <col min="4113" max="4113" width="40" style="12" customWidth="1"/>
    <col min="4114" max="4114" width="6.375" style="12" customWidth="1"/>
    <col min="4115" max="4115" width="6.625" style="12" bestFit="1" customWidth="1"/>
    <col min="4116" max="4116" width="8.25" style="12" bestFit="1" customWidth="1"/>
    <col min="4117" max="4355" width="9" style="12"/>
    <col min="4356" max="4356" width="8.5" style="12" customWidth="1"/>
    <col min="4357" max="4357" width="40" style="12" customWidth="1"/>
    <col min="4358" max="4358" width="6.375" style="12" bestFit="1" customWidth="1"/>
    <col min="4359" max="4359" width="6.625" style="12" bestFit="1" customWidth="1"/>
    <col min="4360" max="4360" width="8.25" style="12" bestFit="1" customWidth="1"/>
    <col min="4361" max="4361" width="4.125" style="12" customWidth="1"/>
    <col min="4362" max="4362" width="8.5" style="12" customWidth="1"/>
    <col min="4363" max="4363" width="40" style="12" customWidth="1"/>
    <col min="4364" max="4364" width="6.375" style="12" customWidth="1"/>
    <col min="4365" max="4365" width="6.625" style="12" bestFit="1" customWidth="1"/>
    <col min="4366" max="4366" width="8.25" style="12" bestFit="1" customWidth="1"/>
    <col min="4367" max="4367" width="4.125" style="12" customWidth="1"/>
    <col min="4368" max="4368" width="8.5" style="12" customWidth="1"/>
    <col min="4369" max="4369" width="40" style="12" customWidth="1"/>
    <col min="4370" max="4370" width="6.375" style="12" customWidth="1"/>
    <col min="4371" max="4371" width="6.625" style="12" bestFit="1" customWidth="1"/>
    <col min="4372" max="4372" width="8.25" style="12" bestFit="1" customWidth="1"/>
    <col min="4373" max="4611" width="9" style="12"/>
    <col min="4612" max="4612" width="8.5" style="12" customWidth="1"/>
    <col min="4613" max="4613" width="40" style="12" customWidth="1"/>
    <col min="4614" max="4614" width="6.375" style="12" bestFit="1" customWidth="1"/>
    <col min="4615" max="4615" width="6.625" style="12" bestFit="1" customWidth="1"/>
    <col min="4616" max="4616" width="8.25" style="12" bestFit="1" customWidth="1"/>
    <col min="4617" max="4617" width="4.125" style="12" customWidth="1"/>
    <col min="4618" max="4618" width="8.5" style="12" customWidth="1"/>
    <col min="4619" max="4619" width="40" style="12" customWidth="1"/>
    <col min="4620" max="4620" width="6.375" style="12" customWidth="1"/>
    <col min="4621" max="4621" width="6.625" style="12" bestFit="1" customWidth="1"/>
    <col min="4622" max="4622" width="8.25" style="12" bestFit="1" customWidth="1"/>
    <col min="4623" max="4623" width="4.125" style="12" customWidth="1"/>
    <col min="4624" max="4624" width="8.5" style="12" customWidth="1"/>
    <col min="4625" max="4625" width="40" style="12" customWidth="1"/>
    <col min="4626" max="4626" width="6.375" style="12" customWidth="1"/>
    <col min="4627" max="4627" width="6.625" style="12" bestFit="1" customWidth="1"/>
    <col min="4628" max="4628" width="8.25" style="12" bestFit="1" customWidth="1"/>
    <col min="4629" max="4867" width="9" style="12"/>
    <col min="4868" max="4868" width="8.5" style="12" customWidth="1"/>
    <col min="4869" max="4869" width="40" style="12" customWidth="1"/>
    <col min="4870" max="4870" width="6.375" style="12" bestFit="1" customWidth="1"/>
    <col min="4871" max="4871" width="6.625" style="12" bestFit="1" customWidth="1"/>
    <col min="4872" max="4872" width="8.25" style="12" bestFit="1" customWidth="1"/>
    <col min="4873" max="4873" width="4.125" style="12" customWidth="1"/>
    <col min="4874" max="4874" width="8.5" style="12" customWidth="1"/>
    <col min="4875" max="4875" width="40" style="12" customWidth="1"/>
    <col min="4876" max="4876" width="6.375" style="12" customWidth="1"/>
    <col min="4877" max="4877" width="6.625" style="12" bestFit="1" customWidth="1"/>
    <col min="4878" max="4878" width="8.25" style="12" bestFit="1" customWidth="1"/>
    <col min="4879" max="4879" width="4.125" style="12" customWidth="1"/>
    <col min="4880" max="4880" width="8.5" style="12" customWidth="1"/>
    <col min="4881" max="4881" width="40" style="12" customWidth="1"/>
    <col min="4882" max="4882" width="6.375" style="12" customWidth="1"/>
    <col min="4883" max="4883" width="6.625" style="12" bestFit="1" customWidth="1"/>
    <col min="4884" max="4884" width="8.25" style="12" bestFit="1" customWidth="1"/>
    <col min="4885" max="5123" width="9" style="12"/>
    <col min="5124" max="5124" width="8.5" style="12" customWidth="1"/>
    <col min="5125" max="5125" width="40" style="12" customWidth="1"/>
    <col min="5126" max="5126" width="6.375" style="12" bestFit="1" customWidth="1"/>
    <col min="5127" max="5127" width="6.625" style="12" bestFit="1" customWidth="1"/>
    <col min="5128" max="5128" width="8.25" style="12" bestFit="1" customWidth="1"/>
    <col min="5129" max="5129" width="4.125" style="12" customWidth="1"/>
    <col min="5130" max="5130" width="8.5" style="12" customWidth="1"/>
    <col min="5131" max="5131" width="40" style="12" customWidth="1"/>
    <col min="5132" max="5132" width="6.375" style="12" customWidth="1"/>
    <col min="5133" max="5133" width="6.625" style="12" bestFit="1" customWidth="1"/>
    <col min="5134" max="5134" width="8.25" style="12" bestFit="1" customWidth="1"/>
    <col min="5135" max="5135" width="4.125" style="12" customWidth="1"/>
    <col min="5136" max="5136" width="8.5" style="12" customWidth="1"/>
    <col min="5137" max="5137" width="40" style="12" customWidth="1"/>
    <col min="5138" max="5138" width="6.375" style="12" customWidth="1"/>
    <col min="5139" max="5139" width="6.625" style="12" bestFit="1" customWidth="1"/>
    <col min="5140" max="5140" width="8.25" style="12" bestFit="1" customWidth="1"/>
    <col min="5141" max="5379" width="9" style="12"/>
    <col min="5380" max="5380" width="8.5" style="12" customWidth="1"/>
    <col min="5381" max="5381" width="40" style="12" customWidth="1"/>
    <col min="5382" max="5382" width="6.375" style="12" bestFit="1" customWidth="1"/>
    <col min="5383" max="5383" width="6.625" style="12" bestFit="1" customWidth="1"/>
    <col min="5384" max="5384" width="8.25" style="12" bestFit="1" customWidth="1"/>
    <col min="5385" max="5385" width="4.125" style="12" customWidth="1"/>
    <col min="5386" max="5386" width="8.5" style="12" customWidth="1"/>
    <col min="5387" max="5387" width="40" style="12" customWidth="1"/>
    <col min="5388" max="5388" width="6.375" style="12" customWidth="1"/>
    <col min="5389" max="5389" width="6.625" style="12" bestFit="1" customWidth="1"/>
    <col min="5390" max="5390" width="8.25" style="12" bestFit="1" customWidth="1"/>
    <col min="5391" max="5391" width="4.125" style="12" customWidth="1"/>
    <col min="5392" max="5392" width="8.5" style="12" customWidth="1"/>
    <col min="5393" max="5393" width="40" style="12" customWidth="1"/>
    <col min="5394" max="5394" width="6.375" style="12" customWidth="1"/>
    <col min="5395" max="5395" width="6.625" style="12" bestFit="1" customWidth="1"/>
    <col min="5396" max="5396" width="8.25" style="12" bestFit="1" customWidth="1"/>
    <col min="5397" max="5635" width="9" style="12"/>
    <col min="5636" max="5636" width="8.5" style="12" customWidth="1"/>
    <col min="5637" max="5637" width="40" style="12" customWidth="1"/>
    <col min="5638" max="5638" width="6.375" style="12" bestFit="1" customWidth="1"/>
    <col min="5639" max="5639" width="6.625" style="12" bestFit="1" customWidth="1"/>
    <col min="5640" max="5640" width="8.25" style="12" bestFit="1" customWidth="1"/>
    <col min="5641" max="5641" width="4.125" style="12" customWidth="1"/>
    <col min="5642" max="5642" width="8.5" style="12" customWidth="1"/>
    <col min="5643" max="5643" width="40" style="12" customWidth="1"/>
    <col min="5644" max="5644" width="6.375" style="12" customWidth="1"/>
    <col min="5645" max="5645" width="6.625" style="12" bestFit="1" customWidth="1"/>
    <col min="5646" max="5646" width="8.25" style="12" bestFit="1" customWidth="1"/>
    <col min="5647" max="5647" width="4.125" style="12" customWidth="1"/>
    <col min="5648" max="5648" width="8.5" style="12" customWidth="1"/>
    <col min="5649" max="5649" width="40" style="12" customWidth="1"/>
    <col min="5650" max="5650" width="6.375" style="12" customWidth="1"/>
    <col min="5651" max="5651" width="6.625" style="12" bestFit="1" customWidth="1"/>
    <col min="5652" max="5652" width="8.25" style="12" bestFit="1" customWidth="1"/>
    <col min="5653" max="5891" width="9" style="12"/>
    <col min="5892" max="5892" width="8.5" style="12" customWidth="1"/>
    <col min="5893" max="5893" width="40" style="12" customWidth="1"/>
    <col min="5894" max="5894" width="6.375" style="12" bestFit="1" customWidth="1"/>
    <col min="5895" max="5895" width="6.625" style="12" bestFit="1" customWidth="1"/>
    <col min="5896" max="5896" width="8.25" style="12" bestFit="1" customWidth="1"/>
    <col min="5897" max="5897" width="4.125" style="12" customWidth="1"/>
    <col min="5898" max="5898" width="8.5" style="12" customWidth="1"/>
    <col min="5899" max="5899" width="40" style="12" customWidth="1"/>
    <col min="5900" max="5900" width="6.375" style="12" customWidth="1"/>
    <col min="5901" max="5901" width="6.625" style="12" bestFit="1" customWidth="1"/>
    <col min="5902" max="5902" width="8.25" style="12" bestFit="1" customWidth="1"/>
    <col min="5903" max="5903" width="4.125" style="12" customWidth="1"/>
    <col min="5904" max="5904" width="8.5" style="12" customWidth="1"/>
    <col min="5905" max="5905" width="40" style="12" customWidth="1"/>
    <col min="5906" max="5906" width="6.375" style="12" customWidth="1"/>
    <col min="5907" max="5907" width="6.625" style="12" bestFit="1" customWidth="1"/>
    <col min="5908" max="5908" width="8.25" style="12" bestFit="1" customWidth="1"/>
    <col min="5909" max="6147" width="9" style="12"/>
    <col min="6148" max="6148" width="8.5" style="12" customWidth="1"/>
    <col min="6149" max="6149" width="40" style="12" customWidth="1"/>
    <col min="6150" max="6150" width="6.375" style="12" bestFit="1" customWidth="1"/>
    <col min="6151" max="6151" width="6.625" style="12" bestFit="1" customWidth="1"/>
    <col min="6152" max="6152" width="8.25" style="12" bestFit="1" customWidth="1"/>
    <col min="6153" max="6153" width="4.125" style="12" customWidth="1"/>
    <col min="6154" max="6154" width="8.5" style="12" customWidth="1"/>
    <col min="6155" max="6155" width="40" style="12" customWidth="1"/>
    <col min="6156" max="6156" width="6.375" style="12" customWidth="1"/>
    <col min="6157" max="6157" width="6.625" style="12" bestFit="1" customWidth="1"/>
    <col min="6158" max="6158" width="8.25" style="12" bestFit="1" customWidth="1"/>
    <col min="6159" max="6159" width="4.125" style="12" customWidth="1"/>
    <col min="6160" max="6160" width="8.5" style="12" customWidth="1"/>
    <col min="6161" max="6161" width="40" style="12" customWidth="1"/>
    <col min="6162" max="6162" width="6.375" style="12" customWidth="1"/>
    <col min="6163" max="6163" width="6.625" style="12" bestFit="1" customWidth="1"/>
    <col min="6164" max="6164" width="8.25" style="12" bestFit="1" customWidth="1"/>
    <col min="6165" max="6403" width="9" style="12"/>
    <col min="6404" max="6404" width="8.5" style="12" customWidth="1"/>
    <col min="6405" max="6405" width="40" style="12" customWidth="1"/>
    <col min="6406" max="6406" width="6.375" style="12" bestFit="1" customWidth="1"/>
    <col min="6407" max="6407" width="6.625" style="12" bestFit="1" customWidth="1"/>
    <col min="6408" max="6408" width="8.25" style="12" bestFit="1" customWidth="1"/>
    <col min="6409" max="6409" width="4.125" style="12" customWidth="1"/>
    <col min="6410" max="6410" width="8.5" style="12" customWidth="1"/>
    <col min="6411" max="6411" width="40" style="12" customWidth="1"/>
    <col min="6412" max="6412" width="6.375" style="12" customWidth="1"/>
    <col min="6413" max="6413" width="6.625" style="12" bestFit="1" customWidth="1"/>
    <col min="6414" max="6414" width="8.25" style="12" bestFit="1" customWidth="1"/>
    <col min="6415" max="6415" width="4.125" style="12" customWidth="1"/>
    <col min="6416" max="6416" width="8.5" style="12" customWidth="1"/>
    <col min="6417" max="6417" width="40" style="12" customWidth="1"/>
    <col min="6418" max="6418" width="6.375" style="12" customWidth="1"/>
    <col min="6419" max="6419" width="6.625" style="12" bestFit="1" customWidth="1"/>
    <col min="6420" max="6420" width="8.25" style="12" bestFit="1" customWidth="1"/>
    <col min="6421" max="6659" width="9" style="12"/>
    <col min="6660" max="6660" width="8.5" style="12" customWidth="1"/>
    <col min="6661" max="6661" width="40" style="12" customWidth="1"/>
    <col min="6662" max="6662" width="6.375" style="12" bestFit="1" customWidth="1"/>
    <col min="6663" max="6663" width="6.625" style="12" bestFit="1" customWidth="1"/>
    <col min="6664" max="6664" width="8.25" style="12" bestFit="1" customWidth="1"/>
    <col min="6665" max="6665" width="4.125" style="12" customWidth="1"/>
    <col min="6666" max="6666" width="8.5" style="12" customWidth="1"/>
    <col min="6667" max="6667" width="40" style="12" customWidth="1"/>
    <col min="6668" max="6668" width="6.375" style="12" customWidth="1"/>
    <col min="6669" max="6669" width="6.625" style="12" bestFit="1" customWidth="1"/>
    <col min="6670" max="6670" width="8.25" style="12" bestFit="1" customWidth="1"/>
    <col min="6671" max="6671" width="4.125" style="12" customWidth="1"/>
    <col min="6672" max="6672" width="8.5" style="12" customWidth="1"/>
    <col min="6673" max="6673" width="40" style="12" customWidth="1"/>
    <col min="6674" max="6674" width="6.375" style="12" customWidth="1"/>
    <col min="6675" max="6675" width="6.625" style="12" bestFit="1" customWidth="1"/>
    <col min="6676" max="6676" width="8.25" style="12" bestFit="1" customWidth="1"/>
    <col min="6677" max="6915" width="9" style="12"/>
    <col min="6916" max="6916" width="8.5" style="12" customWidth="1"/>
    <col min="6917" max="6917" width="40" style="12" customWidth="1"/>
    <col min="6918" max="6918" width="6.375" style="12" bestFit="1" customWidth="1"/>
    <col min="6919" max="6919" width="6.625" style="12" bestFit="1" customWidth="1"/>
    <col min="6920" max="6920" width="8.25" style="12" bestFit="1" customWidth="1"/>
    <col min="6921" max="6921" width="4.125" style="12" customWidth="1"/>
    <col min="6922" max="6922" width="8.5" style="12" customWidth="1"/>
    <col min="6923" max="6923" width="40" style="12" customWidth="1"/>
    <col min="6924" max="6924" width="6.375" style="12" customWidth="1"/>
    <col min="6925" max="6925" width="6.625" style="12" bestFit="1" customWidth="1"/>
    <col min="6926" max="6926" width="8.25" style="12" bestFit="1" customWidth="1"/>
    <col min="6927" max="6927" width="4.125" style="12" customWidth="1"/>
    <col min="6928" max="6928" width="8.5" style="12" customWidth="1"/>
    <col min="6929" max="6929" width="40" style="12" customWidth="1"/>
    <col min="6930" max="6930" width="6.375" style="12" customWidth="1"/>
    <col min="6931" max="6931" width="6.625" style="12" bestFit="1" customWidth="1"/>
    <col min="6932" max="6932" width="8.25" style="12" bestFit="1" customWidth="1"/>
    <col min="6933" max="7171" width="9" style="12"/>
    <col min="7172" max="7172" width="8.5" style="12" customWidth="1"/>
    <col min="7173" max="7173" width="40" style="12" customWidth="1"/>
    <col min="7174" max="7174" width="6.375" style="12" bestFit="1" customWidth="1"/>
    <col min="7175" max="7175" width="6.625" style="12" bestFit="1" customWidth="1"/>
    <col min="7176" max="7176" width="8.25" style="12" bestFit="1" customWidth="1"/>
    <col min="7177" max="7177" width="4.125" style="12" customWidth="1"/>
    <col min="7178" max="7178" width="8.5" style="12" customWidth="1"/>
    <col min="7179" max="7179" width="40" style="12" customWidth="1"/>
    <col min="7180" max="7180" width="6.375" style="12" customWidth="1"/>
    <col min="7181" max="7181" width="6.625" style="12" bestFit="1" customWidth="1"/>
    <col min="7182" max="7182" width="8.25" style="12" bestFit="1" customWidth="1"/>
    <col min="7183" max="7183" width="4.125" style="12" customWidth="1"/>
    <col min="7184" max="7184" width="8.5" style="12" customWidth="1"/>
    <col min="7185" max="7185" width="40" style="12" customWidth="1"/>
    <col min="7186" max="7186" width="6.375" style="12" customWidth="1"/>
    <col min="7187" max="7187" width="6.625" style="12" bestFit="1" customWidth="1"/>
    <col min="7188" max="7188" width="8.25" style="12" bestFit="1" customWidth="1"/>
    <col min="7189" max="7427" width="9" style="12"/>
    <col min="7428" max="7428" width="8.5" style="12" customWidth="1"/>
    <col min="7429" max="7429" width="40" style="12" customWidth="1"/>
    <col min="7430" max="7430" width="6.375" style="12" bestFit="1" customWidth="1"/>
    <col min="7431" max="7431" width="6.625" style="12" bestFit="1" customWidth="1"/>
    <col min="7432" max="7432" width="8.25" style="12" bestFit="1" customWidth="1"/>
    <col min="7433" max="7433" width="4.125" style="12" customWidth="1"/>
    <col min="7434" max="7434" width="8.5" style="12" customWidth="1"/>
    <col min="7435" max="7435" width="40" style="12" customWidth="1"/>
    <col min="7436" max="7436" width="6.375" style="12" customWidth="1"/>
    <col min="7437" max="7437" width="6.625" style="12" bestFit="1" customWidth="1"/>
    <col min="7438" max="7438" width="8.25" style="12" bestFit="1" customWidth="1"/>
    <col min="7439" max="7439" width="4.125" style="12" customWidth="1"/>
    <col min="7440" max="7440" width="8.5" style="12" customWidth="1"/>
    <col min="7441" max="7441" width="40" style="12" customWidth="1"/>
    <col min="7442" max="7442" width="6.375" style="12" customWidth="1"/>
    <col min="7443" max="7443" width="6.625" style="12" bestFit="1" customWidth="1"/>
    <col min="7444" max="7444" width="8.25" style="12" bestFit="1" customWidth="1"/>
    <col min="7445" max="7683" width="9" style="12"/>
    <col min="7684" max="7684" width="8.5" style="12" customWidth="1"/>
    <col min="7685" max="7685" width="40" style="12" customWidth="1"/>
    <col min="7686" max="7686" width="6.375" style="12" bestFit="1" customWidth="1"/>
    <col min="7687" max="7687" width="6.625" style="12" bestFit="1" customWidth="1"/>
    <col min="7688" max="7688" width="8.25" style="12" bestFit="1" customWidth="1"/>
    <col min="7689" max="7689" width="4.125" style="12" customWidth="1"/>
    <col min="7690" max="7690" width="8.5" style="12" customWidth="1"/>
    <col min="7691" max="7691" width="40" style="12" customWidth="1"/>
    <col min="7692" max="7692" width="6.375" style="12" customWidth="1"/>
    <col min="7693" max="7693" width="6.625" style="12" bestFit="1" customWidth="1"/>
    <col min="7694" max="7694" width="8.25" style="12" bestFit="1" customWidth="1"/>
    <col min="7695" max="7695" width="4.125" style="12" customWidth="1"/>
    <col min="7696" max="7696" width="8.5" style="12" customWidth="1"/>
    <col min="7697" max="7697" width="40" style="12" customWidth="1"/>
    <col min="7698" max="7698" width="6.375" style="12" customWidth="1"/>
    <col min="7699" max="7699" width="6.625" style="12" bestFit="1" customWidth="1"/>
    <col min="7700" max="7700" width="8.25" style="12" bestFit="1" customWidth="1"/>
    <col min="7701" max="7939" width="9" style="12"/>
    <col min="7940" max="7940" width="8.5" style="12" customWidth="1"/>
    <col min="7941" max="7941" width="40" style="12" customWidth="1"/>
    <col min="7942" max="7942" width="6.375" style="12" bestFit="1" customWidth="1"/>
    <col min="7943" max="7943" width="6.625" style="12" bestFit="1" customWidth="1"/>
    <col min="7944" max="7944" width="8.25" style="12" bestFit="1" customWidth="1"/>
    <col min="7945" max="7945" width="4.125" style="12" customWidth="1"/>
    <col min="7946" max="7946" width="8.5" style="12" customWidth="1"/>
    <col min="7947" max="7947" width="40" style="12" customWidth="1"/>
    <col min="7948" max="7948" width="6.375" style="12" customWidth="1"/>
    <col min="7949" max="7949" width="6.625" style="12" bestFit="1" customWidth="1"/>
    <col min="7950" max="7950" width="8.25" style="12" bestFit="1" customWidth="1"/>
    <col min="7951" max="7951" width="4.125" style="12" customWidth="1"/>
    <col min="7952" max="7952" width="8.5" style="12" customWidth="1"/>
    <col min="7953" max="7953" width="40" style="12" customWidth="1"/>
    <col min="7954" max="7954" width="6.375" style="12" customWidth="1"/>
    <col min="7955" max="7955" width="6.625" style="12" bestFit="1" customWidth="1"/>
    <col min="7956" max="7956" width="8.25" style="12" bestFit="1" customWidth="1"/>
    <col min="7957" max="8195" width="9" style="12"/>
    <col min="8196" max="8196" width="8.5" style="12" customWidth="1"/>
    <col min="8197" max="8197" width="40" style="12" customWidth="1"/>
    <col min="8198" max="8198" width="6.375" style="12" bestFit="1" customWidth="1"/>
    <col min="8199" max="8199" width="6.625" style="12" bestFit="1" customWidth="1"/>
    <col min="8200" max="8200" width="8.25" style="12" bestFit="1" customWidth="1"/>
    <col min="8201" max="8201" width="4.125" style="12" customWidth="1"/>
    <col min="8202" max="8202" width="8.5" style="12" customWidth="1"/>
    <col min="8203" max="8203" width="40" style="12" customWidth="1"/>
    <col min="8204" max="8204" width="6.375" style="12" customWidth="1"/>
    <col min="8205" max="8205" width="6.625" style="12" bestFit="1" customWidth="1"/>
    <col min="8206" max="8206" width="8.25" style="12" bestFit="1" customWidth="1"/>
    <col min="8207" max="8207" width="4.125" style="12" customWidth="1"/>
    <col min="8208" max="8208" width="8.5" style="12" customWidth="1"/>
    <col min="8209" max="8209" width="40" style="12" customWidth="1"/>
    <col min="8210" max="8210" width="6.375" style="12" customWidth="1"/>
    <col min="8211" max="8211" width="6.625" style="12" bestFit="1" customWidth="1"/>
    <col min="8212" max="8212" width="8.25" style="12" bestFit="1" customWidth="1"/>
    <col min="8213" max="8451" width="9" style="12"/>
    <col min="8452" max="8452" width="8.5" style="12" customWidth="1"/>
    <col min="8453" max="8453" width="40" style="12" customWidth="1"/>
    <col min="8454" max="8454" width="6.375" style="12" bestFit="1" customWidth="1"/>
    <col min="8455" max="8455" width="6.625" style="12" bestFit="1" customWidth="1"/>
    <col min="8456" max="8456" width="8.25" style="12" bestFit="1" customWidth="1"/>
    <col min="8457" max="8457" width="4.125" style="12" customWidth="1"/>
    <col min="8458" max="8458" width="8.5" style="12" customWidth="1"/>
    <col min="8459" max="8459" width="40" style="12" customWidth="1"/>
    <col min="8460" max="8460" width="6.375" style="12" customWidth="1"/>
    <col min="8461" max="8461" width="6.625" style="12" bestFit="1" customWidth="1"/>
    <col min="8462" max="8462" width="8.25" style="12" bestFit="1" customWidth="1"/>
    <col min="8463" max="8463" width="4.125" style="12" customWidth="1"/>
    <col min="8464" max="8464" width="8.5" style="12" customWidth="1"/>
    <col min="8465" max="8465" width="40" style="12" customWidth="1"/>
    <col min="8466" max="8466" width="6.375" style="12" customWidth="1"/>
    <col min="8467" max="8467" width="6.625" style="12" bestFit="1" customWidth="1"/>
    <col min="8468" max="8468" width="8.25" style="12" bestFit="1" customWidth="1"/>
    <col min="8469" max="8707" width="9" style="12"/>
    <col min="8708" max="8708" width="8.5" style="12" customWidth="1"/>
    <col min="8709" max="8709" width="40" style="12" customWidth="1"/>
    <col min="8710" max="8710" width="6.375" style="12" bestFit="1" customWidth="1"/>
    <col min="8711" max="8711" width="6.625" style="12" bestFit="1" customWidth="1"/>
    <col min="8712" max="8712" width="8.25" style="12" bestFit="1" customWidth="1"/>
    <col min="8713" max="8713" width="4.125" style="12" customWidth="1"/>
    <col min="8714" max="8714" width="8.5" style="12" customWidth="1"/>
    <col min="8715" max="8715" width="40" style="12" customWidth="1"/>
    <col min="8716" max="8716" width="6.375" style="12" customWidth="1"/>
    <col min="8717" max="8717" width="6.625" style="12" bestFit="1" customWidth="1"/>
    <col min="8718" max="8718" width="8.25" style="12" bestFit="1" customWidth="1"/>
    <col min="8719" max="8719" width="4.125" style="12" customWidth="1"/>
    <col min="8720" max="8720" width="8.5" style="12" customWidth="1"/>
    <col min="8721" max="8721" width="40" style="12" customWidth="1"/>
    <col min="8722" max="8722" width="6.375" style="12" customWidth="1"/>
    <col min="8723" max="8723" width="6.625" style="12" bestFit="1" customWidth="1"/>
    <col min="8724" max="8724" width="8.25" style="12" bestFit="1" customWidth="1"/>
    <col min="8725" max="8963" width="9" style="12"/>
    <col min="8964" max="8964" width="8.5" style="12" customWidth="1"/>
    <col min="8965" max="8965" width="40" style="12" customWidth="1"/>
    <col min="8966" max="8966" width="6.375" style="12" bestFit="1" customWidth="1"/>
    <col min="8967" max="8967" width="6.625" style="12" bestFit="1" customWidth="1"/>
    <col min="8968" max="8968" width="8.25" style="12" bestFit="1" customWidth="1"/>
    <col min="8969" max="8969" width="4.125" style="12" customWidth="1"/>
    <col min="8970" max="8970" width="8.5" style="12" customWidth="1"/>
    <col min="8971" max="8971" width="40" style="12" customWidth="1"/>
    <col min="8972" max="8972" width="6.375" style="12" customWidth="1"/>
    <col min="8973" max="8973" width="6.625" style="12" bestFit="1" customWidth="1"/>
    <col min="8974" max="8974" width="8.25" style="12" bestFit="1" customWidth="1"/>
    <col min="8975" max="8975" width="4.125" style="12" customWidth="1"/>
    <col min="8976" max="8976" width="8.5" style="12" customWidth="1"/>
    <col min="8977" max="8977" width="40" style="12" customWidth="1"/>
    <col min="8978" max="8978" width="6.375" style="12" customWidth="1"/>
    <col min="8979" max="8979" width="6.625" style="12" bestFit="1" customWidth="1"/>
    <col min="8980" max="8980" width="8.25" style="12" bestFit="1" customWidth="1"/>
    <col min="8981" max="9219" width="9" style="12"/>
    <col min="9220" max="9220" width="8.5" style="12" customWidth="1"/>
    <col min="9221" max="9221" width="40" style="12" customWidth="1"/>
    <col min="9222" max="9222" width="6.375" style="12" bestFit="1" customWidth="1"/>
    <col min="9223" max="9223" width="6.625" style="12" bestFit="1" customWidth="1"/>
    <col min="9224" max="9224" width="8.25" style="12" bestFit="1" customWidth="1"/>
    <col min="9225" max="9225" width="4.125" style="12" customWidth="1"/>
    <col min="9226" max="9226" width="8.5" style="12" customWidth="1"/>
    <col min="9227" max="9227" width="40" style="12" customWidth="1"/>
    <col min="9228" max="9228" width="6.375" style="12" customWidth="1"/>
    <col min="9229" max="9229" width="6.625" style="12" bestFit="1" customWidth="1"/>
    <col min="9230" max="9230" width="8.25" style="12" bestFit="1" customWidth="1"/>
    <col min="9231" max="9231" width="4.125" style="12" customWidth="1"/>
    <col min="9232" max="9232" width="8.5" style="12" customWidth="1"/>
    <col min="9233" max="9233" width="40" style="12" customWidth="1"/>
    <col min="9234" max="9234" width="6.375" style="12" customWidth="1"/>
    <col min="9235" max="9235" width="6.625" style="12" bestFit="1" customWidth="1"/>
    <col min="9236" max="9236" width="8.25" style="12" bestFit="1" customWidth="1"/>
    <col min="9237" max="9475" width="9" style="12"/>
    <col min="9476" max="9476" width="8.5" style="12" customWidth="1"/>
    <col min="9477" max="9477" width="40" style="12" customWidth="1"/>
    <col min="9478" max="9478" width="6.375" style="12" bestFit="1" customWidth="1"/>
    <col min="9479" max="9479" width="6.625" style="12" bestFit="1" customWidth="1"/>
    <col min="9480" max="9480" width="8.25" style="12" bestFit="1" customWidth="1"/>
    <col min="9481" max="9481" width="4.125" style="12" customWidth="1"/>
    <col min="9482" max="9482" width="8.5" style="12" customWidth="1"/>
    <col min="9483" max="9483" width="40" style="12" customWidth="1"/>
    <col min="9484" max="9484" width="6.375" style="12" customWidth="1"/>
    <col min="9485" max="9485" width="6.625" style="12" bestFit="1" customWidth="1"/>
    <col min="9486" max="9486" width="8.25" style="12" bestFit="1" customWidth="1"/>
    <col min="9487" max="9487" width="4.125" style="12" customWidth="1"/>
    <col min="9488" max="9488" width="8.5" style="12" customWidth="1"/>
    <col min="9489" max="9489" width="40" style="12" customWidth="1"/>
    <col min="9490" max="9490" width="6.375" style="12" customWidth="1"/>
    <col min="9491" max="9491" width="6.625" style="12" bestFit="1" customWidth="1"/>
    <col min="9492" max="9492" width="8.25" style="12" bestFit="1" customWidth="1"/>
    <col min="9493" max="9731" width="9" style="12"/>
    <col min="9732" max="9732" width="8.5" style="12" customWidth="1"/>
    <col min="9733" max="9733" width="40" style="12" customWidth="1"/>
    <col min="9734" max="9734" width="6.375" style="12" bestFit="1" customWidth="1"/>
    <col min="9735" max="9735" width="6.625" style="12" bestFit="1" customWidth="1"/>
    <col min="9736" max="9736" width="8.25" style="12" bestFit="1" customWidth="1"/>
    <col min="9737" max="9737" width="4.125" style="12" customWidth="1"/>
    <col min="9738" max="9738" width="8.5" style="12" customWidth="1"/>
    <col min="9739" max="9739" width="40" style="12" customWidth="1"/>
    <col min="9740" max="9740" width="6.375" style="12" customWidth="1"/>
    <col min="9741" max="9741" width="6.625" style="12" bestFit="1" customWidth="1"/>
    <col min="9742" max="9742" width="8.25" style="12" bestFit="1" customWidth="1"/>
    <col min="9743" max="9743" width="4.125" style="12" customWidth="1"/>
    <col min="9744" max="9744" width="8.5" style="12" customWidth="1"/>
    <col min="9745" max="9745" width="40" style="12" customWidth="1"/>
    <col min="9746" max="9746" width="6.375" style="12" customWidth="1"/>
    <col min="9747" max="9747" width="6.625" style="12" bestFit="1" customWidth="1"/>
    <col min="9748" max="9748" width="8.25" style="12" bestFit="1" customWidth="1"/>
    <col min="9749" max="9987" width="9" style="12"/>
    <col min="9988" max="9988" width="8.5" style="12" customWidth="1"/>
    <col min="9989" max="9989" width="40" style="12" customWidth="1"/>
    <col min="9990" max="9990" width="6.375" style="12" bestFit="1" customWidth="1"/>
    <col min="9991" max="9991" width="6.625" style="12" bestFit="1" customWidth="1"/>
    <col min="9992" max="9992" width="8.25" style="12" bestFit="1" customWidth="1"/>
    <col min="9993" max="9993" width="4.125" style="12" customWidth="1"/>
    <col min="9994" max="9994" width="8.5" style="12" customWidth="1"/>
    <col min="9995" max="9995" width="40" style="12" customWidth="1"/>
    <col min="9996" max="9996" width="6.375" style="12" customWidth="1"/>
    <col min="9997" max="9997" width="6.625" style="12" bestFit="1" customWidth="1"/>
    <col min="9998" max="9998" width="8.25" style="12" bestFit="1" customWidth="1"/>
    <col min="9999" max="9999" width="4.125" style="12" customWidth="1"/>
    <col min="10000" max="10000" width="8.5" style="12" customWidth="1"/>
    <col min="10001" max="10001" width="40" style="12" customWidth="1"/>
    <col min="10002" max="10002" width="6.375" style="12" customWidth="1"/>
    <col min="10003" max="10003" width="6.625" style="12" bestFit="1" customWidth="1"/>
    <col min="10004" max="10004" width="8.25" style="12" bestFit="1" customWidth="1"/>
    <col min="10005" max="10243" width="9" style="12"/>
    <col min="10244" max="10244" width="8.5" style="12" customWidth="1"/>
    <col min="10245" max="10245" width="40" style="12" customWidth="1"/>
    <col min="10246" max="10246" width="6.375" style="12" bestFit="1" customWidth="1"/>
    <col min="10247" max="10247" width="6.625" style="12" bestFit="1" customWidth="1"/>
    <col min="10248" max="10248" width="8.25" style="12" bestFit="1" customWidth="1"/>
    <col min="10249" max="10249" width="4.125" style="12" customWidth="1"/>
    <col min="10250" max="10250" width="8.5" style="12" customWidth="1"/>
    <col min="10251" max="10251" width="40" style="12" customWidth="1"/>
    <col min="10252" max="10252" width="6.375" style="12" customWidth="1"/>
    <col min="10253" max="10253" width="6.625" style="12" bestFit="1" customWidth="1"/>
    <col min="10254" max="10254" width="8.25" style="12" bestFit="1" customWidth="1"/>
    <col min="10255" max="10255" width="4.125" style="12" customWidth="1"/>
    <col min="10256" max="10256" width="8.5" style="12" customWidth="1"/>
    <col min="10257" max="10257" width="40" style="12" customWidth="1"/>
    <col min="10258" max="10258" width="6.375" style="12" customWidth="1"/>
    <col min="10259" max="10259" width="6.625" style="12" bestFit="1" customWidth="1"/>
    <col min="10260" max="10260" width="8.25" style="12" bestFit="1" customWidth="1"/>
    <col min="10261" max="10499" width="9" style="12"/>
    <col min="10500" max="10500" width="8.5" style="12" customWidth="1"/>
    <col min="10501" max="10501" width="40" style="12" customWidth="1"/>
    <col min="10502" max="10502" width="6.375" style="12" bestFit="1" customWidth="1"/>
    <col min="10503" max="10503" width="6.625" style="12" bestFit="1" customWidth="1"/>
    <col min="10504" max="10504" width="8.25" style="12" bestFit="1" customWidth="1"/>
    <col min="10505" max="10505" width="4.125" style="12" customWidth="1"/>
    <col min="10506" max="10506" width="8.5" style="12" customWidth="1"/>
    <col min="10507" max="10507" width="40" style="12" customWidth="1"/>
    <col min="10508" max="10508" width="6.375" style="12" customWidth="1"/>
    <col min="10509" max="10509" width="6.625" style="12" bestFit="1" customWidth="1"/>
    <col min="10510" max="10510" width="8.25" style="12" bestFit="1" customWidth="1"/>
    <col min="10511" max="10511" width="4.125" style="12" customWidth="1"/>
    <col min="10512" max="10512" width="8.5" style="12" customWidth="1"/>
    <col min="10513" max="10513" width="40" style="12" customWidth="1"/>
    <col min="10514" max="10514" width="6.375" style="12" customWidth="1"/>
    <col min="10515" max="10515" width="6.625" style="12" bestFit="1" customWidth="1"/>
    <col min="10516" max="10516" width="8.25" style="12" bestFit="1" customWidth="1"/>
    <col min="10517" max="10755" width="9" style="12"/>
    <col min="10756" max="10756" width="8.5" style="12" customWidth="1"/>
    <col min="10757" max="10757" width="40" style="12" customWidth="1"/>
    <col min="10758" max="10758" width="6.375" style="12" bestFit="1" customWidth="1"/>
    <col min="10759" max="10759" width="6.625" style="12" bestFit="1" customWidth="1"/>
    <col min="10760" max="10760" width="8.25" style="12" bestFit="1" customWidth="1"/>
    <col min="10761" max="10761" width="4.125" style="12" customWidth="1"/>
    <col min="10762" max="10762" width="8.5" style="12" customWidth="1"/>
    <col min="10763" max="10763" width="40" style="12" customWidth="1"/>
    <col min="10764" max="10764" width="6.375" style="12" customWidth="1"/>
    <col min="10765" max="10765" width="6.625" style="12" bestFit="1" customWidth="1"/>
    <col min="10766" max="10766" width="8.25" style="12" bestFit="1" customWidth="1"/>
    <col min="10767" max="10767" width="4.125" style="12" customWidth="1"/>
    <col min="10768" max="10768" width="8.5" style="12" customWidth="1"/>
    <col min="10769" max="10769" width="40" style="12" customWidth="1"/>
    <col min="10770" max="10770" width="6.375" style="12" customWidth="1"/>
    <col min="10771" max="10771" width="6.625" style="12" bestFit="1" customWidth="1"/>
    <col min="10772" max="10772" width="8.25" style="12" bestFit="1" customWidth="1"/>
    <col min="10773" max="11011" width="9" style="12"/>
    <col min="11012" max="11012" width="8.5" style="12" customWidth="1"/>
    <col min="11013" max="11013" width="40" style="12" customWidth="1"/>
    <col min="11014" max="11014" width="6.375" style="12" bestFit="1" customWidth="1"/>
    <col min="11015" max="11015" width="6.625" style="12" bestFit="1" customWidth="1"/>
    <col min="11016" max="11016" width="8.25" style="12" bestFit="1" customWidth="1"/>
    <col min="11017" max="11017" width="4.125" style="12" customWidth="1"/>
    <col min="11018" max="11018" width="8.5" style="12" customWidth="1"/>
    <col min="11019" max="11019" width="40" style="12" customWidth="1"/>
    <col min="11020" max="11020" width="6.375" style="12" customWidth="1"/>
    <col min="11021" max="11021" width="6.625" style="12" bestFit="1" customWidth="1"/>
    <col min="11022" max="11022" width="8.25" style="12" bestFit="1" customWidth="1"/>
    <col min="11023" max="11023" width="4.125" style="12" customWidth="1"/>
    <col min="11024" max="11024" width="8.5" style="12" customWidth="1"/>
    <col min="11025" max="11025" width="40" style="12" customWidth="1"/>
    <col min="11026" max="11026" width="6.375" style="12" customWidth="1"/>
    <col min="11027" max="11027" width="6.625" style="12" bestFit="1" customWidth="1"/>
    <col min="11028" max="11028" width="8.25" style="12" bestFit="1" customWidth="1"/>
    <col min="11029" max="11267" width="9" style="12"/>
    <col min="11268" max="11268" width="8.5" style="12" customWidth="1"/>
    <col min="11269" max="11269" width="40" style="12" customWidth="1"/>
    <col min="11270" max="11270" width="6.375" style="12" bestFit="1" customWidth="1"/>
    <col min="11271" max="11271" width="6.625" style="12" bestFit="1" customWidth="1"/>
    <col min="11272" max="11272" width="8.25" style="12" bestFit="1" customWidth="1"/>
    <col min="11273" max="11273" width="4.125" style="12" customWidth="1"/>
    <col min="11274" max="11274" width="8.5" style="12" customWidth="1"/>
    <col min="11275" max="11275" width="40" style="12" customWidth="1"/>
    <col min="11276" max="11276" width="6.375" style="12" customWidth="1"/>
    <col min="11277" max="11277" width="6.625" style="12" bestFit="1" customWidth="1"/>
    <col min="11278" max="11278" width="8.25" style="12" bestFit="1" customWidth="1"/>
    <col min="11279" max="11279" width="4.125" style="12" customWidth="1"/>
    <col min="11280" max="11280" width="8.5" style="12" customWidth="1"/>
    <col min="11281" max="11281" width="40" style="12" customWidth="1"/>
    <col min="11282" max="11282" width="6.375" style="12" customWidth="1"/>
    <col min="11283" max="11283" width="6.625" style="12" bestFit="1" customWidth="1"/>
    <col min="11284" max="11284" width="8.25" style="12" bestFit="1" customWidth="1"/>
    <col min="11285" max="11523" width="9" style="12"/>
    <col min="11524" max="11524" width="8.5" style="12" customWidth="1"/>
    <col min="11525" max="11525" width="40" style="12" customWidth="1"/>
    <col min="11526" max="11526" width="6.375" style="12" bestFit="1" customWidth="1"/>
    <col min="11527" max="11527" width="6.625" style="12" bestFit="1" customWidth="1"/>
    <col min="11528" max="11528" width="8.25" style="12" bestFit="1" customWidth="1"/>
    <col min="11529" max="11529" width="4.125" style="12" customWidth="1"/>
    <col min="11530" max="11530" width="8.5" style="12" customWidth="1"/>
    <col min="11531" max="11531" width="40" style="12" customWidth="1"/>
    <col min="11532" max="11532" width="6.375" style="12" customWidth="1"/>
    <col min="11533" max="11533" width="6.625" style="12" bestFit="1" customWidth="1"/>
    <col min="11534" max="11534" width="8.25" style="12" bestFit="1" customWidth="1"/>
    <col min="11535" max="11535" width="4.125" style="12" customWidth="1"/>
    <col min="11536" max="11536" width="8.5" style="12" customWidth="1"/>
    <col min="11537" max="11537" width="40" style="12" customWidth="1"/>
    <col min="11538" max="11538" width="6.375" style="12" customWidth="1"/>
    <col min="11539" max="11539" width="6.625" style="12" bestFit="1" customWidth="1"/>
    <col min="11540" max="11540" width="8.25" style="12" bestFit="1" customWidth="1"/>
    <col min="11541" max="11779" width="9" style="12"/>
    <col min="11780" max="11780" width="8.5" style="12" customWidth="1"/>
    <col min="11781" max="11781" width="40" style="12" customWidth="1"/>
    <col min="11782" max="11782" width="6.375" style="12" bestFit="1" customWidth="1"/>
    <col min="11783" max="11783" width="6.625" style="12" bestFit="1" customWidth="1"/>
    <col min="11784" max="11784" width="8.25" style="12" bestFit="1" customWidth="1"/>
    <col min="11785" max="11785" width="4.125" style="12" customWidth="1"/>
    <col min="11786" max="11786" width="8.5" style="12" customWidth="1"/>
    <col min="11787" max="11787" width="40" style="12" customWidth="1"/>
    <col min="11788" max="11788" width="6.375" style="12" customWidth="1"/>
    <col min="11789" max="11789" width="6.625" style="12" bestFit="1" customWidth="1"/>
    <col min="11790" max="11790" width="8.25" style="12" bestFit="1" customWidth="1"/>
    <col min="11791" max="11791" width="4.125" style="12" customWidth="1"/>
    <col min="11792" max="11792" width="8.5" style="12" customWidth="1"/>
    <col min="11793" max="11793" width="40" style="12" customWidth="1"/>
    <col min="11794" max="11794" width="6.375" style="12" customWidth="1"/>
    <col min="11795" max="11795" width="6.625" style="12" bestFit="1" customWidth="1"/>
    <col min="11796" max="11796" width="8.25" style="12" bestFit="1" customWidth="1"/>
    <col min="11797" max="12035" width="9" style="12"/>
    <col min="12036" max="12036" width="8.5" style="12" customWidth="1"/>
    <col min="12037" max="12037" width="40" style="12" customWidth="1"/>
    <col min="12038" max="12038" width="6.375" style="12" bestFit="1" customWidth="1"/>
    <col min="12039" max="12039" width="6.625" style="12" bestFit="1" customWidth="1"/>
    <col min="12040" max="12040" width="8.25" style="12" bestFit="1" customWidth="1"/>
    <col min="12041" max="12041" width="4.125" style="12" customWidth="1"/>
    <col min="12042" max="12042" width="8.5" style="12" customWidth="1"/>
    <col min="12043" max="12043" width="40" style="12" customWidth="1"/>
    <col min="12044" max="12044" width="6.375" style="12" customWidth="1"/>
    <col min="12045" max="12045" width="6.625" style="12" bestFit="1" customWidth="1"/>
    <col min="12046" max="12046" width="8.25" style="12" bestFit="1" customWidth="1"/>
    <col min="12047" max="12047" width="4.125" style="12" customWidth="1"/>
    <col min="12048" max="12048" width="8.5" style="12" customWidth="1"/>
    <col min="12049" max="12049" width="40" style="12" customWidth="1"/>
    <col min="12050" max="12050" width="6.375" style="12" customWidth="1"/>
    <col min="12051" max="12051" width="6.625" style="12" bestFit="1" customWidth="1"/>
    <col min="12052" max="12052" width="8.25" style="12" bestFit="1" customWidth="1"/>
    <col min="12053" max="12291" width="9" style="12"/>
    <col min="12292" max="12292" width="8.5" style="12" customWidth="1"/>
    <col min="12293" max="12293" width="40" style="12" customWidth="1"/>
    <col min="12294" max="12294" width="6.375" style="12" bestFit="1" customWidth="1"/>
    <col min="12295" max="12295" width="6.625" style="12" bestFit="1" customWidth="1"/>
    <col min="12296" max="12296" width="8.25" style="12" bestFit="1" customWidth="1"/>
    <col min="12297" max="12297" width="4.125" style="12" customWidth="1"/>
    <col min="12298" max="12298" width="8.5" style="12" customWidth="1"/>
    <col min="12299" max="12299" width="40" style="12" customWidth="1"/>
    <col min="12300" max="12300" width="6.375" style="12" customWidth="1"/>
    <col min="12301" max="12301" width="6.625" style="12" bestFit="1" customWidth="1"/>
    <col min="12302" max="12302" width="8.25" style="12" bestFit="1" customWidth="1"/>
    <col min="12303" max="12303" width="4.125" style="12" customWidth="1"/>
    <col min="12304" max="12304" width="8.5" style="12" customWidth="1"/>
    <col min="12305" max="12305" width="40" style="12" customWidth="1"/>
    <col min="12306" max="12306" width="6.375" style="12" customWidth="1"/>
    <col min="12307" max="12307" width="6.625" style="12" bestFit="1" customWidth="1"/>
    <col min="12308" max="12308" width="8.25" style="12" bestFit="1" customWidth="1"/>
    <col min="12309" max="12547" width="9" style="12"/>
    <col min="12548" max="12548" width="8.5" style="12" customWidth="1"/>
    <col min="12549" max="12549" width="40" style="12" customWidth="1"/>
    <col min="12550" max="12550" width="6.375" style="12" bestFit="1" customWidth="1"/>
    <col min="12551" max="12551" width="6.625" style="12" bestFit="1" customWidth="1"/>
    <col min="12552" max="12552" width="8.25" style="12" bestFit="1" customWidth="1"/>
    <col min="12553" max="12553" width="4.125" style="12" customWidth="1"/>
    <col min="12554" max="12554" width="8.5" style="12" customWidth="1"/>
    <col min="12555" max="12555" width="40" style="12" customWidth="1"/>
    <col min="12556" max="12556" width="6.375" style="12" customWidth="1"/>
    <col min="12557" max="12557" width="6.625" style="12" bestFit="1" customWidth="1"/>
    <col min="12558" max="12558" width="8.25" style="12" bestFit="1" customWidth="1"/>
    <col min="12559" max="12559" width="4.125" style="12" customWidth="1"/>
    <col min="12560" max="12560" width="8.5" style="12" customWidth="1"/>
    <col min="12561" max="12561" width="40" style="12" customWidth="1"/>
    <col min="12562" max="12562" width="6.375" style="12" customWidth="1"/>
    <col min="12563" max="12563" width="6.625" style="12" bestFit="1" customWidth="1"/>
    <col min="12564" max="12564" width="8.25" style="12" bestFit="1" customWidth="1"/>
    <col min="12565" max="12803" width="9" style="12"/>
    <col min="12804" max="12804" width="8.5" style="12" customWidth="1"/>
    <col min="12805" max="12805" width="40" style="12" customWidth="1"/>
    <col min="12806" max="12806" width="6.375" style="12" bestFit="1" customWidth="1"/>
    <col min="12807" max="12807" width="6.625" style="12" bestFit="1" customWidth="1"/>
    <col min="12808" max="12808" width="8.25" style="12" bestFit="1" customWidth="1"/>
    <col min="12809" max="12809" width="4.125" style="12" customWidth="1"/>
    <col min="12810" max="12810" width="8.5" style="12" customWidth="1"/>
    <col min="12811" max="12811" width="40" style="12" customWidth="1"/>
    <col min="12812" max="12812" width="6.375" style="12" customWidth="1"/>
    <col min="12813" max="12813" width="6.625" style="12" bestFit="1" customWidth="1"/>
    <col min="12814" max="12814" width="8.25" style="12" bestFit="1" customWidth="1"/>
    <col min="12815" max="12815" width="4.125" style="12" customWidth="1"/>
    <col min="12816" max="12816" width="8.5" style="12" customWidth="1"/>
    <col min="12817" max="12817" width="40" style="12" customWidth="1"/>
    <col min="12818" max="12818" width="6.375" style="12" customWidth="1"/>
    <col min="12819" max="12819" width="6.625" style="12" bestFit="1" customWidth="1"/>
    <col min="12820" max="12820" width="8.25" style="12" bestFit="1" customWidth="1"/>
    <col min="12821" max="13059" width="9" style="12"/>
    <col min="13060" max="13060" width="8.5" style="12" customWidth="1"/>
    <col min="13061" max="13061" width="40" style="12" customWidth="1"/>
    <col min="13062" max="13062" width="6.375" style="12" bestFit="1" customWidth="1"/>
    <col min="13063" max="13063" width="6.625" style="12" bestFit="1" customWidth="1"/>
    <col min="13064" max="13064" width="8.25" style="12" bestFit="1" customWidth="1"/>
    <col min="13065" max="13065" width="4.125" style="12" customWidth="1"/>
    <col min="13066" max="13066" width="8.5" style="12" customWidth="1"/>
    <col min="13067" max="13067" width="40" style="12" customWidth="1"/>
    <col min="13068" max="13068" width="6.375" style="12" customWidth="1"/>
    <col min="13069" max="13069" width="6.625" style="12" bestFit="1" customWidth="1"/>
    <col min="13070" max="13070" width="8.25" style="12" bestFit="1" customWidth="1"/>
    <col min="13071" max="13071" width="4.125" style="12" customWidth="1"/>
    <col min="13072" max="13072" width="8.5" style="12" customWidth="1"/>
    <col min="13073" max="13073" width="40" style="12" customWidth="1"/>
    <col min="13074" max="13074" width="6.375" style="12" customWidth="1"/>
    <col min="13075" max="13075" width="6.625" style="12" bestFit="1" customWidth="1"/>
    <col min="13076" max="13076" width="8.25" style="12" bestFit="1" customWidth="1"/>
    <col min="13077" max="13315" width="9" style="12"/>
    <col min="13316" max="13316" width="8.5" style="12" customWidth="1"/>
    <col min="13317" max="13317" width="40" style="12" customWidth="1"/>
    <col min="13318" max="13318" width="6.375" style="12" bestFit="1" customWidth="1"/>
    <col min="13319" max="13319" width="6.625" style="12" bestFit="1" customWidth="1"/>
    <col min="13320" max="13320" width="8.25" style="12" bestFit="1" customWidth="1"/>
    <col min="13321" max="13321" width="4.125" style="12" customWidth="1"/>
    <col min="13322" max="13322" width="8.5" style="12" customWidth="1"/>
    <col min="13323" max="13323" width="40" style="12" customWidth="1"/>
    <col min="13324" max="13324" width="6.375" style="12" customWidth="1"/>
    <col min="13325" max="13325" width="6.625" style="12" bestFit="1" customWidth="1"/>
    <col min="13326" max="13326" width="8.25" style="12" bestFit="1" customWidth="1"/>
    <col min="13327" max="13327" width="4.125" style="12" customWidth="1"/>
    <col min="13328" max="13328" width="8.5" style="12" customWidth="1"/>
    <col min="13329" max="13329" width="40" style="12" customWidth="1"/>
    <col min="13330" max="13330" width="6.375" style="12" customWidth="1"/>
    <col min="13331" max="13331" width="6.625" style="12" bestFit="1" customWidth="1"/>
    <col min="13332" max="13332" width="8.25" style="12" bestFit="1" customWidth="1"/>
    <col min="13333" max="13571" width="9" style="12"/>
    <col min="13572" max="13572" width="8.5" style="12" customWidth="1"/>
    <col min="13573" max="13573" width="40" style="12" customWidth="1"/>
    <col min="13574" max="13574" width="6.375" style="12" bestFit="1" customWidth="1"/>
    <col min="13575" max="13575" width="6.625" style="12" bestFit="1" customWidth="1"/>
    <col min="13576" max="13576" width="8.25" style="12" bestFit="1" customWidth="1"/>
    <col min="13577" max="13577" width="4.125" style="12" customWidth="1"/>
    <col min="13578" max="13578" width="8.5" style="12" customWidth="1"/>
    <col min="13579" max="13579" width="40" style="12" customWidth="1"/>
    <col min="13580" max="13580" width="6.375" style="12" customWidth="1"/>
    <col min="13581" max="13581" width="6.625" style="12" bestFit="1" customWidth="1"/>
    <col min="13582" max="13582" width="8.25" style="12" bestFit="1" customWidth="1"/>
    <col min="13583" max="13583" width="4.125" style="12" customWidth="1"/>
    <col min="13584" max="13584" width="8.5" style="12" customWidth="1"/>
    <col min="13585" max="13585" width="40" style="12" customWidth="1"/>
    <col min="13586" max="13586" width="6.375" style="12" customWidth="1"/>
    <col min="13587" max="13587" width="6.625" style="12" bestFit="1" customWidth="1"/>
    <col min="13588" max="13588" width="8.25" style="12" bestFit="1" customWidth="1"/>
    <col min="13589" max="13827" width="9" style="12"/>
    <col min="13828" max="13828" width="8.5" style="12" customWidth="1"/>
    <col min="13829" max="13829" width="40" style="12" customWidth="1"/>
    <col min="13830" max="13830" width="6.375" style="12" bestFit="1" customWidth="1"/>
    <col min="13831" max="13831" width="6.625" style="12" bestFit="1" customWidth="1"/>
    <col min="13832" max="13832" width="8.25" style="12" bestFit="1" customWidth="1"/>
    <col min="13833" max="13833" width="4.125" style="12" customWidth="1"/>
    <col min="13834" max="13834" width="8.5" style="12" customWidth="1"/>
    <col min="13835" max="13835" width="40" style="12" customWidth="1"/>
    <col min="13836" max="13836" width="6.375" style="12" customWidth="1"/>
    <col min="13837" max="13837" width="6.625" style="12" bestFit="1" customWidth="1"/>
    <col min="13838" max="13838" width="8.25" style="12" bestFit="1" customWidth="1"/>
    <col min="13839" max="13839" width="4.125" style="12" customWidth="1"/>
    <col min="13840" max="13840" width="8.5" style="12" customWidth="1"/>
    <col min="13841" max="13841" width="40" style="12" customWidth="1"/>
    <col min="13842" max="13842" width="6.375" style="12" customWidth="1"/>
    <col min="13843" max="13843" width="6.625" style="12" bestFit="1" customWidth="1"/>
    <col min="13844" max="13844" width="8.25" style="12" bestFit="1" customWidth="1"/>
    <col min="13845" max="14083" width="9" style="12"/>
    <col min="14084" max="14084" width="8.5" style="12" customWidth="1"/>
    <col min="14085" max="14085" width="40" style="12" customWidth="1"/>
    <col min="14086" max="14086" width="6.375" style="12" bestFit="1" customWidth="1"/>
    <col min="14087" max="14087" width="6.625" style="12" bestFit="1" customWidth="1"/>
    <col min="14088" max="14088" width="8.25" style="12" bestFit="1" customWidth="1"/>
    <col min="14089" max="14089" width="4.125" style="12" customWidth="1"/>
    <col min="14090" max="14090" width="8.5" style="12" customWidth="1"/>
    <col min="14091" max="14091" width="40" style="12" customWidth="1"/>
    <col min="14092" max="14092" width="6.375" style="12" customWidth="1"/>
    <col min="14093" max="14093" width="6.625" style="12" bestFit="1" customWidth="1"/>
    <col min="14094" max="14094" width="8.25" style="12" bestFit="1" customWidth="1"/>
    <col min="14095" max="14095" width="4.125" style="12" customWidth="1"/>
    <col min="14096" max="14096" width="8.5" style="12" customWidth="1"/>
    <col min="14097" max="14097" width="40" style="12" customWidth="1"/>
    <col min="14098" max="14098" width="6.375" style="12" customWidth="1"/>
    <col min="14099" max="14099" width="6.625" style="12" bestFit="1" customWidth="1"/>
    <col min="14100" max="14100" width="8.25" style="12" bestFit="1" customWidth="1"/>
    <col min="14101" max="14339" width="9" style="12"/>
    <col min="14340" max="14340" width="8.5" style="12" customWidth="1"/>
    <col min="14341" max="14341" width="40" style="12" customWidth="1"/>
    <col min="14342" max="14342" width="6.375" style="12" bestFit="1" customWidth="1"/>
    <col min="14343" max="14343" width="6.625" style="12" bestFit="1" customWidth="1"/>
    <col min="14344" max="14344" width="8.25" style="12" bestFit="1" customWidth="1"/>
    <col min="14345" max="14345" width="4.125" style="12" customWidth="1"/>
    <col min="14346" max="14346" width="8.5" style="12" customWidth="1"/>
    <col min="14347" max="14347" width="40" style="12" customWidth="1"/>
    <col min="14348" max="14348" width="6.375" style="12" customWidth="1"/>
    <col min="14349" max="14349" width="6.625" style="12" bestFit="1" customWidth="1"/>
    <col min="14350" max="14350" width="8.25" style="12" bestFit="1" customWidth="1"/>
    <col min="14351" max="14351" width="4.125" style="12" customWidth="1"/>
    <col min="14352" max="14352" width="8.5" style="12" customWidth="1"/>
    <col min="14353" max="14353" width="40" style="12" customWidth="1"/>
    <col min="14354" max="14354" width="6.375" style="12" customWidth="1"/>
    <col min="14355" max="14355" width="6.625" style="12" bestFit="1" customWidth="1"/>
    <col min="14356" max="14356" width="8.25" style="12" bestFit="1" customWidth="1"/>
    <col min="14357" max="14595" width="9" style="12"/>
    <col min="14596" max="14596" width="8.5" style="12" customWidth="1"/>
    <col min="14597" max="14597" width="40" style="12" customWidth="1"/>
    <col min="14598" max="14598" width="6.375" style="12" bestFit="1" customWidth="1"/>
    <col min="14599" max="14599" width="6.625" style="12" bestFit="1" customWidth="1"/>
    <col min="14600" max="14600" width="8.25" style="12" bestFit="1" customWidth="1"/>
    <col min="14601" max="14601" width="4.125" style="12" customWidth="1"/>
    <col min="14602" max="14602" width="8.5" style="12" customWidth="1"/>
    <col min="14603" max="14603" width="40" style="12" customWidth="1"/>
    <col min="14604" max="14604" width="6.375" style="12" customWidth="1"/>
    <col min="14605" max="14605" width="6.625" style="12" bestFit="1" customWidth="1"/>
    <col min="14606" max="14606" width="8.25" style="12" bestFit="1" customWidth="1"/>
    <col min="14607" max="14607" width="4.125" style="12" customWidth="1"/>
    <col min="14608" max="14608" width="8.5" style="12" customWidth="1"/>
    <col min="14609" max="14609" width="40" style="12" customWidth="1"/>
    <col min="14610" max="14610" width="6.375" style="12" customWidth="1"/>
    <col min="14611" max="14611" width="6.625" style="12" bestFit="1" customWidth="1"/>
    <col min="14612" max="14612" width="8.25" style="12" bestFit="1" customWidth="1"/>
    <col min="14613" max="14851" width="9" style="12"/>
    <col min="14852" max="14852" width="8.5" style="12" customWidth="1"/>
    <col min="14853" max="14853" width="40" style="12" customWidth="1"/>
    <col min="14854" max="14854" width="6.375" style="12" bestFit="1" customWidth="1"/>
    <col min="14855" max="14855" width="6.625" style="12" bestFit="1" customWidth="1"/>
    <col min="14856" max="14856" width="8.25" style="12" bestFit="1" customWidth="1"/>
    <col min="14857" max="14857" width="4.125" style="12" customWidth="1"/>
    <col min="14858" max="14858" width="8.5" style="12" customWidth="1"/>
    <col min="14859" max="14859" width="40" style="12" customWidth="1"/>
    <col min="14860" max="14860" width="6.375" style="12" customWidth="1"/>
    <col min="14861" max="14861" width="6.625" style="12" bestFit="1" customWidth="1"/>
    <col min="14862" max="14862" width="8.25" style="12" bestFit="1" customWidth="1"/>
    <col min="14863" max="14863" width="4.125" style="12" customWidth="1"/>
    <col min="14864" max="14864" width="8.5" style="12" customWidth="1"/>
    <col min="14865" max="14865" width="40" style="12" customWidth="1"/>
    <col min="14866" max="14866" width="6.375" style="12" customWidth="1"/>
    <col min="14867" max="14867" width="6.625" style="12" bestFit="1" customWidth="1"/>
    <col min="14868" max="14868" width="8.25" style="12" bestFit="1" customWidth="1"/>
    <col min="14869" max="15107" width="9" style="12"/>
    <col min="15108" max="15108" width="8.5" style="12" customWidth="1"/>
    <col min="15109" max="15109" width="40" style="12" customWidth="1"/>
    <col min="15110" max="15110" width="6.375" style="12" bestFit="1" customWidth="1"/>
    <col min="15111" max="15111" width="6.625" style="12" bestFit="1" customWidth="1"/>
    <col min="15112" max="15112" width="8.25" style="12" bestFit="1" customWidth="1"/>
    <col min="15113" max="15113" width="4.125" style="12" customWidth="1"/>
    <col min="15114" max="15114" width="8.5" style="12" customWidth="1"/>
    <col min="15115" max="15115" width="40" style="12" customWidth="1"/>
    <col min="15116" max="15116" width="6.375" style="12" customWidth="1"/>
    <col min="15117" max="15117" width="6.625" style="12" bestFit="1" customWidth="1"/>
    <col min="15118" max="15118" width="8.25" style="12" bestFit="1" customWidth="1"/>
    <col min="15119" max="15119" width="4.125" style="12" customWidth="1"/>
    <col min="15120" max="15120" width="8.5" style="12" customWidth="1"/>
    <col min="15121" max="15121" width="40" style="12" customWidth="1"/>
    <col min="15122" max="15122" width="6.375" style="12" customWidth="1"/>
    <col min="15123" max="15123" width="6.625" style="12" bestFit="1" customWidth="1"/>
    <col min="15124" max="15124" width="8.25" style="12" bestFit="1" customWidth="1"/>
    <col min="15125" max="15363" width="9" style="12"/>
    <col min="15364" max="15364" width="8.5" style="12" customWidth="1"/>
    <col min="15365" max="15365" width="40" style="12" customWidth="1"/>
    <col min="15366" max="15366" width="6.375" style="12" bestFit="1" customWidth="1"/>
    <col min="15367" max="15367" width="6.625" style="12" bestFit="1" customWidth="1"/>
    <col min="15368" max="15368" width="8.25" style="12" bestFit="1" customWidth="1"/>
    <col min="15369" max="15369" width="4.125" style="12" customWidth="1"/>
    <col min="15370" max="15370" width="8.5" style="12" customWidth="1"/>
    <col min="15371" max="15371" width="40" style="12" customWidth="1"/>
    <col min="15372" max="15372" width="6.375" style="12" customWidth="1"/>
    <col min="15373" max="15373" width="6.625" style="12" bestFit="1" customWidth="1"/>
    <col min="15374" max="15374" width="8.25" style="12" bestFit="1" customWidth="1"/>
    <col min="15375" max="15375" width="4.125" style="12" customWidth="1"/>
    <col min="15376" max="15376" width="8.5" style="12" customWidth="1"/>
    <col min="15377" max="15377" width="40" style="12" customWidth="1"/>
    <col min="15378" max="15378" width="6.375" style="12" customWidth="1"/>
    <col min="15379" max="15379" width="6.625" style="12" bestFit="1" customWidth="1"/>
    <col min="15380" max="15380" width="8.25" style="12" bestFit="1" customWidth="1"/>
    <col min="15381" max="15619" width="9" style="12"/>
    <col min="15620" max="15620" width="8.5" style="12" customWidth="1"/>
    <col min="15621" max="15621" width="40" style="12" customWidth="1"/>
    <col min="15622" max="15622" width="6.375" style="12" bestFit="1" customWidth="1"/>
    <col min="15623" max="15623" width="6.625" style="12" bestFit="1" customWidth="1"/>
    <col min="15624" max="15624" width="8.25" style="12" bestFit="1" customWidth="1"/>
    <col min="15625" max="15625" width="4.125" style="12" customWidth="1"/>
    <col min="15626" max="15626" width="8.5" style="12" customWidth="1"/>
    <col min="15627" max="15627" width="40" style="12" customWidth="1"/>
    <col min="15628" max="15628" width="6.375" style="12" customWidth="1"/>
    <col min="15629" max="15629" width="6.625" style="12" bestFit="1" customWidth="1"/>
    <col min="15630" max="15630" width="8.25" style="12" bestFit="1" customWidth="1"/>
    <col min="15631" max="15631" width="4.125" style="12" customWidth="1"/>
    <col min="15632" max="15632" width="8.5" style="12" customWidth="1"/>
    <col min="15633" max="15633" width="40" style="12" customWidth="1"/>
    <col min="15634" max="15634" width="6.375" style="12" customWidth="1"/>
    <col min="15635" max="15635" width="6.625" style="12" bestFit="1" customWidth="1"/>
    <col min="15636" max="15636" width="8.25" style="12" bestFit="1" customWidth="1"/>
    <col min="15637" max="15875" width="9" style="12"/>
    <col min="15876" max="15876" width="8.5" style="12" customWidth="1"/>
    <col min="15877" max="15877" width="40" style="12" customWidth="1"/>
    <col min="15878" max="15878" width="6.375" style="12" bestFit="1" customWidth="1"/>
    <col min="15879" max="15879" width="6.625" style="12" bestFit="1" customWidth="1"/>
    <col min="15880" max="15880" width="8.25" style="12" bestFit="1" customWidth="1"/>
    <col min="15881" max="15881" width="4.125" style="12" customWidth="1"/>
    <col min="15882" max="15882" width="8.5" style="12" customWidth="1"/>
    <col min="15883" max="15883" width="40" style="12" customWidth="1"/>
    <col min="15884" max="15884" width="6.375" style="12" customWidth="1"/>
    <col min="15885" max="15885" width="6.625" style="12" bestFit="1" customWidth="1"/>
    <col min="15886" max="15886" width="8.25" style="12" bestFit="1" customWidth="1"/>
    <col min="15887" max="15887" width="4.125" style="12" customWidth="1"/>
    <col min="15888" max="15888" width="8.5" style="12" customWidth="1"/>
    <col min="15889" max="15889" width="40" style="12" customWidth="1"/>
    <col min="15890" max="15890" width="6.375" style="12" customWidth="1"/>
    <col min="15891" max="15891" width="6.625" style="12" bestFit="1" customWidth="1"/>
    <col min="15892" max="15892" width="8.25" style="12" bestFit="1" customWidth="1"/>
    <col min="15893" max="16131" width="9" style="12"/>
    <col min="16132" max="16132" width="8.5" style="12" customWidth="1"/>
    <col min="16133" max="16133" width="40" style="12" customWidth="1"/>
    <col min="16134" max="16134" width="6.375" style="12" bestFit="1" customWidth="1"/>
    <col min="16135" max="16135" width="6.625" style="12" bestFit="1" customWidth="1"/>
    <col min="16136" max="16136" width="8.25" style="12" bestFit="1" customWidth="1"/>
    <col min="16137" max="16137" width="4.125" style="12" customWidth="1"/>
    <col min="16138" max="16138" width="8.5" style="12" customWidth="1"/>
    <col min="16139" max="16139" width="40" style="12" customWidth="1"/>
    <col min="16140" max="16140" width="6.375" style="12" customWidth="1"/>
    <col min="16141" max="16141" width="6.625" style="12" bestFit="1" customWidth="1"/>
    <col min="16142" max="16142" width="8.25" style="12" bestFit="1" customWidth="1"/>
    <col min="16143" max="16143" width="4.125" style="12" customWidth="1"/>
    <col min="16144" max="16144" width="8.5" style="12" customWidth="1"/>
    <col min="16145" max="16145" width="40" style="12" customWidth="1"/>
    <col min="16146" max="16146" width="6.375" style="12" customWidth="1"/>
    <col min="16147" max="16147" width="6.625" style="12" bestFit="1" customWidth="1"/>
    <col min="16148" max="16148" width="8.25" style="12" bestFit="1" customWidth="1"/>
    <col min="16149" max="16384" width="9" style="12"/>
  </cols>
  <sheetData>
    <row r="1" spans="1:20" ht="15" customHeight="1" x14ac:dyDescent="0.2">
      <c r="A1" s="100" t="s">
        <v>630</v>
      </c>
      <c r="B1" s="5"/>
      <c r="C1" s="6"/>
      <c r="D1" s="7"/>
      <c r="E1" s="7"/>
      <c r="F1" s="8"/>
      <c r="G1" s="9"/>
      <c r="H1" s="4"/>
      <c r="I1" s="5"/>
      <c r="J1" s="10"/>
      <c r="K1" s="11"/>
      <c r="L1" s="7"/>
      <c r="M1" s="8"/>
      <c r="N1" s="9"/>
      <c r="O1" s="4"/>
      <c r="P1" s="5"/>
      <c r="Q1" s="10"/>
      <c r="R1" s="11"/>
      <c r="S1" s="7"/>
      <c r="T1" s="8"/>
    </row>
    <row r="2" spans="1:20" s="128" customFormat="1" ht="15" customHeight="1" x14ac:dyDescent="0.2">
      <c r="A2" s="500" t="s">
        <v>585</v>
      </c>
      <c r="B2" s="199"/>
      <c r="C2" s="199"/>
      <c r="D2" s="199"/>
      <c r="E2" s="199"/>
      <c r="F2" s="199"/>
      <c r="G2" s="199"/>
      <c r="H2" s="199"/>
      <c r="I2" s="199"/>
      <c r="J2" s="199"/>
      <c r="K2" s="199"/>
      <c r="L2" s="199"/>
    </row>
    <row r="3" spans="1:20" ht="15" customHeight="1" x14ac:dyDescent="0.2">
      <c r="A3" s="13"/>
      <c r="B3" s="137" t="s">
        <v>0</v>
      </c>
      <c r="C3" s="137"/>
      <c r="D3" s="137"/>
      <c r="E3" s="137"/>
      <c r="F3" s="137"/>
      <c r="G3" s="14"/>
      <c r="H3" s="13"/>
      <c r="I3" s="137" t="s">
        <v>1</v>
      </c>
      <c r="J3" s="137"/>
      <c r="K3" s="144"/>
      <c r="L3" s="137"/>
      <c r="M3" s="137"/>
      <c r="N3" s="14"/>
      <c r="O3" s="13"/>
      <c r="P3" s="137" t="s">
        <v>2</v>
      </c>
      <c r="Q3" s="137"/>
      <c r="R3" s="137"/>
      <c r="S3" s="137"/>
      <c r="T3" s="137"/>
    </row>
    <row r="4" spans="1:20" s="20" customFormat="1" ht="45" customHeight="1" x14ac:dyDescent="0.2">
      <c r="A4" s="15" t="s">
        <v>259</v>
      </c>
      <c r="B4" s="16" t="s">
        <v>40</v>
      </c>
      <c r="C4" s="17" t="s">
        <v>75</v>
      </c>
      <c r="D4" s="18" t="s">
        <v>38</v>
      </c>
      <c r="E4" s="104" t="s">
        <v>565</v>
      </c>
      <c r="F4" s="19" t="s">
        <v>560</v>
      </c>
      <c r="G4" s="19"/>
      <c r="H4" s="15" t="s">
        <v>259</v>
      </c>
      <c r="I4" s="16" t="s">
        <v>40</v>
      </c>
      <c r="J4" s="17" t="s">
        <v>75</v>
      </c>
      <c r="K4" s="18" t="s">
        <v>38</v>
      </c>
      <c r="L4" s="104" t="s">
        <v>565</v>
      </c>
      <c r="M4" s="19" t="s">
        <v>560</v>
      </c>
      <c r="N4" s="19"/>
      <c r="O4" s="15" t="s">
        <v>259</v>
      </c>
      <c r="P4" s="16" t="s">
        <v>40</v>
      </c>
      <c r="Q4" s="17" t="s">
        <v>75</v>
      </c>
      <c r="R4" s="18" t="s">
        <v>38</v>
      </c>
      <c r="S4" s="104" t="s">
        <v>565</v>
      </c>
      <c r="T4" s="19" t="s">
        <v>560</v>
      </c>
    </row>
    <row r="5" spans="1:20" s="54" customFormat="1" ht="15" customHeight="1" x14ac:dyDescent="0.2">
      <c r="A5" s="103" t="s">
        <v>627</v>
      </c>
      <c r="B5" s="55"/>
      <c r="C5" s="56"/>
      <c r="D5" s="57"/>
      <c r="E5" s="57"/>
      <c r="F5" s="58"/>
      <c r="G5" s="58"/>
      <c r="H5" s="103" t="s">
        <v>627</v>
      </c>
      <c r="I5" s="55"/>
      <c r="J5" s="60"/>
      <c r="K5" s="58"/>
      <c r="L5" s="57"/>
      <c r="M5" s="58"/>
      <c r="N5" s="58"/>
      <c r="O5" s="103" t="s">
        <v>627</v>
      </c>
      <c r="P5" s="55"/>
      <c r="Q5" s="60"/>
      <c r="R5" s="58"/>
      <c r="S5" s="57"/>
      <c r="T5" s="58"/>
    </row>
    <row r="6" spans="1:20" s="25" customFormat="1" ht="25.5" x14ac:dyDescent="0.2">
      <c r="A6" s="102">
        <v>1</v>
      </c>
      <c r="B6" s="62" t="s">
        <v>42</v>
      </c>
      <c r="C6" s="63">
        <v>20372.82</v>
      </c>
      <c r="D6" s="64">
        <v>11.105641</v>
      </c>
      <c r="E6" s="64">
        <v>72.655827000000002</v>
      </c>
      <c r="F6" s="30">
        <v>65.003022000000001</v>
      </c>
      <c r="G6" s="30"/>
      <c r="H6" s="102">
        <v>1</v>
      </c>
      <c r="I6" s="62" t="s">
        <v>43</v>
      </c>
      <c r="J6" s="34">
        <v>22657.289000000001</v>
      </c>
      <c r="K6" s="30">
        <v>13.05419</v>
      </c>
      <c r="L6" s="64">
        <v>79.117880999999997</v>
      </c>
      <c r="M6" s="30">
        <v>49.094124999999998</v>
      </c>
      <c r="N6" s="30"/>
      <c r="O6" s="102">
        <v>1</v>
      </c>
      <c r="P6" s="62" t="s">
        <v>43</v>
      </c>
      <c r="Q6" s="34">
        <v>35345.040999999997</v>
      </c>
      <c r="R6" s="30">
        <v>9.9003209999999999</v>
      </c>
      <c r="S6" s="64">
        <v>62.361618999999997</v>
      </c>
      <c r="T6" s="30">
        <v>45.454120000000003</v>
      </c>
    </row>
    <row r="7" spans="1:20" s="25" customFormat="1" ht="25.5" x14ac:dyDescent="0.2">
      <c r="A7" s="102">
        <v>2</v>
      </c>
      <c r="B7" s="62" t="s">
        <v>43</v>
      </c>
      <c r="C7" s="63">
        <v>12687.752</v>
      </c>
      <c r="D7" s="64">
        <v>6.9163531000000003</v>
      </c>
      <c r="E7" s="64">
        <v>45.248477000000001</v>
      </c>
      <c r="F7" s="30">
        <v>39.880549000000002</v>
      </c>
      <c r="G7" s="30"/>
      <c r="H7" s="102">
        <v>2</v>
      </c>
      <c r="I7" s="62" t="s">
        <v>42</v>
      </c>
      <c r="J7" s="34">
        <v>13758.388999999999</v>
      </c>
      <c r="K7" s="30">
        <v>7.9270130999999999</v>
      </c>
      <c r="L7" s="64">
        <v>48.043461999999998</v>
      </c>
      <c r="M7" s="30">
        <v>31.212251999999999</v>
      </c>
      <c r="N7" s="30"/>
      <c r="O7" s="102">
        <v>2</v>
      </c>
      <c r="P7" s="62" t="s">
        <v>42</v>
      </c>
      <c r="Q7" s="34">
        <v>34131.209000000003</v>
      </c>
      <c r="R7" s="30">
        <v>9.5603207999999995</v>
      </c>
      <c r="S7" s="64">
        <v>60.219974999999998</v>
      </c>
      <c r="T7" s="30">
        <v>46.706356999999997</v>
      </c>
    </row>
    <row r="8" spans="1:20" s="25" customFormat="1" ht="12.75" x14ac:dyDescent="0.2">
      <c r="A8" s="102">
        <v>3</v>
      </c>
      <c r="B8" s="62" t="s">
        <v>44</v>
      </c>
      <c r="C8" s="63">
        <v>9351.9457000000002</v>
      </c>
      <c r="D8" s="64">
        <v>5.0979369999999999</v>
      </c>
      <c r="E8" s="64">
        <v>33.351953999999999</v>
      </c>
      <c r="F8" s="30">
        <v>29.801482</v>
      </c>
      <c r="G8" s="30"/>
      <c r="H8" s="102">
        <v>3</v>
      </c>
      <c r="I8" s="62" t="s">
        <v>45</v>
      </c>
      <c r="J8" s="34">
        <v>11039.959000000001</v>
      </c>
      <c r="K8" s="30">
        <v>6.3607662999999999</v>
      </c>
      <c r="L8" s="64">
        <v>38.550868000000001</v>
      </c>
      <c r="M8" s="30">
        <v>25.366575000000001</v>
      </c>
      <c r="N8" s="30"/>
      <c r="O8" s="102">
        <v>3</v>
      </c>
      <c r="P8" s="62" t="s">
        <v>45</v>
      </c>
      <c r="Q8" s="34">
        <v>19246.418000000001</v>
      </c>
      <c r="R8" s="30">
        <v>5.3910171</v>
      </c>
      <c r="S8" s="64">
        <v>33.957743000000001</v>
      </c>
      <c r="T8" s="30">
        <v>25.913606000000001</v>
      </c>
    </row>
    <row r="9" spans="1:20" s="25" customFormat="1" ht="12.75" x14ac:dyDescent="0.2">
      <c r="A9" s="102">
        <v>4</v>
      </c>
      <c r="B9" s="62" t="s">
        <v>45</v>
      </c>
      <c r="C9" s="63">
        <v>8206.4593000000004</v>
      </c>
      <c r="D9" s="64">
        <v>4.4735088999999997</v>
      </c>
      <c r="E9" s="64">
        <v>29.266791999999999</v>
      </c>
      <c r="F9" s="30">
        <v>26.116576999999999</v>
      </c>
      <c r="G9" s="30"/>
      <c r="H9" s="102">
        <v>4</v>
      </c>
      <c r="I9" s="62" t="s">
        <v>44</v>
      </c>
      <c r="J9" s="34">
        <v>7127.2473</v>
      </c>
      <c r="K9" s="30">
        <v>4.1064242000000002</v>
      </c>
      <c r="L9" s="64">
        <v>24.887916000000001</v>
      </c>
      <c r="M9" s="30">
        <v>19.199377999999999</v>
      </c>
      <c r="N9" s="30"/>
      <c r="O9" s="102">
        <v>4</v>
      </c>
      <c r="P9" s="62" t="s">
        <v>44</v>
      </c>
      <c r="Q9" s="34">
        <v>16479.192999999999</v>
      </c>
      <c r="R9" s="30">
        <v>4.6159036000000002</v>
      </c>
      <c r="S9" s="64">
        <v>29.075341999999999</v>
      </c>
      <c r="T9" s="30">
        <v>23.968948999999999</v>
      </c>
    </row>
    <row r="10" spans="1:20" s="25" customFormat="1" ht="25.5" x14ac:dyDescent="0.2">
      <c r="A10" s="102">
        <v>5</v>
      </c>
      <c r="B10" s="62" t="s">
        <v>47</v>
      </c>
      <c r="C10" s="63">
        <v>6871.7529000000004</v>
      </c>
      <c r="D10" s="64">
        <v>3.7459332000000001</v>
      </c>
      <c r="E10" s="64">
        <v>24.506813000000001</v>
      </c>
      <c r="F10" s="30">
        <v>21.706275999999999</v>
      </c>
      <c r="G10" s="30"/>
      <c r="H10" s="102">
        <v>5</v>
      </c>
      <c r="I10" s="62" t="s">
        <v>48</v>
      </c>
      <c r="J10" s="34">
        <v>6329.7003999999997</v>
      </c>
      <c r="K10" s="30">
        <v>3.6469108000000001</v>
      </c>
      <c r="L10" s="64">
        <v>22.102931000000002</v>
      </c>
      <c r="M10" s="30">
        <v>17.409524000000001</v>
      </c>
      <c r="N10" s="30"/>
      <c r="O10" s="102">
        <v>5</v>
      </c>
      <c r="P10" s="62" t="s">
        <v>570</v>
      </c>
      <c r="Q10" s="34">
        <v>12802.01</v>
      </c>
      <c r="R10" s="30">
        <v>3.5859065000000001</v>
      </c>
      <c r="S10" s="64">
        <v>22.587443</v>
      </c>
      <c r="T10" s="30">
        <v>17.870356000000001</v>
      </c>
    </row>
    <row r="11" spans="1:20" s="25" customFormat="1" ht="25.5" x14ac:dyDescent="0.2">
      <c r="A11" s="102">
        <v>6</v>
      </c>
      <c r="B11" s="62" t="s">
        <v>570</v>
      </c>
      <c r="C11" s="63">
        <v>6630.2515999999996</v>
      </c>
      <c r="D11" s="64">
        <v>3.6142859000000001</v>
      </c>
      <c r="E11" s="64">
        <v>23.645544000000001</v>
      </c>
      <c r="F11" s="30">
        <v>21.043765</v>
      </c>
      <c r="G11" s="30"/>
      <c r="H11" s="102">
        <v>6</v>
      </c>
      <c r="I11" s="62" t="s">
        <v>570</v>
      </c>
      <c r="J11" s="34">
        <v>6171.7584999999999</v>
      </c>
      <c r="K11" s="30">
        <v>3.5559112000000002</v>
      </c>
      <c r="L11" s="64">
        <v>21.551407000000001</v>
      </c>
      <c r="M11" s="30">
        <v>15.428038000000001</v>
      </c>
      <c r="N11" s="30"/>
      <c r="O11" s="102">
        <v>6</v>
      </c>
      <c r="P11" s="62" t="s">
        <v>51</v>
      </c>
      <c r="Q11" s="34">
        <v>11766.224</v>
      </c>
      <c r="R11" s="30">
        <v>3.2957774999999998</v>
      </c>
      <c r="S11" s="64">
        <v>20.759934999999999</v>
      </c>
      <c r="T11" s="30">
        <v>15.862235999999999</v>
      </c>
    </row>
    <row r="12" spans="1:20" s="25" customFormat="1" ht="12.75" x14ac:dyDescent="0.2">
      <c r="A12" s="102">
        <v>7</v>
      </c>
      <c r="B12" s="62" t="s">
        <v>51</v>
      </c>
      <c r="C12" s="63">
        <v>6505.9287000000004</v>
      </c>
      <c r="D12" s="64">
        <v>3.5465149</v>
      </c>
      <c r="E12" s="64">
        <v>23.202169999999999</v>
      </c>
      <c r="F12" s="30">
        <v>20.634528</v>
      </c>
      <c r="G12" s="30"/>
      <c r="H12" s="102">
        <v>7</v>
      </c>
      <c r="I12" s="62" t="s">
        <v>51</v>
      </c>
      <c r="J12" s="34">
        <v>5260.2947999999997</v>
      </c>
      <c r="K12" s="30">
        <v>3.0307635999999998</v>
      </c>
      <c r="L12" s="64">
        <v>18.368631000000001</v>
      </c>
      <c r="M12" s="30">
        <v>12.126854</v>
      </c>
      <c r="N12" s="30"/>
      <c r="O12" s="102">
        <v>7</v>
      </c>
      <c r="P12" s="62" t="s">
        <v>49</v>
      </c>
      <c r="Q12" s="34">
        <v>11071.842000000001</v>
      </c>
      <c r="R12" s="30">
        <v>3.1012778000000001</v>
      </c>
      <c r="S12" s="64">
        <v>19.534790999999998</v>
      </c>
      <c r="T12" s="30">
        <v>15.355912</v>
      </c>
    </row>
    <row r="13" spans="1:20" s="25" customFormat="1" ht="12.75" x14ac:dyDescent="0.2">
      <c r="A13" s="102">
        <v>8</v>
      </c>
      <c r="B13" s="62" t="s">
        <v>49</v>
      </c>
      <c r="C13" s="63">
        <v>5981.1872000000003</v>
      </c>
      <c r="D13" s="64">
        <v>3.2604674999999999</v>
      </c>
      <c r="E13" s="64">
        <v>21.330777999999999</v>
      </c>
      <c r="F13" s="30">
        <v>19.07958</v>
      </c>
      <c r="G13" s="30"/>
      <c r="H13" s="102">
        <v>8</v>
      </c>
      <c r="I13" s="62" t="s">
        <v>49</v>
      </c>
      <c r="J13" s="34">
        <v>5090.6547</v>
      </c>
      <c r="K13" s="30">
        <v>2.9330240999999999</v>
      </c>
      <c r="L13" s="64">
        <v>17.776257999999999</v>
      </c>
      <c r="M13" s="30">
        <v>12.182134</v>
      </c>
      <c r="N13" s="30"/>
      <c r="O13" s="102">
        <v>8</v>
      </c>
      <c r="P13" s="62" t="s">
        <v>50</v>
      </c>
      <c r="Q13" s="34">
        <v>10219.047</v>
      </c>
      <c r="R13" s="30">
        <v>2.8624057000000001</v>
      </c>
      <c r="S13" s="64">
        <v>18.030148000000001</v>
      </c>
      <c r="T13" s="30">
        <v>14.733732</v>
      </c>
    </row>
    <row r="14" spans="1:20" s="25" customFormat="1" ht="12.75" x14ac:dyDescent="0.2">
      <c r="A14" s="102">
        <v>9</v>
      </c>
      <c r="B14" s="62" t="s">
        <v>50</v>
      </c>
      <c r="C14" s="63">
        <v>5259.1764999999996</v>
      </c>
      <c r="D14" s="64">
        <v>2.8668847999999998</v>
      </c>
      <c r="E14" s="64">
        <v>18.755863000000002</v>
      </c>
      <c r="F14" s="30">
        <v>16.932569000000001</v>
      </c>
      <c r="G14" s="30"/>
      <c r="H14" s="102">
        <v>9</v>
      </c>
      <c r="I14" s="62" t="s">
        <v>50</v>
      </c>
      <c r="J14" s="34">
        <v>4959.8705</v>
      </c>
      <c r="K14" s="30">
        <v>2.8576716000000002</v>
      </c>
      <c r="L14" s="64">
        <v>17.319566999999999</v>
      </c>
      <c r="M14" s="30">
        <v>12.858321999999999</v>
      </c>
      <c r="N14" s="30"/>
      <c r="O14" s="102">
        <v>9</v>
      </c>
      <c r="P14" s="62" t="s">
        <v>52</v>
      </c>
      <c r="Q14" s="34">
        <v>8215.4125999999997</v>
      </c>
      <c r="R14" s="30">
        <v>2.3011778000000001</v>
      </c>
      <c r="S14" s="64">
        <v>14.495001999999999</v>
      </c>
      <c r="T14" s="30">
        <v>10.853707999999999</v>
      </c>
    </row>
    <row r="15" spans="1:20" s="25" customFormat="1" ht="25.5" x14ac:dyDescent="0.2">
      <c r="A15" s="102">
        <v>10</v>
      </c>
      <c r="B15" s="62" t="s">
        <v>53</v>
      </c>
      <c r="C15" s="63">
        <v>4388.7042000000001</v>
      </c>
      <c r="D15" s="64">
        <v>2.3923725</v>
      </c>
      <c r="E15" s="64">
        <v>15.651486999999999</v>
      </c>
      <c r="F15" s="30">
        <v>15.332022</v>
      </c>
      <c r="G15" s="30"/>
      <c r="H15" s="102">
        <v>10</v>
      </c>
      <c r="I15" s="62" t="s">
        <v>54</v>
      </c>
      <c r="J15" s="34">
        <v>4242.6589000000004</v>
      </c>
      <c r="K15" s="30">
        <v>2.4444439999999998</v>
      </c>
      <c r="L15" s="64">
        <v>14.815108</v>
      </c>
      <c r="M15" s="30">
        <v>9.2491914000000008</v>
      </c>
      <c r="N15" s="30"/>
      <c r="O15" s="102">
        <v>10</v>
      </c>
      <c r="P15" s="62" t="s">
        <v>54</v>
      </c>
      <c r="Q15" s="34">
        <v>7630.0493999999999</v>
      </c>
      <c r="R15" s="30">
        <v>2.1372146000000001</v>
      </c>
      <c r="S15" s="64">
        <v>13.462206</v>
      </c>
      <c r="T15" s="30">
        <v>9.9531782</v>
      </c>
    </row>
    <row r="16" spans="1:20" s="43" customFormat="1" ht="15" customHeight="1" x14ac:dyDescent="0.2">
      <c r="A16" s="40"/>
      <c r="B16" s="147" t="s">
        <v>561</v>
      </c>
      <c r="C16" s="66">
        <v>86255.978100000008</v>
      </c>
      <c r="D16" s="67">
        <v>47</v>
      </c>
      <c r="E16" s="67" t="s">
        <v>70</v>
      </c>
      <c r="F16" s="42" t="s">
        <v>70</v>
      </c>
      <c r="G16" s="38"/>
      <c r="H16" s="40"/>
      <c r="I16" s="147" t="s">
        <v>561</v>
      </c>
      <c r="J16" s="66">
        <v>86637.822100000005</v>
      </c>
      <c r="K16" s="67">
        <v>49.9</v>
      </c>
      <c r="L16" s="67" t="s">
        <v>70</v>
      </c>
      <c r="M16" s="42" t="s">
        <v>70</v>
      </c>
      <c r="N16" s="38"/>
      <c r="O16" s="40"/>
      <c r="P16" s="147" t="s">
        <v>561</v>
      </c>
      <c r="Q16" s="66">
        <v>166906.446</v>
      </c>
      <c r="R16" s="67">
        <v>46.8</v>
      </c>
      <c r="S16" s="67" t="s">
        <v>70</v>
      </c>
      <c r="T16" s="42" t="s">
        <v>70</v>
      </c>
    </row>
    <row r="17" spans="1:20" s="54" customFormat="1" ht="15" customHeight="1" x14ac:dyDescent="0.2">
      <c r="A17" s="50"/>
      <c r="B17" s="51" t="s">
        <v>67</v>
      </c>
      <c r="C17" s="69">
        <v>183445.69</v>
      </c>
      <c r="D17" s="70">
        <v>100</v>
      </c>
      <c r="E17" s="70">
        <v>654.22451999999998</v>
      </c>
      <c r="F17" s="53">
        <v>589.17304000000001</v>
      </c>
      <c r="G17" s="48"/>
      <c r="H17" s="50"/>
      <c r="I17" s="51" t="s">
        <v>67</v>
      </c>
      <c r="J17" s="52">
        <v>173563.35</v>
      </c>
      <c r="K17" s="48">
        <v>100</v>
      </c>
      <c r="L17" s="70">
        <v>606.07270000000005</v>
      </c>
      <c r="M17" s="53">
        <v>421.62961999999999</v>
      </c>
      <c r="N17" s="48"/>
      <c r="O17" s="50"/>
      <c r="P17" s="51" t="s">
        <v>67</v>
      </c>
      <c r="Q17" s="52">
        <v>357009.04</v>
      </c>
      <c r="R17" s="48">
        <v>100</v>
      </c>
      <c r="S17" s="70">
        <v>629.89491999999996</v>
      </c>
      <c r="T17" s="53">
        <v>499.01350000000002</v>
      </c>
    </row>
    <row r="18" spans="1:20" s="54" customFormat="1" ht="15" customHeight="1" x14ac:dyDescent="0.2">
      <c r="A18" s="103" t="s">
        <v>626</v>
      </c>
      <c r="B18" s="55"/>
      <c r="C18" s="56"/>
      <c r="D18" s="57"/>
      <c r="E18" s="57"/>
      <c r="F18" s="58"/>
      <c r="G18" s="58"/>
      <c r="H18" s="103" t="s">
        <v>626</v>
      </c>
      <c r="I18" s="55"/>
      <c r="J18" s="60"/>
      <c r="K18" s="58"/>
      <c r="L18" s="57"/>
      <c r="M18" s="58"/>
      <c r="N18" s="58"/>
      <c r="O18" s="103" t="s">
        <v>626</v>
      </c>
      <c r="P18" s="55"/>
      <c r="Q18" s="60"/>
      <c r="R18" s="58"/>
      <c r="S18" s="57"/>
      <c r="T18" s="58"/>
    </row>
    <row r="19" spans="1:20" s="25" customFormat="1" ht="25.5" x14ac:dyDescent="0.2">
      <c r="A19" s="102">
        <v>1</v>
      </c>
      <c r="B19" s="62" t="s">
        <v>42</v>
      </c>
      <c r="C19" s="63">
        <v>7421.7855</v>
      </c>
      <c r="D19" s="64">
        <v>11.273336</v>
      </c>
      <c r="E19" s="64">
        <v>107.84516000000001</v>
      </c>
      <c r="F19" s="30">
        <v>72.450120999999996</v>
      </c>
      <c r="G19" s="30"/>
      <c r="H19" s="102">
        <v>1</v>
      </c>
      <c r="I19" s="62" t="s">
        <v>43</v>
      </c>
      <c r="J19" s="34">
        <v>6514.1106</v>
      </c>
      <c r="K19" s="30">
        <v>11.163817999999999</v>
      </c>
      <c r="L19" s="64">
        <v>93.129512000000005</v>
      </c>
      <c r="M19" s="30">
        <v>46.292099</v>
      </c>
      <c r="N19" s="30"/>
      <c r="O19" s="102">
        <v>1</v>
      </c>
      <c r="P19" s="62" t="s">
        <v>42</v>
      </c>
      <c r="Q19" s="34">
        <v>12111.768</v>
      </c>
      <c r="R19" s="30">
        <v>9.7529983999999992</v>
      </c>
      <c r="S19" s="64">
        <v>87.282150000000001</v>
      </c>
      <c r="T19" s="35">
        <v>52.785421999999997</v>
      </c>
    </row>
    <row r="20" spans="1:20" s="25" customFormat="1" ht="25.5" x14ac:dyDescent="0.2">
      <c r="A20" s="102">
        <v>2</v>
      </c>
      <c r="B20" s="62" t="s">
        <v>44</v>
      </c>
      <c r="C20" s="63">
        <v>3700.8339999999998</v>
      </c>
      <c r="D20" s="64">
        <v>5.6213892000000003</v>
      </c>
      <c r="E20" s="64">
        <v>53.776420000000002</v>
      </c>
      <c r="F20" s="30">
        <v>34.574762999999997</v>
      </c>
      <c r="G20" s="30"/>
      <c r="H20" s="102">
        <v>2</v>
      </c>
      <c r="I20" s="62" t="s">
        <v>42</v>
      </c>
      <c r="J20" s="34">
        <v>4689.9823999999999</v>
      </c>
      <c r="K20" s="30">
        <v>8.0376451000000007</v>
      </c>
      <c r="L20" s="64">
        <v>67.050714999999997</v>
      </c>
      <c r="M20" s="30">
        <v>35.31391</v>
      </c>
      <c r="N20" s="30"/>
      <c r="O20" s="102">
        <v>2</v>
      </c>
      <c r="P20" s="33" t="s">
        <v>43</v>
      </c>
      <c r="Q20" s="34">
        <v>10161.98</v>
      </c>
      <c r="R20" s="30">
        <v>8.1829318999999998</v>
      </c>
      <c r="S20" s="64">
        <v>73.231211000000002</v>
      </c>
      <c r="T20" s="35">
        <v>41.391730000000003</v>
      </c>
    </row>
    <row r="21" spans="1:20" s="25" customFormat="1" ht="25.5" x14ac:dyDescent="0.2">
      <c r="A21" s="102">
        <v>3</v>
      </c>
      <c r="B21" s="62" t="s">
        <v>43</v>
      </c>
      <c r="C21" s="63">
        <v>3647.8690999999999</v>
      </c>
      <c r="D21" s="64">
        <v>5.5409379999999997</v>
      </c>
      <c r="E21" s="64">
        <v>53.006791999999997</v>
      </c>
      <c r="F21" s="30">
        <v>34.555230000000002</v>
      </c>
      <c r="G21" s="30"/>
      <c r="H21" s="102">
        <v>3</v>
      </c>
      <c r="I21" s="62" t="s">
        <v>45</v>
      </c>
      <c r="J21" s="34">
        <v>3780.4250999999999</v>
      </c>
      <c r="K21" s="30">
        <v>6.4788549</v>
      </c>
      <c r="L21" s="64">
        <v>54.047154999999997</v>
      </c>
      <c r="M21" s="30">
        <v>28.383562000000001</v>
      </c>
      <c r="N21" s="30"/>
      <c r="O21" s="102">
        <v>3</v>
      </c>
      <c r="P21" s="33" t="s">
        <v>45</v>
      </c>
      <c r="Q21" s="34">
        <v>6750.7972</v>
      </c>
      <c r="R21" s="30">
        <v>5.4360778999999999</v>
      </c>
      <c r="S21" s="64">
        <v>48.648891999999996</v>
      </c>
      <c r="T21" s="35">
        <v>28.623660999999998</v>
      </c>
    </row>
    <row r="22" spans="1:20" s="25" customFormat="1" ht="25.5" x14ac:dyDescent="0.2">
      <c r="A22" s="102">
        <v>4</v>
      </c>
      <c r="B22" s="62" t="s">
        <v>570</v>
      </c>
      <c r="C22" s="63">
        <v>3167.8777</v>
      </c>
      <c r="D22" s="64">
        <v>4.8118542</v>
      </c>
      <c r="E22" s="64">
        <v>46.032088999999999</v>
      </c>
      <c r="F22" s="30">
        <v>29.195985</v>
      </c>
      <c r="G22" s="30"/>
      <c r="H22" s="102">
        <v>4</v>
      </c>
      <c r="I22" s="62" t="s">
        <v>44</v>
      </c>
      <c r="J22" s="34">
        <v>2781.0657000000001</v>
      </c>
      <c r="K22" s="30">
        <v>4.7661628</v>
      </c>
      <c r="L22" s="64">
        <v>39.759732999999997</v>
      </c>
      <c r="M22" s="30">
        <v>23.424078999999999</v>
      </c>
      <c r="N22" s="30"/>
      <c r="O22" s="102">
        <v>4</v>
      </c>
      <c r="P22" s="33" t="s">
        <v>44</v>
      </c>
      <c r="Q22" s="34">
        <v>6481.8998000000001</v>
      </c>
      <c r="R22" s="30">
        <v>5.2195482999999996</v>
      </c>
      <c r="S22" s="64">
        <v>46.711112</v>
      </c>
      <c r="T22" s="35">
        <v>28.626524</v>
      </c>
    </row>
    <row r="23" spans="1:20" s="25" customFormat="1" ht="25.5" x14ac:dyDescent="0.2">
      <c r="A23" s="102">
        <v>5</v>
      </c>
      <c r="B23" s="62" t="s">
        <v>45</v>
      </c>
      <c r="C23" s="63">
        <v>2970.3721</v>
      </c>
      <c r="D23" s="64">
        <v>4.5118526000000001</v>
      </c>
      <c r="E23" s="64">
        <v>43.162156000000003</v>
      </c>
      <c r="F23" s="30">
        <v>28.431691000000001</v>
      </c>
      <c r="G23" s="30"/>
      <c r="H23" s="102">
        <v>5</v>
      </c>
      <c r="I23" s="62" t="s">
        <v>570</v>
      </c>
      <c r="J23" s="34">
        <v>2773.1363000000001</v>
      </c>
      <c r="K23" s="30">
        <v>4.7525734999999996</v>
      </c>
      <c r="L23" s="64">
        <v>39.646369</v>
      </c>
      <c r="M23" s="30">
        <v>22.056059000000001</v>
      </c>
      <c r="N23" s="30"/>
      <c r="O23" s="102">
        <v>5</v>
      </c>
      <c r="P23" s="33" t="s">
        <v>570</v>
      </c>
      <c r="Q23" s="34">
        <v>5941.0141000000003</v>
      </c>
      <c r="R23" s="30">
        <v>4.7840002999999998</v>
      </c>
      <c r="S23" s="64">
        <v>42.813277999999997</v>
      </c>
      <c r="T23" s="35">
        <v>25.272855</v>
      </c>
    </row>
    <row r="24" spans="1:20" s="25" customFormat="1" ht="12.75" x14ac:dyDescent="0.2">
      <c r="A24" s="102">
        <v>6</v>
      </c>
      <c r="B24" s="62" t="s">
        <v>47</v>
      </c>
      <c r="C24" s="63">
        <v>2853.3798999999999</v>
      </c>
      <c r="D24" s="64">
        <v>4.3341471</v>
      </c>
      <c r="E24" s="64">
        <v>41.462156</v>
      </c>
      <c r="F24" s="30">
        <v>26.349497</v>
      </c>
      <c r="G24" s="30"/>
      <c r="H24" s="102">
        <v>6</v>
      </c>
      <c r="I24" s="62" t="s">
        <v>48</v>
      </c>
      <c r="J24" s="34">
        <v>2132.5585999999998</v>
      </c>
      <c r="K24" s="30">
        <v>3.6547577000000002</v>
      </c>
      <c r="L24" s="64">
        <v>30.488296999999999</v>
      </c>
      <c r="M24" s="30">
        <v>19.358481000000001</v>
      </c>
      <c r="N24" s="30"/>
      <c r="O24" s="102">
        <v>6</v>
      </c>
      <c r="P24" s="33" t="s">
        <v>49</v>
      </c>
      <c r="Q24" s="34">
        <v>3912.2633999999998</v>
      </c>
      <c r="R24" s="30">
        <v>3.1503492</v>
      </c>
      <c r="S24" s="64">
        <v>28.193304000000001</v>
      </c>
      <c r="T24" s="35">
        <v>17.079167000000002</v>
      </c>
    </row>
    <row r="25" spans="1:20" s="25" customFormat="1" ht="12.75" x14ac:dyDescent="0.2">
      <c r="A25" s="102">
        <v>7</v>
      </c>
      <c r="B25" s="62" t="s">
        <v>49</v>
      </c>
      <c r="C25" s="63">
        <v>2229.1021999999998</v>
      </c>
      <c r="D25" s="64">
        <v>3.3858991999999999</v>
      </c>
      <c r="E25" s="64">
        <v>32.390844000000001</v>
      </c>
      <c r="F25" s="30">
        <v>21.349876999999999</v>
      </c>
      <c r="G25" s="30"/>
      <c r="H25" s="102">
        <v>7</v>
      </c>
      <c r="I25" s="62" t="s">
        <v>50</v>
      </c>
      <c r="J25" s="34">
        <v>1794.1736000000001</v>
      </c>
      <c r="K25" s="30">
        <v>3.0748367999999999</v>
      </c>
      <c r="L25" s="64">
        <v>25.650549000000002</v>
      </c>
      <c r="M25" s="30">
        <v>14.996560000000001</v>
      </c>
      <c r="N25" s="30"/>
      <c r="O25" s="102">
        <v>7</v>
      </c>
      <c r="P25" s="33" t="s">
        <v>50</v>
      </c>
      <c r="Q25" s="34">
        <v>3853.1514999999999</v>
      </c>
      <c r="R25" s="30">
        <v>3.1027494</v>
      </c>
      <c r="S25" s="64">
        <v>27.767320999999999</v>
      </c>
      <c r="T25" s="35">
        <v>17.424204</v>
      </c>
    </row>
    <row r="26" spans="1:20" s="25" customFormat="1" ht="12.75" x14ac:dyDescent="0.2">
      <c r="A26" s="102">
        <v>8</v>
      </c>
      <c r="B26" s="62" t="s">
        <v>50</v>
      </c>
      <c r="C26" s="63">
        <v>2058.9778999999999</v>
      </c>
      <c r="D26" s="64">
        <v>3.1274886</v>
      </c>
      <c r="E26" s="64">
        <v>29.918786000000001</v>
      </c>
      <c r="F26" s="30">
        <v>20.048012</v>
      </c>
      <c r="G26" s="30"/>
      <c r="H26" s="102">
        <v>8</v>
      </c>
      <c r="I26" s="62" t="s">
        <v>49</v>
      </c>
      <c r="J26" s="34">
        <v>1683.1611</v>
      </c>
      <c r="K26" s="30">
        <v>2.8845847999999998</v>
      </c>
      <c r="L26" s="64">
        <v>24.06345</v>
      </c>
      <c r="M26" s="30">
        <v>13.270349</v>
      </c>
      <c r="N26" s="30"/>
      <c r="O26" s="102">
        <v>8</v>
      </c>
      <c r="P26" s="33" t="s">
        <v>51</v>
      </c>
      <c r="Q26" s="34">
        <v>2913.2977000000001</v>
      </c>
      <c r="R26" s="30">
        <v>2.3459322999999999</v>
      </c>
      <c r="S26" s="64">
        <v>20.994365999999999</v>
      </c>
      <c r="T26" s="35">
        <v>12.283227999999999</v>
      </c>
    </row>
    <row r="27" spans="1:20" s="25" customFormat="1" ht="25.5" x14ac:dyDescent="0.2">
      <c r="A27" s="102">
        <v>9</v>
      </c>
      <c r="B27" s="62" t="s">
        <v>53</v>
      </c>
      <c r="C27" s="63">
        <v>1701.2003</v>
      </c>
      <c r="D27" s="64">
        <v>2.5840415999999999</v>
      </c>
      <c r="E27" s="64">
        <v>24.719957999999998</v>
      </c>
      <c r="F27" s="30">
        <v>25.264755999999998</v>
      </c>
      <c r="G27" s="30"/>
      <c r="H27" s="102">
        <v>9</v>
      </c>
      <c r="I27" s="62" t="s">
        <v>54</v>
      </c>
      <c r="J27" s="34">
        <v>1480.8103000000001</v>
      </c>
      <c r="K27" s="30">
        <v>2.5377979000000002</v>
      </c>
      <c r="L27" s="64">
        <v>21.170524</v>
      </c>
      <c r="M27" s="30">
        <v>10.503552000000001</v>
      </c>
      <c r="N27" s="30"/>
      <c r="O27" s="102">
        <v>9</v>
      </c>
      <c r="P27" s="33" t="s">
        <v>47</v>
      </c>
      <c r="Q27" s="34">
        <v>2853.3798999999999</v>
      </c>
      <c r="R27" s="30">
        <v>2.2976836</v>
      </c>
      <c r="S27" s="64">
        <v>20.562574999999999</v>
      </c>
      <c r="T27" s="35">
        <v>11.896869000000001</v>
      </c>
    </row>
    <row r="28" spans="1:20" s="25" customFormat="1" ht="25.5" x14ac:dyDescent="0.2">
      <c r="A28" s="102">
        <v>10</v>
      </c>
      <c r="B28" s="62" t="s">
        <v>51</v>
      </c>
      <c r="C28" s="63">
        <v>1561.259</v>
      </c>
      <c r="D28" s="64">
        <v>2.3714775000000001</v>
      </c>
      <c r="E28" s="64">
        <v>22.686485999999999</v>
      </c>
      <c r="F28" s="30">
        <v>14.861484000000001</v>
      </c>
      <c r="G28" s="30"/>
      <c r="H28" s="102">
        <v>10</v>
      </c>
      <c r="I28" s="62" t="s">
        <v>52</v>
      </c>
      <c r="J28" s="34">
        <v>1352.0826999999999</v>
      </c>
      <c r="K28" s="30">
        <v>2.317186</v>
      </c>
      <c r="L28" s="64">
        <v>19.330161</v>
      </c>
      <c r="M28" s="30">
        <v>9.8718775999999995</v>
      </c>
      <c r="N28" s="30"/>
      <c r="O28" s="102">
        <v>10</v>
      </c>
      <c r="P28" s="33" t="s">
        <v>54</v>
      </c>
      <c r="Q28" s="34">
        <v>2714.2872000000002</v>
      </c>
      <c r="R28" s="30">
        <v>2.1856792</v>
      </c>
      <c r="S28" s="64">
        <v>19.560217999999999</v>
      </c>
      <c r="T28" s="35">
        <v>11.233753</v>
      </c>
    </row>
    <row r="29" spans="1:20" s="43" customFormat="1" ht="15" customHeight="1" x14ac:dyDescent="0.2">
      <c r="A29" s="40"/>
      <c r="B29" s="147" t="s">
        <v>561</v>
      </c>
      <c r="C29" s="66">
        <v>31312.657700000003</v>
      </c>
      <c r="D29" s="67">
        <v>47.6</v>
      </c>
      <c r="E29" s="67" t="s">
        <v>70</v>
      </c>
      <c r="F29" s="42" t="s">
        <v>70</v>
      </c>
      <c r="G29" s="38"/>
      <c r="H29" s="40"/>
      <c r="I29" s="147" t="s">
        <v>561</v>
      </c>
      <c r="J29" s="66">
        <v>28981.506399999998</v>
      </c>
      <c r="K29" s="67">
        <v>49.7</v>
      </c>
      <c r="L29" s="67" t="s">
        <v>70</v>
      </c>
      <c r="M29" s="42" t="s">
        <v>70</v>
      </c>
      <c r="N29" s="38"/>
      <c r="O29" s="40"/>
      <c r="P29" s="147" t="s">
        <v>561</v>
      </c>
      <c r="Q29" s="66">
        <v>57693.838800000005</v>
      </c>
      <c r="R29" s="67">
        <v>46.5</v>
      </c>
      <c r="S29" s="67" t="s">
        <v>70</v>
      </c>
      <c r="T29" s="42" t="s">
        <v>70</v>
      </c>
    </row>
    <row r="30" spans="1:20" s="54" customFormat="1" ht="15" customHeight="1" x14ac:dyDescent="0.2">
      <c r="A30" s="50"/>
      <c r="B30" s="68" t="s">
        <v>67</v>
      </c>
      <c r="C30" s="69">
        <v>65834.865999999995</v>
      </c>
      <c r="D30" s="70">
        <v>100</v>
      </c>
      <c r="E30" s="70">
        <v>956.63932999999997</v>
      </c>
      <c r="F30" s="53">
        <v>652.59465999999998</v>
      </c>
      <c r="G30" s="48"/>
      <c r="H30" s="50"/>
      <c r="I30" s="51" t="s">
        <v>67</v>
      </c>
      <c r="J30" s="52">
        <v>58350.203999999998</v>
      </c>
      <c r="K30" s="48">
        <v>100</v>
      </c>
      <c r="L30" s="70">
        <v>834.20844999999997</v>
      </c>
      <c r="M30" s="53">
        <v>468.47856000000002</v>
      </c>
      <c r="N30" s="48"/>
      <c r="O30" s="50"/>
      <c r="P30" s="51" t="s">
        <v>67</v>
      </c>
      <c r="Q30" s="52">
        <v>124185.07</v>
      </c>
      <c r="R30" s="48">
        <v>100</v>
      </c>
      <c r="S30" s="70">
        <v>894.92633000000001</v>
      </c>
      <c r="T30" s="53">
        <v>556.67291999999998</v>
      </c>
    </row>
    <row r="31" spans="1:20" s="54" customFormat="1" ht="15" customHeight="1" x14ac:dyDescent="0.2">
      <c r="A31" s="103" t="s">
        <v>628</v>
      </c>
      <c r="B31" s="55"/>
      <c r="C31" s="56"/>
      <c r="D31" s="57"/>
      <c r="E31" s="57"/>
      <c r="F31" s="58"/>
      <c r="G31" s="58"/>
      <c r="H31" s="103" t="s">
        <v>628</v>
      </c>
      <c r="I31" s="55"/>
      <c r="J31" s="60"/>
      <c r="K31" s="58"/>
      <c r="L31" s="57"/>
      <c r="M31" s="58"/>
      <c r="N31" s="58"/>
      <c r="O31" s="103" t="s">
        <v>628</v>
      </c>
      <c r="P31" s="55"/>
      <c r="Q31" s="60"/>
      <c r="R31" s="58"/>
      <c r="S31" s="57"/>
      <c r="T31" s="58"/>
    </row>
    <row r="32" spans="1:20" s="25" customFormat="1" ht="25.5" x14ac:dyDescent="0.2">
      <c r="A32" s="102">
        <v>1</v>
      </c>
      <c r="B32" s="62" t="s">
        <v>42</v>
      </c>
      <c r="C32" s="63">
        <v>3444.9648999999999</v>
      </c>
      <c r="D32" s="64">
        <v>11.625603</v>
      </c>
      <c r="E32" s="64">
        <v>108.03627</v>
      </c>
      <c r="F32" s="30">
        <v>78.459520999999995</v>
      </c>
      <c r="G32" s="30"/>
      <c r="H32" s="102">
        <v>1</v>
      </c>
      <c r="I32" s="62" t="s">
        <v>43</v>
      </c>
      <c r="J32" s="34">
        <v>2363.7019</v>
      </c>
      <c r="K32" s="30">
        <v>10.016063000000001</v>
      </c>
      <c r="L32" s="64">
        <v>76.003477000000004</v>
      </c>
      <c r="M32" s="30">
        <v>44.020757000000003</v>
      </c>
      <c r="N32" s="30"/>
      <c r="O32" s="102">
        <v>1</v>
      </c>
      <c r="P32" s="62" t="s">
        <v>42</v>
      </c>
      <c r="Q32" s="34">
        <v>5521.1764999999996</v>
      </c>
      <c r="R32" s="30">
        <v>10.371975000000001</v>
      </c>
      <c r="S32" s="64">
        <v>87.655766</v>
      </c>
      <c r="T32" s="35">
        <v>59.212432999999997</v>
      </c>
    </row>
    <row r="33" spans="1:20" s="25" customFormat="1" ht="25.5" x14ac:dyDescent="0.2">
      <c r="A33" s="102">
        <v>2</v>
      </c>
      <c r="B33" s="62" t="s">
        <v>44</v>
      </c>
      <c r="C33" s="63">
        <v>1928.9013</v>
      </c>
      <c r="D33" s="64">
        <v>6.5093961</v>
      </c>
      <c r="E33" s="64">
        <v>60.49156</v>
      </c>
      <c r="F33" s="30">
        <v>41.33455</v>
      </c>
      <c r="G33" s="30"/>
      <c r="H33" s="102">
        <v>2</v>
      </c>
      <c r="I33" s="62" t="s">
        <v>42</v>
      </c>
      <c r="J33" s="34">
        <v>2076.2116999999998</v>
      </c>
      <c r="K33" s="30">
        <v>8.7978386999999998</v>
      </c>
      <c r="L33" s="64">
        <v>66.759394999999998</v>
      </c>
      <c r="M33" s="30">
        <v>40.951864999999998</v>
      </c>
      <c r="N33" s="30"/>
      <c r="O33" s="102">
        <v>2</v>
      </c>
      <c r="P33" s="33" t="s">
        <v>43</v>
      </c>
      <c r="Q33" s="34">
        <v>3764.7044000000001</v>
      </c>
      <c r="R33" s="30">
        <v>7.0723006000000002</v>
      </c>
      <c r="S33" s="64">
        <v>59.769514999999998</v>
      </c>
      <c r="T33" s="35">
        <v>38.976995000000002</v>
      </c>
    </row>
    <row r="34" spans="1:20" s="25" customFormat="1" ht="25.5" x14ac:dyDescent="0.2">
      <c r="A34" s="102">
        <v>3</v>
      </c>
      <c r="B34" s="62" t="s">
        <v>570</v>
      </c>
      <c r="C34" s="63">
        <v>1634.6187</v>
      </c>
      <c r="D34" s="64">
        <v>5.5162906999999999</v>
      </c>
      <c r="E34" s="64">
        <v>51.26267</v>
      </c>
      <c r="F34" s="30">
        <v>35.413412999999998</v>
      </c>
      <c r="G34" s="30"/>
      <c r="H34" s="102">
        <v>3</v>
      </c>
      <c r="I34" s="62" t="s">
        <v>45</v>
      </c>
      <c r="J34" s="34">
        <v>1347.6515999999999</v>
      </c>
      <c r="K34" s="30">
        <v>5.7106032999999998</v>
      </c>
      <c r="L34" s="64">
        <v>43.332962999999999</v>
      </c>
      <c r="M34" s="30">
        <v>26.167601999999999</v>
      </c>
      <c r="N34" s="30"/>
      <c r="O34" s="102">
        <v>3</v>
      </c>
      <c r="P34" s="33" t="s">
        <v>44</v>
      </c>
      <c r="Q34" s="34">
        <v>3195.4899</v>
      </c>
      <c r="R34" s="30">
        <v>6.0029852999999997</v>
      </c>
      <c r="S34" s="64">
        <v>50.732505000000003</v>
      </c>
      <c r="T34" s="35">
        <v>33.626873000000003</v>
      </c>
    </row>
    <row r="35" spans="1:20" s="25" customFormat="1" ht="25.5" x14ac:dyDescent="0.2">
      <c r="A35" s="102">
        <v>4</v>
      </c>
      <c r="B35" s="62" t="s">
        <v>43</v>
      </c>
      <c r="C35" s="63">
        <v>1401.0025000000001</v>
      </c>
      <c r="D35" s="64">
        <v>4.7279144999999998</v>
      </c>
      <c r="E35" s="64">
        <v>43.936321999999997</v>
      </c>
      <c r="F35" s="30">
        <v>32.350619000000002</v>
      </c>
      <c r="G35" s="30"/>
      <c r="H35" s="102">
        <v>4</v>
      </c>
      <c r="I35" s="62" t="s">
        <v>44</v>
      </c>
      <c r="J35" s="34">
        <v>1266.5886</v>
      </c>
      <c r="K35" s="30">
        <v>5.3671031999999999</v>
      </c>
      <c r="L35" s="64">
        <v>40.726430000000001</v>
      </c>
      <c r="M35" s="30">
        <v>26.390523999999999</v>
      </c>
      <c r="N35" s="30"/>
      <c r="O35" s="102">
        <v>4</v>
      </c>
      <c r="P35" s="33" t="s">
        <v>570</v>
      </c>
      <c r="Q35" s="34">
        <v>2881.4811</v>
      </c>
      <c r="R35" s="30">
        <v>5.4130944000000003</v>
      </c>
      <c r="S35" s="64">
        <v>45.747211999999998</v>
      </c>
      <c r="T35" s="35">
        <v>29.919354999999999</v>
      </c>
    </row>
    <row r="36" spans="1:20" s="25" customFormat="1" ht="25.5" x14ac:dyDescent="0.2">
      <c r="A36" s="102">
        <v>5</v>
      </c>
      <c r="B36" s="62" t="s">
        <v>47</v>
      </c>
      <c r="C36" s="63">
        <v>1224.2331999999999</v>
      </c>
      <c r="D36" s="64">
        <v>4.1313772999999996</v>
      </c>
      <c r="E36" s="64">
        <v>38.392724999999999</v>
      </c>
      <c r="F36" s="30">
        <v>27.093883999999999</v>
      </c>
      <c r="G36" s="30"/>
      <c r="H36" s="102">
        <v>5</v>
      </c>
      <c r="I36" s="62" t="s">
        <v>570</v>
      </c>
      <c r="J36" s="34">
        <v>1246.8624</v>
      </c>
      <c r="K36" s="30">
        <v>5.2835146000000002</v>
      </c>
      <c r="L36" s="64">
        <v>40.092146</v>
      </c>
      <c r="M36" s="30">
        <v>24.983034</v>
      </c>
      <c r="N36" s="30"/>
      <c r="O36" s="102">
        <v>5</v>
      </c>
      <c r="P36" s="33" t="s">
        <v>45</v>
      </c>
      <c r="Q36" s="34">
        <v>2563.9789000000001</v>
      </c>
      <c r="R36" s="30">
        <v>4.8166411</v>
      </c>
      <c r="S36" s="64">
        <v>40.706457</v>
      </c>
      <c r="T36" s="35">
        <v>27.131895</v>
      </c>
    </row>
    <row r="37" spans="1:20" s="25" customFormat="1" ht="12.75" x14ac:dyDescent="0.2">
      <c r="A37" s="102">
        <v>6</v>
      </c>
      <c r="B37" s="62" t="s">
        <v>45</v>
      </c>
      <c r="C37" s="63">
        <v>1216.3273999999999</v>
      </c>
      <c r="D37" s="64">
        <v>4.1046975999999997</v>
      </c>
      <c r="E37" s="64">
        <v>38.144792000000002</v>
      </c>
      <c r="F37" s="30">
        <v>27.760296</v>
      </c>
      <c r="G37" s="30"/>
      <c r="H37" s="102">
        <v>6</v>
      </c>
      <c r="I37" s="62" t="s">
        <v>48</v>
      </c>
      <c r="J37" s="34">
        <v>865.18250999999998</v>
      </c>
      <c r="K37" s="30">
        <v>3.6661657999999999</v>
      </c>
      <c r="L37" s="64">
        <v>27.819447</v>
      </c>
      <c r="M37" s="30">
        <v>18.693778999999999</v>
      </c>
      <c r="N37" s="30"/>
      <c r="O37" s="102">
        <v>6</v>
      </c>
      <c r="P37" s="33" t="s">
        <v>49</v>
      </c>
      <c r="Q37" s="34">
        <v>1844.8467000000001</v>
      </c>
      <c r="R37" s="30">
        <v>3.4656932</v>
      </c>
      <c r="S37" s="64">
        <v>29.28931</v>
      </c>
      <c r="T37" s="35">
        <v>19.632300000000001</v>
      </c>
    </row>
    <row r="38" spans="1:20" s="25" customFormat="1" ht="12.75" x14ac:dyDescent="0.2">
      <c r="A38" s="102">
        <v>7</v>
      </c>
      <c r="B38" s="62" t="s">
        <v>49</v>
      </c>
      <c r="C38" s="63">
        <v>1009.9912</v>
      </c>
      <c r="D38" s="64">
        <v>3.4083823</v>
      </c>
      <c r="E38" s="64">
        <v>31.673960999999998</v>
      </c>
      <c r="F38" s="30">
        <v>22.696262999999998</v>
      </c>
      <c r="G38" s="30"/>
      <c r="H38" s="102">
        <v>7</v>
      </c>
      <c r="I38" s="62" t="s">
        <v>49</v>
      </c>
      <c r="J38" s="34">
        <v>834.85546999999997</v>
      </c>
      <c r="K38" s="30">
        <v>3.5376565000000002</v>
      </c>
      <c r="L38" s="64">
        <v>26.844297999999998</v>
      </c>
      <c r="M38" s="30">
        <v>16.642403000000002</v>
      </c>
      <c r="N38" s="30"/>
      <c r="O38" s="102">
        <v>7</v>
      </c>
      <c r="P38" s="33" t="s">
        <v>50</v>
      </c>
      <c r="Q38" s="34">
        <v>1676.5222000000001</v>
      </c>
      <c r="R38" s="30">
        <v>3.1494821000000002</v>
      </c>
      <c r="S38" s="64">
        <v>26.616942999999999</v>
      </c>
      <c r="T38" s="35">
        <v>18.240449999999999</v>
      </c>
    </row>
    <row r="39" spans="1:20" s="25" customFormat="1" ht="12.75" x14ac:dyDescent="0.2">
      <c r="A39" s="102">
        <v>8</v>
      </c>
      <c r="B39" s="62" t="s">
        <v>50</v>
      </c>
      <c r="C39" s="63">
        <v>957.96366999999998</v>
      </c>
      <c r="D39" s="64">
        <v>3.2328066999999998</v>
      </c>
      <c r="E39" s="64">
        <v>30.042344</v>
      </c>
      <c r="F39" s="30">
        <v>21.597833999999999</v>
      </c>
      <c r="G39" s="30"/>
      <c r="H39" s="102">
        <v>8</v>
      </c>
      <c r="I39" s="62" t="s">
        <v>50</v>
      </c>
      <c r="J39" s="34">
        <v>718.55856000000006</v>
      </c>
      <c r="K39" s="30">
        <v>3.0448544000000002</v>
      </c>
      <c r="L39" s="64">
        <v>23.104838000000001</v>
      </c>
      <c r="M39" s="30">
        <v>15.014177</v>
      </c>
      <c r="N39" s="30"/>
      <c r="O39" s="102">
        <v>8</v>
      </c>
      <c r="P39" s="33" t="s">
        <v>47</v>
      </c>
      <c r="Q39" s="34">
        <v>1224.2331999999999</v>
      </c>
      <c r="R39" s="30">
        <v>2.2998208</v>
      </c>
      <c r="S39" s="64">
        <v>19.436274000000001</v>
      </c>
      <c r="T39" s="35">
        <v>12.652492000000001</v>
      </c>
    </row>
    <row r="40" spans="1:20" s="25" customFormat="1" ht="25.5" x14ac:dyDescent="0.2">
      <c r="A40" s="102">
        <v>9</v>
      </c>
      <c r="B40" s="62" t="s">
        <v>53</v>
      </c>
      <c r="C40" s="63">
        <v>869.26903000000004</v>
      </c>
      <c r="D40" s="64">
        <v>2.9334918999999999</v>
      </c>
      <c r="E40" s="64">
        <v>27.260824</v>
      </c>
      <c r="F40" s="30">
        <v>27.361462</v>
      </c>
      <c r="G40" s="30"/>
      <c r="H40" s="102">
        <v>9</v>
      </c>
      <c r="I40" s="62" t="s">
        <v>54</v>
      </c>
      <c r="J40" s="34">
        <v>585.60778000000005</v>
      </c>
      <c r="K40" s="30">
        <v>2.4814824</v>
      </c>
      <c r="L40" s="64">
        <v>18.829882000000001</v>
      </c>
      <c r="M40" s="30">
        <v>10.948221</v>
      </c>
      <c r="N40" s="30"/>
      <c r="O40" s="102">
        <v>9</v>
      </c>
      <c r="P40" s="33" t="s">
        <v>58</v>
      </c>
      <c r="Q40" s="34">
        <v>1141.4970000000001</v>
      </c>
      <c r="R40" s="30">
        <v>2.1443940000000001</v>
      </c>
      <c r="S40" s="64">
        <v>18.122730000000001</v>
      </c>
      <c r="T40" s="35">
        <v>12.137356</v>
      </c>
    </row>
    <row r="41" spans="1:20" s="25" customFormat="1" ht="25.5" x14ac:dyDescent="0.2">
      <c r="A41" s="102">
        <v>10</v>
      </c>
      <c r="B41" s="62" t="s">
        <v>58</v>
      </c>
      <c r="C41" s="63">
        <v>661.56390999999996</v>
      </c>
      <c r="D41" s="64">
        <v>2.2325566999999999</v>
      </c>
      <c r="E41" s="64">
        <v>20.747060999999999</v>
      </c>
      <c r="F41" s="30">
        <v>14.447447</v>
      </c>
      <c r="G41" s="30"/>
      <c r="H41" s="102">
        <v>10</v>
      </c>
      <c r="I41" s="62" t="s">
        <v>51</v>
      </c>
      <c r="J41" s="34">
        <v>498.66982999999999</v>
      </c>
      <c r="K41" s="30">
        <v>2.1130873999999999</v>
      </c>
      <c r="L41" s="64">
        <v>16.034441999999999</v>
      </c>
      <c r="M41" s="30">
        <v>9.4661115000000002</v>
      </c>
      <c r="N41" s="30"/>
      <c r="O41" s="102">
        <v>10</v>
      </c>
      <c r="P41" s="33" t="s">
        <v>51</v>
      </c>
      <c r="Q41" s="34">
        <v>1121.7811999999999</v>
      </c>
      <c r="R41" s="30">
        <v>2.1073563000000002</v>
      </c>
      <c r="S41" s="64">
        <v>17.809716000000002</v>
      </c>
      <c r="T41" s="35">
        <v>11.67708</v>
      </c>
    </row>
    <row r="42" spans="1:20" s="43" customFormat="1" ht="15" customHeight="1" x14ac:dyDescent="0.2">
      <c r="A42" s="40"/>
      <c r="B42" s="147" t="s">
        <v>561</v>
      </c>
      <c r="C42" s="66">
        <v>14348.83581</v>
      </c>
      <c r="D42" s="67">
        <v>48.4</v>
      </c>
      <c r="E42" s="67" t="s">
        <v>70</v>
      </c>
      <c r="F42" s="42" t="s">
        <v>70</v>
      </c>
      <c r="G42" s="38"/>
      <c r="H42" s="40"/>
      <c r="I42" s="147" t="s">
        <v>561</v>
      </c>
      <c r="J42" s="66">
        <v>11803.890350000001</v>
      </c>
      <c r="K42" s="67">
        <v>50</v>
      </c>
      <c r="L42" s="67" t="s">
        <v>70</v>
      </c>
      <c r="M42" s="42" t="s">
        <v>70</v>
      </c>
      <c r="N42" s="38"/>
      <c r="O42" s="40"/>
      <c r="P42" s="147" t="s">
        <v>561</v>
      </c>
      <c r="Q42" s="66">
        <v>24935.711100000004</v>
      </c>
      <c r="R42" s="67">
        <v>46.8</v>
      </c>
      <c r="S42" s="67" t="s">
        <v>70</v>
      </c>
      <c r="T42" s="42" t="s">
        <v>70</v>
      </c>
    </row>
    <row r="43" spans="1:20" s="54" customFormat="1" ht="15" customHeight="1" x14ac:dyDescent="0.2">
      <c r="A43" s="50"/>
      <c r="B43" s="68" t="s">
        <v>67</v>
      </c>
      <c r="C43" s="69">
        <v>29632.569</v>
      </c>
      <c r="D43" s="70">
        <v>100</v>
      </c>
      <c r="E43" s="70">
        <v>929.29602999999997</v>
      </c>
      <c r="F43" s="53">
        <v>687.28512000000001</v>
      </c>
      <c r="G43" s="48"/>
      <c r="H43" s="50"/>
      <c r="I43" s="51" t="s">
        <v>67</v>
      </c>
      <c r="J43" s="52">
        <v>23599.111000000001</v>
      </c>
      <c r="K43" s="48">
        <v>100</v>
      </c>
      <c r="L43" s="70">
        <v>758.81586000000004</v>
      </c>
      <c r="M43" s="53">
        <v>482.84224999999998</v>
      </c>
      <c r="N43" s="48"/>
      <c r="O43" s="50"/>
      <c r="P43" s="51" t="s">
        <v>67</v>
      </c>
      <c r="Q43" s="52">
        <v>53231.68</v>
      </c>
      <c r="R43" s="48">
        <v>100</v>
      </c>
      <c r="S43" s="70">
        <v>845.12125000000003</v>
      </c>
      <c r="T43" s="53">
        <v>584.39841000000001</v>
      </c>
    </row>
    <row r="44" spans="1:20" s="54" customFormat="1" ht="15" customHeight="1" x14ac:dyDescent="0.2">
      <c r="A44" s="103" t="s">
        <v>258</v>
      </c>
      <c r="B44" s="55"/>
      <c r="C44" s="56"/>
      <c r="D44" s="57"/>
      <c r="E44" s="57"/>
      <c r="F44" s="58"/>
      <c r="G44" s="58"/>
      <c r="H44" s="103" t="s">
        <v>258</v>
      </c>
      <c r="I44" s="55"/>
      <c r="J44" s="60"/>
      <c r="K44" s="58"/>
      <c r="L44" s="57"/>
      <c r="M44" s="58"/>
      <c r="N44" s="58"/>
      <c r="O44" s="103" t="s">
        <v>258</v>
      </c>
      <c r="P44" s="55"/>
      <c r="Q44" s="60"/>
      <c r="R44" s="58"/>
      <c r="S44" s="57"/>
      <c r="T44" s="58"/>
    </row>
    <row r="45" spans="1:20" s="25" customFormat="1" ht="12.75" x14ac:dyDescent="0.2">
      <c r="A45" s="102">
        <v>1</v>
      </c>
      <c r="B45" s="62" t="s">
        <v>42</v>
      </c>
      <c r="C45" s="63">
        <v>470.69941</v>
      </c>
      <c r="D45" s="64">
        <v>13.7348</v>
      </c>
      <c r="E45" s="64">
        <v>100.30491000000001</v>
      </c>
      <c r="F45" s="30">
        <v>94.824897000000007</v>
      </c>
      <c r="G45" s="30"/>
      <c r="H45" s="102">
        <v>1</v>
      </c>
      <c r="I45" s="62" t="s">
        <v>42</v>
      </c>
      <c r="J45" s="34">
        <v>210.40308999999999</v>
      </c>
      <c r="K45" s="30">
        <v>8.5148986000000004</v>
      </c>
      <c r="L45" s="64">
        <v>48.191926000000002</v>
      </c>
      <c r="M45" s="30">
        <v>43.148879000000001</v>
      </c>
      <c r="N45" s="30"/>
      <c r="O45" s="102">
        <v>1</v>
      </c>
      <c r="P45" s="62" t="s">
        <v>42</v>
      </c>
      <c r="Q45" s="34">
        <v>681.10249999999996</v>
      </c>
      <c r="R45" s="30">
        <v>11.547915</v>
      </c>
      <c r="S45" s="64">
        <v>75.188276999999999</v>
      </c>
      <c r="T45" s="35">
        <v>69.659222999999997</v>
      </c>
    </row>
    <row r="46" spans="1:20" s="25" customFormat="1" ht="25.5" x14ac:dyDescent="0.2">
      <c r="A46" s="102">
        <v>2</v>
      </c>
      <c r="B46" s="62" t="s">
        <v>44</v>
      </c>
      <c r="C46" s="63">
        <v>187.18370999999999</v>
      </c>
      <c r="D46" s="64">
        <v>5.4619377</v>
      </c>
      <c r="E46" s="64">
        <v>39.888399</v>
      </c>
      <c r="F46" s="30">
        <v>34.815401999999999</v>
      </c>
      <c r="G46" s="30"/>
      <c r="H46" s="102">
        <v>2</v>
      </c>
      <c r="I46" s="62" t="s">
        <v>43</v>
      </c>
      <c r="J46" s="34">
        <v>204.69879</v>
      </c>
      <c r="K46" s="30">
        <v>8.2840489000000002</v>
      </c>
      <c r="L46" s="64">
        <v>46.885381000000002</v>
      </c>
      <c r="M46" s="30">
        <v>42.107174999999998</v>
      </c>
      <c r="N46" s="30"/>
      <c r="O46" s="102">
        <v>2</v>
      </c>
      <c r="P46" s="33" t="s">
        <v>44</v>
      </c>
      <c r="Q46" s="34">
        <v>328.88560999999999</v>
      </c>
      <c r="R46" s="30">
        <v>5.5761693000000001</v>
      </c>
      <c r="S46" s="64">
        <v>36.306345</v>
      </c>
      <c r="T46" s="35">
        <v>31.320162</v>
      </c>
    </row>
    <row r="47" spans="1:20" s="25" customFormat="1" ht="25.5" x14ac:dyDescent="0.2">
      <c r="A47" s="102">
        <v>3</v>
      </c>
      <c r="B47" s="62" t="s">
        <v>570</v>
      </c>
      <c r="C47" s="63">
        <v>182.06531000000001</v>
      </c>
      <c r="D47" s="64">
        <v>5.3125850000000003</v>
      </c>
      <c r="E47" s="64">
        <v>38.797680999999997</v>
      </c>
      <c r="F47" s="30">
        <v>37.574863000000001</v>
      </c>
      <c r="G47" s="30"/>
      <c r="H47" s="102">
        <v>3</v>
      </c>
      <c r="I47" s="62" t="s">
        <v>45</v>
      </c>
      <c r="J47" s="34">
        <v>142.11725000000001</v>
      </c>
      <c r="K47" s="30">
        <v>5.7514078</v>
      </c>
      <c r="L47" s="64">
        <v>32.551347</v>
      </c>
      <c r="M47" s="30">
        <v>29.40024</v>
      </c>
      <c r="N47" s="30"/>
      <c r="O47" s="102">
        <v>3</v>
      </c>
      <c r="P47" s="33" t="s">
        <v>570</v>
      </c>
      <c r="Q47" s="34">
        <v>314.66016999999999</v>
      </c>
      <c r="R47" s="30">
        <v>5.3349808000000003</v>
      </c>
      <c r="S47" s="64">
        <v>34.735970000000002</v>
      </c>
      <c r="T47" s="35">
        <v>31.951920999999999</v>
      </c>
    </row>
    <row r="48" spans="1:20" s="25" customFormat="1" ht="25.5" x14ac:dyDescent="0.2">
      <c r="A48" s="102">
        <v>4</v>
      </c>
      <c r="B48" s="62" t="s">
        <v>53</v>
      </c>
      <c r="C48" s="63">
        <v>156.14699999999999</v>
      </c>
      <c r="D48" s="64">
        <v>4.5563000000000002</v>
      </c>
      <c r="E48" s="64">
        <v>33.274549</v>
      </c>
      <c r="F48" s="30">
        <v>34.742136000000002</v>
      </c>
      <c r="G48" s="30"/>
      <c r="H48" s="102">
        <v>4</v>
      </c>
      <c r="I48" s="62" t="s">
        <v>44</v>
      </c>
      <c r="J48" s="34">
        <v>141.70188999999999</v>
      </c>
      <c r="K48" s="30">
        <v>5.7345984999999997</v>
      </c>
      <c r="L48" s="64">
        <v>32.456211000000003</v>
      </c>
      <c r="M48" s="30">
        <v>28.049536</v>
      </c>
      <c r="N48" s="30"/>
      <c r="O48" s="102">
        <v>4</v>
      </c>
      <c r="P48" s="33" t="s">
        <v>43</v>
      </c>
      <c r="Q48" s="34">
        <v>312.91633000000002</v>
      </c>
      <c r="R48" s="30">
        <v>5.3054144000000001</v>
      </c>
      <c r="S48" s="64">
        <v>34.543464</v>
      </c>
      <c r="T48" s="35">
        <v>34.934744999999999</v>
      </c>
    </row>
    <row r="49" spans="1:20" s="25" customFormat="1" ht="12.75" x14ac:dyDescent="0.2">
      <c r="A49" s="102">
        <v>5</v>
      </c>
      <c r="B49" s="62" t="s">
        <v>49</v>
      </c>
      <c r="C49" s="63">
        <v>138.05891</v>
      </c>
      <c r="D49" s="64">
        <v>4.0284978000000002</v>
      </c>
      <c r="E49" s="64">
        <v>29.420021999999999</v>
      </c>
      <c r="F49" s="30">
        <v>27.377320999999998</v>
      </c>
      <c r="G49" s="30"/>
      <c r="H49" s="102">
        <v>5</v>
      </c>
      <c r="I49" s="62" t="s">
        <v>49</v>
      </c>
      <c r="J49" s="34">
        <v>136.80568</v>
      </c>
      <c r="K49" s="30">
        <v>5.5364516000000004</v>
      </c>
      <c r="L49" s="64">
        <v>31.334755000000001</v>
      </c>
      <c r="M49" s="30">
        <v>28.226894000000001</v>
      </c>
      <c r="N49" s="30"/>
      <c r="O49" s="102">
        <v>5</v>
      </c>
      <c r="P49" s="33" t="s">
        <v>49</v>
      </c>
      <c r="Q49" s="34">
        <v>274.8646</v>
      </c>
      <c r="R49" s="30">
        <v>4.6602572000000002</v>
      </c>
      <c r="S49" s="64">
        <v>30.342856999999999</v>
      </c>
      <c r="T49" s="35">
        <v>27.797958000000001</v>
      </c>
    </row>
    <row r="50" spans="1:20" s="25" customFormat="1" ht="25.5" x14ac:dyDescent="0.2">
      <c r="A50" s="102">
        <v>6</v>
      </c>
      <c r="B50" s="62" t="s">
        <v>47</v>
      </c>
      <c r="C50" s="63">
        <v>132.29827</v>
      </c>
      <c r="D50" s="64">
        <v>3.8604048999999998</v>
      </c>
      <c r="E50" s="64">
        <v>28.192443999999998</v>
      </c>
      <c r="F50" s="30">
        <v>28.572747</v>
      </c>
      <c r="G50" s="30"/>
      <c r="H50" s="102">
        <v>6</v>
      </c>
      <c r="I50" s="62" t="s">
        <v>570</v>
      </c>
      <c r="J50" s="34">
        <v>132.59486000000001</v>
      </c>
      <c r="K50" s="30">
        <v>5.3660417000000002</v>
      </c>
      <c r="L50" s="64">
        <v>30.370283000000001</v>
      </c>
      <c r="M50" s="30">
        <v>27.105937000000001</v>
      </c>
      <c r="N50" s="30"/>
      <c r="O50" s="102">
        <v>6</v>
      </c>
      <c r="P50" s="33" t="s">
        <v>45</v>
      </c>
      <c r="Q50" s="34">
        <v>255.06971999999999</v>
      </c>
      <c r="R50" s="30">
        <v>4.3246403000000004</v>
      </c>
      <c r="S50" s="64">
        <v>28.15766</v>
      </c>
      <c r="T50" s="35">
        <v>26.563427999999998</v>
      </c>
    </row>
    <row r="51" spans="1:20" s="25" customFormat="1" ht="12.75" x14ac:dyDescent="0.2">
      <c r="A51" s="102">
        <v>7</v>
      </c>
      <c r="B51" s="62" t="s">
        <v>100</v>
      </c>
      <c r="C51" s="63">
        <v>112.97205</v>
      </c>
      <c r="D51" s="64">
        <v>3.2964742</v>
      </c>
      <c r="E51" s="64">
        <v>24.074072000000001</v>
      </c>
      <c r="F51" s="30">
        <v>25.186116999999999</v>
      </c>
      <c r="G51" s="30"/>
      <c r="H51" s="102">
        <v>7</v>
      </c>
      <c r="I51" s="62" t="s">
        <v>48</v>
      </c>
      <c r="J51" s="34">
        <v>100.76522</v>
      </c>
      <c r="K51" s="30">
        <v>4.0779138000000001</v>
      </c>
      <c r="L51" s="64">
        <v>23.079843</v>
      </c>
      <c r="M51" s="30">
        <v>20.404675999999998</v>
      </c>
      <c r="N51" s="30"/>
      <c r="O51" s="102">
        <v>7</v>
      </c>
      <c r="P51" s="33" t="s">
        <v>53</v>
      </c>
      <c r="Q51" s="34">
        <v>184.76486</v>
      </c>
      <c r="R51" s="30">
        <v>3.1326398000000002</v>
      </c>
      <c r="S51" s="64">
        <v>20.396564999999999</v>
      </c>
      <c r="T51" s="35">
        <v>21.328835000000002</v>
      </c>
    </row>
    <row r="52" spans="1:20" s="25" customFormat="1" ht="12.75" x14ac:dyDescent="0.2">
      <c r="A52" s="102">
        <v>8</v>
      </c>
      <c r="B52" s="62" t="s">
        <v>45</v>
      </c>
      <c r="C52" s="63">
        <v>112.95247000000001</v>
      </c>
      <c r="D52" s="64">
        <v>3.2959027999999999</v>
      </c>
      <c r="E52" s="64">
        <v>24.069898999999999</v>
      </c>
      <c r="F52" s="30">
        <v>23.422277000000001</v>
      </c>
      <c r="G52" s="30"/>
      <c r="H52" s="102">
        <v>8</v>
      </c>
      <c r="I52" s="62" t="s">
        <v>50</v>
      </c>
      <c r="J52" s="34">
        <v>66.770662999999999</v>
      </c>
      <c r="K52" s="30">
        <v>2.7021723999999998</v>
      </c>
      <c r="L52" s="64">
        <v>15.293533999999999</v>
      </c>
      <c r="M52" s="30">
        <v>13.811779</v>
      </c>
      <c r="N52" s="30"/>
      <c r="O52" s="102">
        <v>8</v>
      </c>
      <c r="P52" s="33" t="s">
        <v>50</v>
      </c>
      <c r="Q52" s="34">
        <v>155.40289000000001</v>
      </c>
      <c r="R52" s="30">
        <v>2.6348153999999999</v>
      </c>
      <c r="S52" s="64">
        <v>17.155239000000002</v>
      </c>
      <c r="T52" s="35">
        <v>15.622888</v>
      </c>
    </row>
    <row r="53" spans="1:20" s="25" customFormat="1" ht="25.5" x14ac:dyDescent="0.2">
      <c r="A53" s="102">
        <v>9</v>
      </c>
      <c r="B53" s="62" t="s">
        <v>43</v>
      </c>
      <c r="C53" s="63">
        <v>108.21753</v>
      </c>
      <c r="D53" s="64">
        <v>3.1577396000000002</v>
      </c>
      <c r="E53" s="64">
        <v>23.060896</v>
      </c>
      <c r="F53" s="30">
        <v>26.077843999999999</v>
      </c>
      <c r="G53" s="30"/>
      <c r="H53" s="102">
        <v>9</v>
      </c>
      <c r="I53" s="62" t="s">
        <v>58</v>
      </c>
      <c r="J53" s="34">
        <v>56.920095000000003</v>
      </c>
      <c r="K53" s="30">
        <v>2.3035253</v>
      </c>
      <c r="L53" s="64">
        <v>13.037304000000001</v>
      </c>
      <c r="M53" s="30">
        <v>11.710255999999999</v>
      </c>
      <c r="N53" s="30"/>
      <c r="O53" s="102">
        <v>9</v>
      </c>
      <c r="P53" s="33" t="s">
        <v>100</v>
      </c>
      <c r="Q53" s="34">
        <v>140.99741</v>
      </c>
      <c r="R53" s="30">
        <v>2.3905740999999998</v>
      </c>
      <c r="S53" s="64">
        <v>15.564988</v>
      </c>
      <c r="T53" s="35">
        <v>16.213011000000002</v>
      </c>
    </row>
    <row r="54" spans="1:20" s="25" customFormat="1" ht="25.5" x14ac:dyDescent="0.2">
      <c r="A54" s="102">
        <v>10</v>
      </c>
      <c r="B54" s="62" t="s">
        <v>50</v>
      </c>
      <c r="C54" s="63">
        <v>88.632232000000002</v>
      </c>
      <c r="D54" s="64">
        <v>2.5862492000000001</v>
      </c>
      <c r="E54" s="64">
        <v>18.887315999999998</v>
      </c>
      <c r="F54" s="30">
        <v>17.041021000000001</v>
      </c>
      <c r="G54" s="30"/>
      <c r="H54" s="102">
        <v>10</v>
      </c>
      <c r="I54" s="62" t="s">
        <v>55</v>
      </c>
      <c r="J54" s="34">
        <v>55.725113</v>
      </c>
      <c r="K54" s="30">
        <v>2.2551649999999999</v>
      </c>
      <c r="L54" s="64">
        <v>12.763598</v>
      </c>
      <c r="M54" s="30">
        <v>11.667572</v>
      </c>
      <c r="N54" s="30"/>
      <c r="O54" s="102">
        <v>10</v>
      </c>
      <c r="P54" s="33" t="s">
        <v>55</v>
      </c>
      <c r="Q54" s="34">
        <v>133.80653000000001</v>
      </c>
      <c r="R54" s="30">
        <v>2.2686546999999999</v>
      </c>
      <c r="S54" s="64">
        <v>14.771172999999999</v>
      </c>
      <c r="T54" s="35">
        <v>13.918666999999999</v>
      </c>
    </row>
    <row r="55" spans="1:20" s="43" customFormat="1" ht="15" customHeight="1" x14ac:dyDescent="0.2">
      <c r="A55" s="40"/>
      <c r="B55" s="147" t="s">
        <v>561</v>
      </c>
      <c r="C55" s="66">
        <v>1689.2268919999997</v>
      </c>
      <c r="D55" s="67">
        <v>49.3</v>
      </c>
      <c r="E55" s="67" t="s">
        <v>70</v>
      </c>
      <c r="F55" s="42" t="s">
        <v>70</v>
      </c>
      <c r="G55" s="38"/>
      <c r="H55" s="40"/>
      <c r="I55" s="147" t="s">
        <v>561</v>
      </c>
      <c r="J55" s="66">
        <v>1248.502651</v>
      </c>
      <c r="K55" s="67">
        <v>50.5</v>
      </c>
      <c r="L55" s="67" t="s">
        <v>70</v>
      </c>
      <c r="M55" s="42" t="s">
        <v>70</v>
      </c>
      <c r="N55" s="38"/>
      <c r="O55" s="40"/>
      <c r="P55" s="147" t="s">
        <v>561</v>
      </c>
      <c r="Q55" s="66">
        <v>2782.4706199999996</v>
      </c>
      <c r="R55" s="67">
        <v>47.2</v>
      </c>
      <c r="S55" s="67" t="s">
        <v>70</v>
      </c>
      <c r="T55" s="42" t="s">
        <v>70</v>
      </c>
    </row>
    <row r="56" spans="1:20" s="54" customFormat="1" ht="15" customHeight="1" x14ac:dyDescent="0.2">
      <c r="A56" s="50"/>
      <c r="B56" s="68" t="s">
        <v>67</v>
      </c>
      <c r="C56" s="69">
        <v>3427.0569</v>
      </c>
      <c r="D56" s="70">
        <v>100</v>
      </c>
      <c r="E56" s="70">
        <v>730.29759000000001</v>
      </c>
      <c r="F56" s="53">
        <v>705.6019</v>
      </c>
      <c r="G56" s="48"/>
      <c r="H56" s="50"/>
      <c r="I56" s="51" t="s">
        <v>67</v>
      </c>
      <c r="J56" s="52">
        <v>2470.9992999999999</v>
      </c>
      <c r="K56" s="48">
        <v>100</v>
      </c>
      <c r="L56" s="70">
        <v>565.97181</v>
      </c>
      <c r="M56" s="53">
        <v>510.57951000000003</v>
      </c>
      <c r="N56" s="48"/>
      <c r="O56" s="50"/>
      <c r="P56" s="51" t="s">
        <v>67</v>
      </c>
      <c r="Q56" s="52">
        <v>5898.0563000000002</v>
      </c>
      <c r="R56" s="48">
        <v>100</v>
      </c>
      <c r="S56" s="70">
        <v>651.09831999999994</v>
      </c>
      <c r="T56" s="53">
        <v>610.62575000000004</v>
      </c>
    </row>
    <row r="57" spans="1:20" s="54" customFormat="1" ht="15" customHeight="1" x14ac:dyDescent="0.2">
      <c r="A57" s="103" t="s">
        <v>629</v>
      </c>
      <c r="B57" s="55"/>
      <c r="C57" s="56"/>
      <c r="D57" s="57"/>
      <c r="E57" s="57"/>
      <c r="F57" s="58"/>
      <c r="G57" s="58"/>
      <c r="H57" s="103" t="s">
        <v>629</v>
      </c>
      <c r="I57" s="55"/>
      <c r="J57" s="60"/>
      <c r="K57" s="58"/>
      <c r="L57" s="57"/>
      <c r="M57" s="58"/>
      <c r="N57" s="58"/>
      <c r="O57" s="103" t="s">
        <v>629</v>
      </c>
      <c r="P57" s="55"/>
      <c r="Q57" s="60"/>
      <c r="R57" s="58"/>
      <c r="S57" s="57"/>
      <c r="T57" s="58"/>
    </row>
    <row r="58" spans="1:20" s="25" customFormat="1" ht="12.75" x14ac:dyDescent="0.2">
      <c r="A58" s="102">
        <v>1</v>
      </c>
      <c r="B58" s="62" t="s">
        <v>42</v>
      </c>
      <c r="C58" s="63">
        <v>301.73020000000002</v>
      </c>
      <c r="D58" s="64">
        <v>14.634180000000001</v>
      </c>
      <c r="E58" s="64">
        <v>97.552762999999999</v>
      </c>
      <c r="F58" s="30">
        <v>122.2439</v>
      </c>
      <c r="G58" s="30"/>
      <c r="H58" s="102">
        <v>1</v>
      </c>
      <c r="I58" s="62" t="s">
        <v>42</v>
      </c>
      <c r="J58" s="34">
        <v>154.01356000000001</v>
      </c>
      <c r="K58" s="30">
        <v>10.197293999999999</v>
      </c>
      <c r="L58" s="64">
        <v>54.867657999999999</v>
      </c>
      <c r="M58" s="30">
        <v>69.175939</v>
      </c>
      <c r="N58" s="30"/>
      <c r="O58" s="102">
        <v>1</v>
      </c>
      <c r="P58" s="62" t="s">
        <v>42</v>
      </c>
      <c r="Q58" s="34">
        <v>455.74376000000001</v>
      </c>
      <c r="R58" s="30">
        <v>12.758228000000001</v>
      </c>
      <c r="S58" s="64">
        <v>77.244760999999997</v>
      </c>
      <c r="T58" s="35">
        <v>96.388262999999995</v>
      </c>
    </row>
    <row r="59" spans="1:20" s="25" customFormat="1" ht="12.75" x14ac:dyDescent="0.2">
      <c r="A59" s="102">
        <v>2</v>
      </c>
      <c r="B59" s="62" t="s">
        <v>49</v>
      </c>
      <c r="C59" s="63">
        <v>118.66046</v>
      </c>
      <c r="D59" s="64">
        <v>5.7551369000000001</v>
      </c>
      <c r="E59" s="64">
        <v>38.364260000000002</v>
      </c>
      <c r="F59" s="30">
        <v>46.075270000000003</v>
      </c>
      <c r="G59" s="30"/>
      <c r="H59" s="102">
        <v>2</v>
      </c>
      <c r="I59" s="62" t="s">
        <v>49</v>
      </c>
      <c r="J59" s="34">
        <v>153.52296000000001</v>
      </c>
      <c r="K59" s="30">
        <v>10.164811</v>
      </c>
      <c r="L59" s="64">
        <v>54.692880000000002</v>
      </c>
      <c r="M59" s="30">
        <v>65.892030000000005</v>
      </c>
      <c r="N59" s="30"/>
      <c r="O59" s="102">
        <v>2</v>
      </c>
      <c r="P59" s="33" t="s">
        <v>49</v>
      </c>
      <c r="Q59" s="34">
        <v>272.18342000000001</v>
      </c>
      <c r="R59" s="30">
        <v>7.6195842999999996</v>
      </c>
      <c r="S59" s="64">
        <v>46.132815999999998</v>
      </c>
      <c r="T59" s="35">
        <v>55.074706999999997</v>
      </c>
    </row>
    <row r="60" spans="1:20" s="25" customFormat="1" ht="25.5" x14ac:dyDescent="0.2">
      <c r="A60" s="102">
        <v>3</v>
      </c>
      <c r="B60" s="62" t="s">
        <v>44</v>
      </c>
      <c r="C60" s="63">
        <v>115.13523000000001</v>
      </c>
      <c r="D60" s="64">
        <v>5.5841602000000004</v>
      </c>
      <c r="E60" s="64">
        <v>37.224513999999999</v>
      </c>
      <c r="F60" s="30">
        <v>42.860374</v>
      </c>
      <c r="G60" s="30"/>
      <c r="H60" s="102">
        <v>3</v>
      </c>
      <c r="I60" s="62" t="s">
        <v>43</v>
      </c>
      <c r="J60" s="34">
        <v>89.199744999999993</v>
      </c>
      <c r="K60" s="30">
        <v>5.9059477999999999</v>
      </c>
      <c r="L60" s="64">
        <v>31.777598999999999</v>
      </c>
      <c r="M60" s="30">
        <v>51.290582999999998</v>
      </c>
      <c r="N60" s="30"/>
      <c r="O60" s="102">
        <v>3</v>
      </c>
      <c r="P60" s="33" t="s">
        <v>570</v>
      </c>
      <c r="Q60" s="34">
        <v>188.83452</v>
      </c>
      <c r="R60" s="30">
        <v>5.2862901000000004</v>
      </c>
      <c r="S60" s="64">
        <v>32.005873999999999</v>
      </c>
      <c r="T60" s="35">
        <v>42.636971000000003</v>
      </c>
    </row>
    <row r="61" spans="1:20" s="25" customFormat="1" ht="25.5" x14ac:dyDescent="0.2">
      <c r="A61" s="102">
        <v>4</v>
      </c>
      <c r="B61" s="62" t="s">
        <v>570</v>
      </c>
      <c r="C61" s="63">
        <v>114.18668</v>
      </c>
      <c r="D61" s="64">
        <v>5.5381545000000001</v>
      </c>
      <c r="E61" s="64">
        <v>36.917836000000001</v>
      </c>
      <c r="F61" s="30">
        <v>51.774538</v>
      </c>
      <c r="G61" s="30"/>
      <c r="H61" s="102">
        <v>4</v>
      </c>
      <c r="I61" s="62" t="s">
        <v>570</v>
      </c>
      <c r="J61" s="34">
        <v>74.647836999999996</v>
      </c>
      <c r="K61" s="30">
        <v>4.9424606000000004</v>
      </c>
      <c r="L61" s="64">
        <v>26.593451000000002</v>
      </c>
      <c r="M61" s="30">
        <v>34.496462999999999</v>
      </c>
      <c r="N61" s="30"/>
      <c r="O61" s="102">
        <v>4</v>
      </c>
      <c r="P61" s="33" t="s">
        <v>44</v>
      </c>
      <c r="Q61" s="34">
        <v>175.53171</v>
      </c>
      <c r="R61" s="30">
        <v>4.9138874000000001</v>
      </c>
      <c r="S61" s="64">
        <v>29.751159000000001</v>
      </c>
      <c r="T61" s="35">
        <v>34.627912999999999</v>
      </c>
    </row>
    <row r="62" spans="1:20" s="25" customFormat="1" ht="25.5" x14ac:dyDescent="0.2">
      <c r="A62" s="102">
        <v>5</v>
      </c>
      <c r="B62" s="62" t="s">
        <v>53</v>
      </c>
      <c r="C62" s="63">
        <v>102.67949</v>
      </c>
      <c r="D62" s="64">
        <v>4.9800455000000001</v>
      </c>
      <c r="E62" s="64">
        <v>33.197431999999999</v>
      </c>
      <c r="F62" s="30">
        <v>35.481118000000002</v>
      </c>
      <c r="G62" s="30"/>
      <c r="H62" s="102">
        <v>5</v>
      </c>
      <c r="I62" s="62" t="s">
        <v>45</v>
      </c>
      <c r="J62" s="34">
        <v>72.847074000000006</v>
      </c>
      <c r="K62" s="30">
        <v>4.8232314000000001</v>
      </c>
      <c r="L62" s="64">
        <v>25.951924999999999</v>
      </c>
      <c r="M62" s="30">
        <v>33.879387999999999</v>
      </c>
      <c r="N62" s="30"/>
      <c r="O62" s="102">
        <v>5</v>
      </c>
      <c r="P62" s="33" t="s">
        <v>43</v>
      </c>
      <c r="Q62" s="34">
        <v>148.35900000000001</v>
      </c>
      <c r="R62" s="30">
        <v>4.1532064000000002</v>
      </c>
      <c r="S62" s="64">
        <v>25.145612</v>
      </c>
      <c r="T62" s="35">
        <v>45.558314000000003</v>
      </c>
    </row>
    <row r="63" spans="1:20" s="25" customFormat="1" ht="12.75" x14ac:dyDescent="0.2">
      <c r="A63" s="102">
        <v>6</v>
      </c>
      <c r="B63" s="62" t="s">
        <v>100</v>
      </c>
      <c r="C63" s="63">
        <v>78.213205000000002</v>
      </c>
      <c r="D63" s="64">
        <v>3.7934092000000001</v>
      </c>
      <c r="E63" s="64">
        <v>25.287206999999999</v>
      </c>
      <c r="F63" s="30">
        <v>25.474658000000002</v>
      </c>
      <c r="G63" s="30"/>
      <c r="H63" s="102">
        <v>6</v>
      </c>
      <c r="I63" s="62" t="s">
        <v>44</v>
      </c>
      <c r="J63" s="34">
        <v>60.396478000000002</v>
      </c>
      <c r="K63" s="30">
        <v>3.9988728999999998</v>
      </c>
      <c r="L63" s="64">
        <v>21.516373999999999</v>
      </c>
      <c r="M63" s="30">
        <v>25.096955999999999</v>
      </c>
      <c r="N63" s="30"/>
      <c r="O63" s="102">
        <v>6</v>
      </c>
      <c r="P63" s="33" t="s">
        <v>53</v>
      </c>
      <c r="Q63" s="34">
        <v>138.15044</v>
      </c>
      <c r="R63" s="30">
        <v>3.8674249000000001</v>
      </c>
      <c r="S63" s="64">
        <v>23.415346</v>
      </c>
      <c r="T63" s="35">
        <v>24.465568000000001</v>
      </c>
    </row>
    <row r="64" spans="1:20" s="25" customFormat="1" ht="25.5" x14ac:dyDescent="0.2">
      <c r="A64" s="102">
        <v>7</v>
      </c>
      <c r="B64" s="62" t="s">
        <v>43</v>
      </c>
      <c r="C64" s="63">
        <v>59.159258000000001</v>
      </c>
      <c r="D64" s="64">
        <v>2.8692760000000002</v>
      </c>
      <c r="E64" s="64">
        <v>19.126852</v>
      </c>
      <c r="F64" s="30">
        <v>40.588858999999999</v>
      </c>
      <c r="G64" s="30"/>
      <c r="H64" s="102">
        <v>7</v>
      </c>
      <c r="I64" s="62" t="s">
        <v>63</v>
      </c>
      <c r="J64" s="34">
        <v>42.202572000000004</v>
      </c>
      <c r="K64" s="30">
        <v>2.7942477999999999</v>
      </c>
      <c r="L64" s="64">
        <v>15.034756</v>
      </c>
      <c r="M64" s="30">
        <v>19.772635999999999</v>
      </c>
      <c r="N64" s="30"/>
      <c r="O64" s="102">
        <v>7</v>
      </c>
      <c r="P64" s="33" t="s">
        <v>45</v>
      </c>
      <c r="Q64" s="34">
        <v>125.73586</v>
      </c>
      <c r="R64" s="30">
        <v>3.5198873000000002</v>
      </c>
      <c r="S64" s="64">
        <v>21.311178000000002</v>
      </c>
      <c r="T64" s="35">
        <v>29.731663000000001</v>
      </c>
    </row>
    <row r="65" spans="1:20" s="25" customFormat="1" ht="12.75" x14ac:dyDescent="0.2">
      <c r="A65" s="102">
        <v>8</v>
      </c>
      <c r="B65" s="62" t="s">
        <v>47</v>
      </c>
      <c r="C65" s="63">
        <v>56.335614999999997</v>
      </c>
      <c r="D65" s="64">
        <v>2.7323268999999999</v>
      </c>
      <c r="E65" s="64">
        <v>18.213937000000001</v>
      </c>
      <c r="F65" s="30">
        <v>30.538672999999999</v>
      </c>
      <c r="G65" s="30"/>
      <c r="H65" s="102">
        <v>8</v>
      </c>
      <c r="I65" s="62" t="s">
        <v>48</v>
      </c>
      <c r="J65" s="34">
        <v>39.793280000000003</v>
      </c>
      <c r="K65" s="30">
        <v>2.6347276000000002</v>
      </c>
      <c r="L65" s="64">
        <v>14.176441000000001</v>
      </c>
      <c r="M65" s="30">
        <v>17.889164000000001</v>
      </c>
      <c r="N65" s="30"/>
      <c r="O65" s="102">
        <v>8</v>
      </c>
      <c r="P65" s="33" t="s">
        <v>100</v>
      </c>
      <c r="Q65" s="34">
        <v>115.40433</v>
      </c>
      <c r="R65" s="30">
        <v>3.2306634000000001</v>
      </c>
      <c r="S65" s="64">
        <v>19.56007</v>
      </c>
      <c r="T65" s="35">
        <v>19.592835999999998</v>
      </c>
    </row>
    <row r="66" spans="1:20" s="25" customFormat="1" ht="12.75" x14ac:dyDescent="0.2">
      <c r="A66" s="102">
        <v>9</v>
      </c>
      <c r="B66" s="62" t="s">
        <v>45</v>
      </c>
      <c r="C66" s="63">
        <v>52.888786000000003</v>
      </c>
      <c r="D66" s="64">
        <v>2.5651525999999998</v>
      </c>
      <c r="E66" s="64">
        <v>17.099537999999999</v>
      </c>
      <c r="F66" s="30">
        <v>24.899730000000002</v>
      </c>
      <c r="G66" s="30"/>
      <c r="H66" s="102">
        <v>9</v>
      </c>
      <c r="I66" s="62" t="s">
        <v>100</v>
      </c>
      <c r="J66" s="34">
        <v>37.191124000000002</v>
      </c>
      <c r="K66" s="30">
        <v>2.4624378999999998</v>
      </c>
      <c r="L66" s="64">
        <v>13.249416999999999</v>
      </c>
      <c r="M66" s="30">
        <v>13.189109999999999</v>
      </c>
      <c r="N66" s="30"/>
      <c r="O66" s="102">
        <v>9</v>
      </c>
      <c r="P66" s="33" t="s">
        <v>63</v>
      </c>
      <c r="Q66" s="34">
        <v>74.136437999999998</v>
      </c>
      <c r="R66" s="30">
        <v>2.0753976999999999</v>
      </c>
      <c r="S66" s="64">
        <v>12.565507</v>
      </c>
      <c r="T66" s="35">
        <v>17.339136</v>
      </c>
    </row>
    <row r="67" spans="1:20" s="25" customFormat="1" ht="12.75" x14ac:dyDescent="0.2">
      <c r="A67" s="102">
        <v>10</v>
      </c>
      <c r="B67" s="62" t="s">
        <v>50</v>
      </c>
      <c r="C67" s="63">
        <v>41.249633000000003</v>
      </c>
      <c r="D67" s="64">
        <v>2.0006434999999998</v>
      </c>
      <c r="E67" s="64">
        <v>13.336468999999999</v>
      </c>
      <c r="F67" s="30">
        <v>17.844887</v>
      </c>
      <c r="G67" s="30"/>
      <c r="H67" s="102">
        <v>10</v>
      </c>
      <c r="I67" s="62" t="s">
        <v>53</v>
      </c>
      <c r="J67" s="34">
        <v>35.470953999999999</v>
      </c>
      <c r="K67" s="30">
        <v>2.3485448</v>
      </c>
      <c r="L67" s="64">
        <v>12.636602999999999</v>
      </c>
      <c r="M67" s="30">
        <v>12.606453999999999</v>
      </c>
      <c r="N67" s="30"/>
      <c r="O67" s="102">
        <v>10</v>
      </c>
      <c r="P67" s="33" t="s">
        <v>50</v>
      </c>
      <c r="Q67" s="34">
        <v>71.876366000000004</v>
      </c>
      <c r="R67" s="30">
        <v>2.0121285000000002</v>
      </c>
      <c r="S67" s="64">
        <v>12.182444</v>
      </c>
      <c r="T67" s="35">
        <v>17.371635999999999</v>
      </c>
    </row>
    <row r="68" spans="1:20" s="43" customFormat="1" ht="15" customHeight="1" x14ac:dyDescent="0.2">
      <c r="A68" s="40"/>
      <c r="B68" s="147" t="s">
        <v>561</v>
      </c>
      <c r="C68" s="66">
        <v>1040.2385569999999</v>
      </c>
      <c r="D68" s="67">
        <v>50.5</v>
      </c>
      <c r="E68" s="67" t="s">
        <v>70</v>
      </c>
      <c r="F68" s="42" t="s">
        <v>70</v>
      </c>
      <c r="G68" s="38"/>
      <c r="H68" s="40"/>
      <c r="I68" s="147" t="s">
        <v>561</v>
      </c>
      <c r="J68" s="66">
        <v>759.28558400000009</v>
      </c>
      <c r="K68" s="67">
        <v>50.3</v>
      </c>
      <c r="L68" s="67" t="s">
        <v>70</v>
      </c>
      <c r="M68" s="42" t="s">
        <v>70</v>
      </c>
      <c r="N68" s="38"/>
      <c r="O68" s="40"/>
      <c r="P68" s="147" t="s">
        <v>561</v>
      </c>
      <c r="Q68" s="66">
        <v>1765.9558440000001</v>
      </c>
      <c r="R68" s="67">
        <v>49.4</v>
      </c>
      <c r="S68" s="67" t="s">
        <v>70</v>
      </c>
      <c r="T68" s="42" t="s">
        <v>70</v>
      </c>
    </row>
    <row r="69" spans="1:20" s="54" customFormat="1" ht="15" customHeight="1" x14ac:dyDescent="0.2">
      <c r="A69" s="50"/>
      <c r="B69" s="68" t="s">
        <v>67</v>
      </c>
      <c r="C69" s="69">
        <v>2061.8182999999999</v>
      </c>
      <c r="D69" s="70">
        <v>100</v>
      </c>
      <c r="E69" s="70">
        <v>666.60900000000004</v>
      </c>
      <c r="F69" s="53">
        <v>869.02808000000005</v>
      </c>
      <c r="G69" s="48"/>
      <c r="H69" s="50"/>
      <c r="I69" s="51" t="s">
        <v>67</v>
      </c>
      <c r="J69" s="52">
        <v>1510.3375000000001</v>
      </c>
      <c r="K69" s="48">
        <v>100</v>
      </c>
      <c r="L69" s="70">
        <v>538.06095000000005</v>
      </c>
      <c r="M69" s="53">
        <v>685.80098999999996</v>
      </c>
      <c r="N69" s="48"/>
      <c r="O69" s="50"/>
      <c r="P69" s="51" t="s">
        <v>67</v>
      </c>
      <c r="Q69" s="52">
        <v>3572.1558</v>
      </c>
      <c r="R69" s="48">
        <v>100</v>
      </c>
      <c r="S69" s="70">
        <v>605.45056999999997</v>
      </c>
      <c r="T69" s="53">
        <v>779.04619000000002</v>
      </c>
    </row>
    <row r="70" spans="1:20" ht="15" customHeight="1" x14ac:dyDescent="0.2">
      <c r="A70" s="74" t="s">
        <v>238</v>
      </c>
      <c r="B70" s="75"/>
      <c r="C70" s="76"/>
      <c r="D70" s="77"/>
      <c r="E70" s="77"/>
      <c r="F70" s="78"/>
      <c r="G70" s="79"/>
      <c r="H70" s="74"/>
      <c r="I70" s="75"/>
      <c r="J70" s="76"/>
      <c r="K70" s="77"/>
      <c r="L70" s="77"/>
      <c r="M70" s="78"/>
      <c r="N70" s="79"/>
      <c r="O70" s="74"/>
      <c r="P70" s="80"/>
      <c r="Q70" s="81"/>
      <c r="R70" s="82"/>
      <c r="S70" s="77"/>
      <c r="T70" s="83"/>
    </row>
    <row r="71" spans="1:20" ht="15" customHeight="1" x14ac:dyDescent="0.2">
      <c r="A71" s="95" t="s">
        <v>239</v>
      </c>
      <c r="B71" s="85"/>
      <c r="C71" s="86"/>
      <c r="D71" s="87"/>
      <c r="E71" s="87"/>
      <c r="F71" s="89"/>
      <c r="G71" s="20"/>
      <c r="H71" s="95"/>
      <c r="I71" s="85"/>
      <c r="J71" s="86"/>
      <c r="K71" s="87"/>
      <c r="L71" s="87"/>
      <c r="M71" s="89"/>
      <c r="N71" s="20"/>
      <c r="O71" s="95"/>
      <c r="S71" s="87"/>
    </row>
    <row r="72" spans="1:20" s="28" customFormat="1" ht="15" customHeight="1" x14ac:dyDescent="0.2">
      <c r="A72" s="84" t="s">
        <v>4</v>
      </c>
      <c r="B72" s="85"/>
      <c r="C72" s="86"/>
      <c r="D72" s="87"/>
      <c r="E72" s="87"/>
      <c r="F72" s="87"/>
      <c r="G72" s="87"/>
      <c r="H72" s="84"/>
      <c r="I72" s="85"/>
      <c r="J72" s="88"/>
      <c r="K72" s="89"/>
      <c r="L72" s="87"/>
      <c r="M72" s="89"/>
      <c r="N72" s="86"/>
      <c r="O72" s="84"/>
      <c r="P72" s="101"/>
      <c r="Q72" s="90"/>
      <c r="R72" s="91"/>
      <c r="S72" s="87"/>
      <c r="T72" s="91"/>
    </row>
    <row r="73" spans="1:20" s="93" customFormat="1" ht="30" customHeight="1" x14ac:dyDescent="0.2">
      <c r="A73" s="617" t="s">
        <v>267</v>
      </c>
      <c r="B73" s="605"/>
      <c r="C73" s="605"/>
      <c r="D73" s="605"/>
      <c r="E73" s="605"/>
      <c r="F73" s="605"/>
      <c r="G73" s="605"/>
      <c r="H73" s="605"/>
      <c r="I73" s="605"/>
      <c r="J73" s="605"/>
      <c r="K73" s="605"/>
      <c r="L73" s="605"/>
      <c r="M73" s="605"/>
      <c r="N73" s="605"/>
      <c r="O73" s="605"/>
      <c r="P73" s="118"/>
    </row>
    <row r="74" spans="1:20" s="93" customFormat="1" ht="15" customHeight="1" x14ac:dyDescent="0.2">
      <c r="A74" s="617" t="s">
        <v>251</v>
      </c>
      <c r="B74" s="605"/>
      <c r="C74" s="605"/>
      <c r="D74" s="605"/>
      <c r="E74" s="605"/>
      <c r="F74" s="605"/>
      <c r="G74" s="605"/>
      <c r="H74" s="605"/>
      <c r="I74" s="605"/>
      <c r="J74" s="605"/>
      <c r="K74" s="605"/>
      <c r="L74" s="605"/>
      <c r="M74" s="605"/>
      <c r="N74" s="605"/>
      <c r="O74" s="605"/>
      <c r="P74" s="118"/>
    </row>
    <row r="75" spans="1:20" s="93" customFormat="1" ht="30" customHeight="1" x14ac:dyDescent="0.2">
      <c r="A75" s="617" t="s">
        <v>98</v>
      </c>
      <c r="B75" s="605"/>
      <c r="C75" s="605"/>
      <c r="D75" s="605"/>
      <c r="E75" s="605"/>
      <c r="F75" s="605"/>
      <c r="G75" s="605"/>
      <c r="H75" s="605"/>
      <c r="I75" s="605"/>
      <c r="J75" s="605"/>
      <c r="K75" s="605"/>
      <c r="L75" s="605"/>
      <c r="M75" s="605"/>
      <c r="N75" s="605"/>
      <c r="O75" s="605"/>
      <c r="P75" s="118"/>
    </row>
    <row r="76" spans="1:20" s="94" customFormat="1" ht="30" customHeight="1" x14ac:dyDescent="0.2">
      <c r="A76" s="617" t="s">
        <v>573</v>
      </c>
      <c r="B76" s="605"/>
      <c r="C76" s="605"/>
      <c r="D76" s="605"/>
      <c r="E76" s="605"/>
      <c r="F76" s="605"/>
      <c r="G76" s="605"/>
      <c r="H76" s="605"/>
      <c r="I76" s="605"/>
      <c r="J76" s="605"/>
      <c r="K76" s="605"/>
      <c r="L76" s="605"/>
      <c r="M76" s="605"/>
      <c r="N76" s="605"/>
      <c r="O76" s="605"/>
      <c r="P76" s="142"/>
    </row>
    <row r="77" spans="1:20" s="29" customFormat="1" ht="15" customHeight="1" x14ac:dyDescent="0.2">
      <c r="A77" s="95" t="s">
        <v>99</v>
      </c>
      <c r="B77" s="141"/>
      <c r="C77" s="89"/>
      <c r="D77" s="96"/>
      <c r="E77" s="97"/>
      <c r="F77" s="86"/>
      <c r="G77" s="89"/>
      <c r="H77" s="95"/>
      <c r="I77" s="85"/>
      <c r="J77" s="90"/>
      <c r="P77" s="143"/>
    </row>
    <row r="78" spans="1:20" ht="15" customHeight="1" x14ac:dyDescent="0.2">
      <c r="G78" s="92"/>
      <c r="I78" s="98"/>
      <c r="K78" s="29"/>
    </row>
    <row r="79" spans="1:20" ht="15" customHeight="1" x14ac:dyDescent="0.2">
      <c r="B79" s="99"/>
    </row>
  </sheetData>
  <mergeCells count="4">
    <mergeCell ref="A76:O76"/>
    <mergeCell ref="A73:O73"/>
    <mergeCell ref="A74:O74"/>
    <mergeCell ref="A75:O75"/>
  </mergeCells>
  <hyperlinks>
    <hyperlink ref="A2" location="Contents!A1" display="Back to contents" xr:uid="{E6BDD4C5-BE78-41DE-8B91-3D04B726D5F4}"/>
  </hyperlinks>
  <pageMargins left="0.7" right="0.7" top="0.75" bottom="0.75" header="0.3" footer="0.3"/>
  <pageSetup paperSize="9" orientation="portrait" horizontalDpi="4294967292"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6B34-4E3B-4E48-8DD2-23703B4BA83F}">
  <dimension ref="A1:AD59"/>
  <sheetViews>
    <sheetView zoomScaleNormal="100" workbookViewId="0">
      <pane ySplit="4" topLeftCell="A5" activePane="bottomLeft" state="frozen"/>
      <selection pane="bottomLeft" activeCell="A5" sqref="A5"/>
    </sheetView>
  </sheetViews>
  <sheetFormatPr defaultRowHeight="15" customHeight="1" x14ac:dyDescent="0.2"/>
  <cols>
    <col min="1" max="1" width="6.625" style="267" customWidth="1"/>
    <col min="2" max="2" width="28" style="267" customWidth="1"/>
    <col min="3" max="3" width="7.625" style="267" customWidth="1"/>
    <col min="4" max="4" width="7.625" style="435" customWidth="1"/>
    <col min="5" max="5" width="8.625" style="435" customWidth="1"/>
    <col min="6" max="6" width="8.625" style="267" customWidth="1"/>
    <col min="7" max="7" width="2.625" style="267" customWidth="1"/>
    <col min="8" max="8" width="28" style="267" customWidth="1"/>
    <col min="9" max="9" width="7.625" style="267" customWidth="1"/>
    <col min="10" max="10" width="7.625" style="435" customWidth="1"/>
    <col min="11" max="11" width="8.625" style="435" customWidth="1"/>
    <col min="12" max="12" width="8.625" style="267" customWidth="1"/>
    <col min="13" max="13" width="2.625" style="267" customWidth="1"/>
    <col min="14" max="14" width="28" style="267" customWidth="1"/>
    <col min="15" max="15" width="7.625" style="267" customWidth="1"/>
    <col min="16" max="16" width="7.625" style="435" customWidth="1"/>
    <col min="17" max="17" width="8.625" style="435" customWidth="1"/>
    <col min="18" max="18" width="8.625" style="267" customWidth="1"/>
    <col min="19" max="19" width="2.625" style="267" customWidth="1"/>
    <col min="20" max="20" width="28" style="267" customWidth="1"/>
    <col min="21" max="22" width="7.625" style="267" customWidth="1"/>
    <col min="23" max="24" width="8.625" style="267" customWidth="1"/>
    <col min="25" max="25" width="2.625" style="267" customWidth="1"/>
    <col min="26" max="26" width="28" style="267" customWidth="1"/>
    <col min="27" max="28" width="7.625" style="267" customWidth="1"/>
    <col min="29" max="30" width="8.625" style="267" customWidth="1"/>
    <col min="31" max="16384" width="9" style="267"/>
  </cols>
  <sheetData>
    <row r="1" spans="1:30" ht="15" customHeight="1" x14ac:dyDescent="0.2">
      <c r="A1" s="444" t="s">
        <v>625</v>
      </c>
      <c r="B1" s="444"/>
      <c r="C1" s="445"/>
      <c r="D1" s="446"/>
      <c r="E1" s="446"/>
      <c r="F1" s="447"/>
      <c r="G1" s="447"/>
      <c r="H1" s="444"/>
      <c r="I1" s="448"/>
      <c r="J1" s="449"/>
      <c r="K1" s="449"/>
      <c r="L1" s="447"/>
      <c r="M1" s="447"/>
      <c r="N1" s="444"/>
      <c r="O1" s="448"/>
      <c r="P1" s="449"/>
      <c r="Q1" s="449"/>
      <c r="R1" s="447"/>
      <c r="T1" s="444"/>
      <c r="Z1" s="444"/>
    </row>
    <row r="2" spans="1:30" s="199" customFormat="1" ht="15" customHeight="1" x14ac:dyDescent="0.2">
      <c r="A2" s="500" t="s">
        <v>585</v>
      </c>
    </row>
    <row r="3" spans="1:30" ht="15" customHeight="1" x14ac:dyDescent="0.2">
      <c r="A3" s="450"/>
      <c r="B3" s="451"/>
      <c r="C3" s="621" t="s">
        <v>627</v>
      </c>
      <c r="D3" s="621"/>
      <c r="E3" s="621"/>
      <c r="F3" s="621"/>
      <c r="G3" s="452"/>
      <c r="H3" s="451"/>
      <c r="I3" s="621" t="s">
        <v>626</v>
      </c>
      <c r="J3" s="621"/>
      <c r="K3" s="621"/>
      <c r="L3" s="621"/>
      <c r="M3" s="452"/>
      <c r="N3" s="451"/>
      <c r="O3" s="621" t="s">
        <v>628</v>
      </c>
      <c r="P3" s="621"/>
      <c r="Q3" s="621"/>
      <c r="R3" s="621"/>
      <c r="S3" s="452"/>
      <c r="T3" s="451"/>
      <c r="U3" s="621" t="s">
        <v>258</v>
      </c>
      <c r="V3" s="621"/>
      <c r="W3" s="621"/>
      <c r="X3" s="621"/>
      <c r="Y3" s="452"/>
      <c r="Z3" s="451"/>
      <c r="AA3" s="621" t="s">
        <v>629</v>
      </c>
      <c r="AB3" s="621"/>
      <c r="AC3" s="621"/>
      <c r="AD3" s="621"/>
    </row>
    <row r="4" spans="1:30" s="157" customFormat="1" ht="38.25" x14ac:dyDescent="0.2">
      <c r="A4" s="160" t="s">
        <v>338</v>
      </c>
      <c r="B4" s="160" t="s">
        <v>40</v>
      </c>
      <c r="C4" s="161" t="s">
        <v>41</v>
      </c>
      <c r="D4" s="162" t="s">
        <v>38</v>
      </c>
      <c r="E4" s="162" t="s">
        <v>134</v>
      </c>
      <c r="F4" s="161" t="s">
        <v>136</v>
      </c>
      <c r="G4" s="161"/>
      <c r="H4" s="160" t="s">
        <v>40</v>
      </c>
      <c r="I4" s="161" t="s">
        <v>41</v>
      </c>
      <c r="J4" s="162" t="s">
        <v>38</v>
      </c>
      <c r="K4" s="162" t="s">
        <v>134</v>
      </c>
      <c r="L4" s="161" t="s">
        <v>136</v>
      </c>
      <c r="M4" s="161"/>
      <c r="N4" s="160" t="s">
        <v>40</v>
      </c>
      <c r="O4" s="161" t="s">
        <v>41</v>
      </c>
      <c r="P4" s="162" t="s">
        <v>38</v>
      </c>
      <c r="Q4" s="162" t="s">
        <v>134</v>
      </c>
      <c r="R4" s="161" t="s">
        <v>136</v>
      </c>
      <c r="S4" s="161"/>
      <c r="T4" s="160" t="s">
        <v>40</v>
      </c>
      <c r="U4" s="161" t="s">
        <v>41</v>
      </c>
      <c r="V4" s="162" t="s">
        <v>38</v>
      </c>
      <c r="W4" s="162" t="s">
        <v>134</v>
      </c>
      <c r="X4" s="161" t="s">
        <v>136</v>
      </c>
      <c r="Y4" s="161"/>
      <c r="Z4" s="160" t="s">
        <v>40</v>
      </c>
      <c r="AA4" s="161" t="s">
        <v>41</v>
      </c>
      <c r="AB4" s="162" t="s">
        <v>38</v>
      </c>
      <c r="AC4" s="162" t="s">
        <v>134</v>
      </c>
      <c r="AD4" s="161" t="s">
        <v>136</v>
      </c>
    </row>
    <row r="5" spans="1:30" ht="15" customHeight="1" x14ac:dyDescent="0.2">
      <c r="A5" s="414" t="s">
        <v>2</v>
      </c>
      <c r="B5" s="438"/>
      <c r="C5" s="242"/>
      <c r="D5" s="439"/>
      <c r="E5" s="439"/>
      <c r="F5" s="242"/>
      <c r="G5" s="242"/>
      <c r="H5" s="438"/>
      <c r="I5" s="242"/>
      <c r="J5" s="439"/>
      <c r="K5" s="439"/>
      <c r="L5" s="242"/>
      <c r="M5" s="242"/>
      <c r="N5" s="438"/>
      <c r="O5" s="242"/>
      <c r="P5" s="439"/>
      <c r="Q5" s="439"/>
      <c r="R5" s="242"/>
      <c r="S5" s="242"/>
      <c r="T5" s="438"/>
      <c r="U5" s="242"/>
      <c r="V5" s="242"/>
      <c r="W5" s="242"/>
      <c r="X5" s="242"/>
      <c r="Y5" s="242"/>
      <c r="Z5" s="438"/>
      <c r="AA5" s="242"/>
      <c r="AB5" s="242"/>
      <c r="AC5" s="242"/>
      <c r="AD5" s="242"/>
    </row>
    <row r="6" spans="1:30" s="265" customFormat="1" ht="15" customHeight="1" x14ac:dyDescent="0.2">
      <c r="A6" s="442">
        <v>1</v>
      </c>
      <c r="B6" s="62" t="s">
        <v>581</v>
      </c>
      <c r="C6" s="231">
        <v>9310.2179899000002</v>
      </c>
      <c r="D6" s="232">
        <v>8.5</v>
      </c>
      <c r="E6" s="232">
        <v>17.7</v>
      </c>
      <c r="F6" s="232">
        <v>15.3</v>
      </c>
      <c r="G6" s="232"/>
      <c r="H6" s="62" t="s">
        <v>581</v>
      </c>
      <c r="I6" s="231">
        <v>3498.326513</v>
      </c>
      <c r="J6" s="232">
        <v>8.6999999999999993</v>
      </c>
      <c r="K6" s="232">
        <v>27.9</v>
      </c>
      <c r="L6" s="232">
        <v>18.5</v>
      </c>
      <c r="M6" s="232"/>
      <c r="N6" s="62" t="s">
        <v>581</v>
      </c>
      <c r="O6" s="231">
        <v>1946.7462951</v>
      </c>
      <c r="P6" s="232">
        <v>9.8000000000000007</v>
      </c>
      <c r="Q6" s="232">
        <v>33.799999999999997</v>
      </c>
      <c r="R6" s="232">
        <v>23</v>
      </c>
      <c r="S6" s="233"/>
      <c r="T6" s="415" t="s">
        <v>547</v>
      </c>
      <c r="U6" s="234">
        <v>341.68913739999999</v>
      </c>
      <c r="V6" s="233">
        <v>11.6</v>
      </c>
      <c r="W6" s="233">
        <v>40</v>
      </c>
      <c r="X6" s="233">
        <v>33.1</v>
      </c>
      <c r="Y6" s="233"/>
      <c r="Z6" s="415" t="s">
        <v>547</v>
      </c>
      <c r="AA6" s="234">
        <v>314.02006460000001</v>
      </c>
      <c r="AB6" s="233">
        <v>13.8</v>
      </c>
      <c r="AC6" s="233">
        <v>55.1</v>
      </c>
      <c r="AD6" s="233">
        <v>54.9</v>
      </c>
    </row>
    <row r="7" spans="1:30" s="265" customFormat="1" ht="15" customHeight="1" x14ac:dyDescent="0.2">
      <c r="A7" s="442">
        <v>2</v>
      </c>
      <c r="B7" s="415" t="s">
        <v>126</v>
      </c>
      <c r="C7" s="231">
        <v>5470.3502844000004</v>
      </c>
      <c r="D7" s="232">
        <v>5</v>
      </c>
      <c r="E7" s="232">
        <v>10.4</v>
      </c>
      <c r="F7" s="232">
        <v>10.1</v>
      </c>
      <c r="G7" s="232"/>
      <c r="H7" s="415" t="s">
        <v>322</v>
      </c>
      <c r="I7" s="231">
        <v>2059.3707599999998</v>
      </c>
      <c r="J7" s="232">
        <v>5.0999999999999996</v>
      </c>
      <c r="K7" s="232">
        <v>16.399999999999999</v>
      </c>
      <c r="L7" s="232">
        <v>9.6</v>
      </c>
      <c r="M7" s="232"/>
      <c r="N7" s="415" t="s">
        <v>322</v>
      </c>
      <c r="O7" s="231">
        <v>1074.9276804000001</v>
      </c>
      <c r="P7" s="232">
        <v>5.4</v>
      </c>
      <c r="Q7" s="232">
        <v>18.7</v>
      </c>
      <c r="R7" s="232">
        <v>11.4</v>
      </c>
      <c r="S7" s="233"/>
      <c r="T7" s="415" t="s">
        <v>126</v>
      </c>
      <c r="U7" s="234">
        <v>169.6700936</v>
      </c>
      <c r="V7" s="233">
        <v>5.7</v>
      </c>
      <c r="W7" s="233">
        <v>19.899999999999999</v>
      </c>
      <c r="X7" s="233">
        <v>20.8</v>
      </c>
      <c r="Y7" s="233"/>
      <c r="Z7" s="415" t="s">
        <v>117</v>
      </c>
      <c r="AA7" s="234">
        <v>195.1797656</v>
      </c>
      <c r="AB7" s="233">
        <v>8.6</v>
      </c>
      <c r="AC7" s="233">
        <v>34.200000000000003</v>
      </c>
      <c r="AD7" s="233">
        <v>34.200000000000003</v>
      </c>
    </row>
    <row r="8" spans="1:30" s="265" customFormat="1" ht="25.5" x14ac:dyDescent="0.2">
      <c r="A8" s="442">
        <v>3</v>
      </c>
      <c r="B8" s="415" t="s">
        <v>115</v>
      </c>
      <c r="C8" s="231">
        <v>4432.8574570000001</v>
      </c>
      <c r="D8" s="232">
        <v>4.0999999999999996</v>
      </c>
      <c r="E8" s="232">
        <v>8.4</v>
      </c>
      <c r="F8" s="232">
        <v>7.4</v>
      </c>
      <c r="G8" s="232"/>
      <c r="H8" s="415" t="s">
        <v>126</v>
      </c>
      <c r="I8" s="231">
        <v>1985.0515175999999</v>
      </c>
      <c r="J8" s="232">
        <v>4.9000000000000004</v>
      </c>
      <c r="K8" s="232">
        <v>15.8</v>
      </c>
      <c r="L8" s="232">
        <v>16.2</v>
      </c>
      <c r="M8" s="232"/>
      <c r="N8" s="415" t="s">
        <v>126</v>
      </c>
      <c r="O8" s="231">
        <v>994.10947569999996</v>
      </c>
      <c r="P8" s="232">
        <v>5</v>
      </c>
      <c r="Q8" s="232">
        <v>17.3</v>
      </c>
      <c r="R8" s="232">
        <v>17.5</v>
      </c>
      <c r="S8" s="233"/>
      <c r="T8" s="415" t="s">
        <v>117</v>
      </c>
      <c r="U8" s="234">
        <v>152.07843550000001</v>
      </c>
      <c r="V8" s="233">
        <v>5.0999999999999996</v>
      </c>
      <c r="W8" s="233">
        <v>17.8</v>
      </c>
      <c r="X8" s="233">
        <v>14.8</v>
      </c>
      <c r="Y8" s="233"/>
      <c r="Z8" s="415" t="s">
        <v>126</v>
      </c>
      <c r="AA8" s="234">
        <v>129.8186287</v>
      </c>
      <c r="AB8" s="233">
        <v>5.7</v>
      </c>
      <c r="AC8" s="233">
        <v>22.8</v>
      </c>
      <c r="AD8" s="233">
        <v>23.2</v>
      </c>
    </row>
    <row r="9" spans="1:30" s="265" customFormat="1" ht="25.5" x14ac:dyDescent="0.2">
      <c r="A9" s="442">
        <v>4</v>
      </c>
      <c r="B9" s="415" t="s">
        <v>322</v>
      </c>
      <c r="C9" s="231">
        <v>3669.9925588000001</v>
      </c>
      <c r="D9" s="232">
        <v>3.4</v>
      </c>
      <c r="E9" s="232">
        <v>7</v>
      </c>
      <c r="F9" s="232">
        <v>5.8</v>
      </c>
      <c r="G9" s="232"/>
      <c r="H9" s="415" t="s">
        <v>115</v>
      </c>
      <c r="I9" s="231">
        <v>1592.9782508000001</v>
      </c>
      <c r="J9" s="232">
        <v>4</v>
      </c>
      <c r="K9" s="232">
        <v>12.7</v>
      </c>
      <c r="L9" s="232">
        <v>8.5</v>
      </c>
      <c r="M9" s="232"/>
      <c r="N9" s="415" t="s">
        <v>115</v>
      </c>
      <c r="O9" s="231">
        <v>739.14734680000004</v>
      </c>
      <c r="P9" s="232">
        <v>3.7</v>
      </c>
      <c r="Q9" s="232">
        <v>12.8</v>
      </c>
      <c r="R9" s="232">
        <v>8.9</v>
      </c>
      <c r="S9" s="233"/>
      <c r="T9" s="415" t="s">
        <v>128</v>
      </c>
      <c r="U9" s="234">
        <v>135.6037469</v>
      </c>
      <c r="V9" s="233">
        <v>4.5999999999999996</v>
      </c>
      <c r="W9" s="233">
        <v>15.9</v>
      </c>
      <c r="X9" s="233">
        <v>16.5</v>
      </c>
      <c r="Y9" s="233"/>
      <c r="Z9" s="415" t="s">
        <v>128</v>
      </c>
      <c r="AA9" s="234">
        <v>120.84750699999999</v>
      </c>
      <c r="AB9" s="233">
        <v>5.3</v>
      </c>
      <c r="AC9" s="233">
        <v>21.2</v>
      </c>
      <c r="AD9" s="233">
        <v>21.3</v>
      </c>
    </row>
    <row r="10" spans="1:30" s="265" customFormat="1" ht="15" customHeight="1" x14ac:dyDescent="0.2">
      <c r="A10" s="442">
        <v>5</v>
      </c>
      <c r="B10" s="415" t="s">
        <v>120</v>
      </c>
      <c r="C10" s="231">
        <v>3555.6797685000001</v>
      </c>
      <c r="D10" s="232">
        <v>3.3</v>
      </c>
      <c r="E10" s="232">
        <v>6.7</v>
      </c>
      <c r="F10" s="232">
        <v>5.8</v>
      </c>
      <c r="G10" s="232"/>
      <c r="H10" s="415" t="s">
        <v>120</v>
      </c>
      <c r="I10" s="231">
        <v>1223.7945712000001</v>
      </c>
      <c r="J10" s="232">
        <v>3</v>
      </c>
      <c r="K10" s="232">
        <v>9.8000000000000007</v>
      </c>
      <c r="L10" s="232">
        <v>6.3</v>
      </c>
      <c r="M10" s="232"/>
      <c r="N10" s="415" t="s">
        <v>128</v>
      </c>
      <c r="O10" s="231">
        <v>664.03777319999995</v>
      </c>
      <c r="P10" s="232">
        <v>3.3</v>
      </c>
      <c r="Q10" s="232">
        <v>11.5</v>
      </c>
      <c r="R10" s="232">
        <v>11.7</v>
      </c>
      <c r="S10" s="233"/>
      <c r="T10" s="415" t="s">
        <v>322</v>
      </c>
      <c r="U10" s="234">
        <v>133.81602480000001</v>
      </c>
      <c r="V10" s="233">
        <v>4.5</v>
      </c>
      <c r="W10" s="233">
        <v>15.7</v>
      </c>
      <c r="X10" s="233">
        <v>12.3</v>
      </c>
      <c r="Y10" s="233"/>
      <c r="Z10" s="415" t="s">
        <v>322</v>
      </c>
      <c r="AA10" s="234">
        <v>104.892976</v>
      </c>
      <c r="AB10" s="233">
        <v>4.5999999999999996</v>
      </c>
      <c r="AC10" s="233">
        <v>18.399999999999999</v>
      </c>
      <c r="AD10" s="233">
        <v>18.899999999999999</v>
      </c>
    </row>
    <row r="11" spans="1:30" s="265" customFormat="1" ht="15" customHeight="1" x14ac:dyDescent="0.2">
      <c r="A11" s="442">
        <v>6</v>
      </c>
      <c r="B11" s="415" t="s">
        <v>313</v>
      </c>
      <c r="C11" s="231">
        <v>3337.4218731000001</v>
      </c>
      <c r="D11" s="232">
        <v>3.1</v>
      </c>
      <c r="E11" s="232">
        <v>6.3</v>
      </c>
      <c r="F11" s="232">
        <v>5.6</v>
      </c>
      <c r="G11" s="232"/>
      <c r="H11" s="415" t="s">
        <v>117</v>
      </c>
      <c r="I11" s="231">
        <v>1183.5327543000001</v>
      </c>
      <c r="J11" s="232">
        <v>2.9</v>
      </c>
      <c r="K11" s="232">
        <v>9.4</v>
      </c>
      <c r="L11" s="232">
        <v>6.1</v>
      </c>
      <c r="M11" s="232"/>
      <c r="N11" s="415" t="s">
        <v>117</v>
      </c>
      <c r="O11" s="231">
        <v>610.78746330000001</v>
      </c>
      <c r="P11" s="232">
        <v>3.1</v>
      </c>
      <c r="Q11" s="232">
        <v>10.6</v>
      </c>
      <c r="R11" s="232">
        <v>7</v>
      </c>
      <c r="S11" s="233"/>
      <c r="T11" s="415" t="s">
        <v>120</v>
      </c>
      <c r="U11" s="234">
        <v>104.3736433</v>
      </c>
      <c r="V11" s="233">
        <v>3.5</v>
      </c>
      <c r="W11" s="233">
        <v>12.2</v>
      </c>
      <c r="X11" s="233">
        <v>10</v>
      </c>
      <c r="Y11" s="233"/>
      <c r="Z11" s="415" t="s">
        <v>120</v>
      </c>
      <c r="AA11" s="234">
        <v>72.179815000000005</v>
      </c>
      <c r="AB11" s="233">
        <v>3.2</v>
      </c>
      <c r="AC11" s="233">
        <v>12.7</v>
      </c>
      <c r="AD11" s="233">
        <v>12.8</v>
      </c>
    </row>
    <row r="12" spans="1:30" s="265" customFormat="1" ht="15" customHeight="1" x14ac:dyDescent="0.2">
      <c r="A12" s="442">
        <v>7</v>
      </c>
      <c r="B12" s="415" t="s">
        <v>117</v>
      </c>
      <c r="C12" s="231">
        <v>3171.4215813000001</v>
      </c>
      <c r="D12" s="232">
        <v>2.9</v>
      </c>
      <c r="E12" s="232">
        <v>6</v>
      </c>
      <c r="F12" s="231">
        <v>5.0999999999999996</v>
      </c>
      <c r="G12" s="232"/>
      <c r="H12" s="415" t="s">
        <v>313</v>
      </c>
      <c r="I12" s="231">
        <v>1123.2636438</v>
      </c>
      <c r="J12" s="232">
        <v>2.8</v>
      </c>
      <c r="K12" s="232">
        <v>9</v>
      </c>
      <c r="L12" s="231">
        <v>6.3</v>
      </c>
      <c r="M12" s="232"/>
      <c r="N12" s="415" t="s">
        <v>120</v>
      </c>
      <c r="O12" s="231">
        <v>595.97220200000004</v>
      </c>
      <c r="P12" s="232">
        <v>3</v>
      </c>
      <c r="Q12" s="232">
        <v>10.3</v>
      </c>
      <c r="R12" s="231">
        <v>6.9</v>
      </c>
      <c r="S12" s="233"/>
      <c r="T12" s="415" t="s">
        <v>115</v>
      </c>
      <c r="U12" s="231">
        <v>80.207624899999999</v>
      </c>
      <c r="V12" s="232">
        <v>2.7</v>
      </c>
      <c r="W12" s="232">
        <v>9.4</v>
      </c>
      <c r="X12" s="231">
        <v>7.5</v>
      </c>
      <c r="Y12" s="233"/>
      <c r="Z12" s="415" t="s">
        <v>118</v>
      </c>
      <c r="AA12" s="231">
        <v>37.488298700000001</v>
      </c>
      <c r="AB12" s="232">
        <v>1.6</v>
      </c>
      <c r="AC12" s="232">
        <v>6.6</v>
      </c>
      <c r="AD12" s="231">
        <v>6.5</v>
      </c>
    </row>
    <row r="13" spans="1:30" s="265" customFormat="1" ht="15" customHeight="1" x14ac:dyDescent="0.2">
      <c r="A13" s="442">
        <v>8</v>
      </c>
      <c r="B13" s="415" t="s">
        <v>130</v>
      </c>
      <c r="C13" s="231">
        <v>2934.5503644999999</v>
      </c>
      <c r="D13" s="232">
        <v>2.7</v>
      </c>
      <c r="E13" s="232">
        <v>5.6</v>
      </c>
      <c r="F13" s="232">
        <v>5.5</v>
      </c>
      <c r="G13" s="232"/>
      <c r="H13" s="415" t="s">
        <v>128</v>
      </c>
      <c r="I13" s="231">
        <v>1023.6890991</v>
      </c>
      <c r="J13" s="232">
        <v>2.5</v>
      </c>
      <c r="K13" s="232">
        <v>8.1999999999999993</v>
      </c>
      <c r="L13" s="232">
        <v>8.1</v>
      </c>
      <c r="M13" s="232"/>
      <c r="N13" s="415" t="s">
        <v>313</v>
      </c>
      <c r="O13" s="231">
        <v>473.79782749999998</v>
      </c>
      <c r="P13" s="232">
        <v>2.4</v>
      </c>
      <c r="Q13" s="232">
        <v>8.1999999999999993</v>
      </c>
      <c r="R13" s="232">
        <v>5.7</v>
      </c>
      <c r="S13" s="233"/>
      <c r="T13" s="415" t="s">
        <v>313</v>
      </c>
      <c r="U13" s="234">
        <v>65.488947600000003</v>
      </c>
      <c r="V13" s="233">
        <v>2.2000000000000002</v>
      </c>
      <c r="W13" s="233">
        <v>7.7</v>
      </c>
      <c r="X13" s="233">
        <v>6.4</v>
      </c>
      <c r="Y13" s="233"/>
      <c r="Z13" s="415" t="s">
        <v>123</v>
      </c>
      <c r="AA13" s="234">
        <v>37.201476800000002</v>
      </c>
      <c r="AB13" s="233">
        <v>1.6</v>
      </c>
      <c r="AC13" s="233">
        <v>6.5</v>
      </c>
      <c r="AD13" s="233">
        <v>6.4</v>
      </c>
    </row>
    <row r="14" spans="1:30" s="265" customFormat="1" ht="15" customHeight="1" x14ac:dyDescent="0.2">
      <c r="A14" s="442">
        <v>9</v>
      </c>
      <c r="B14" s="415" t="s">
        <v>128</v>
      </c>
      <c r="C14" s="231">
        <v>1648.8218738</v>
      </c>
      <c r="D14" s="232">
        <v>1.5</v>
      </c>
      <c r="E14" s="232">
        <v>3.1</v>
      </c>
      <c r="F14" s="231">
        <v>3</v>
      </c>
      <c r="G14" s="232"/>
      <c r="H14" s="415" t="s">
        <v>542</v>
      </c>
      <c r="I14" s="231">
        <v>671.53408720000004</v>
      </c>
      <c r="J14" s="232">
        <v>1.7</v>
      </c>
      <c r="K14" s="232">
        <v>5.4</v>
      </c>
      <c r="L14" s="231">
        <v>3.4</v>
      </c>
      <c r="M14" s="232"/>
      <c r="N14" s="415" t="s">
        <v>318</v>
      </c>
      <c r="O14" s="231">
        <v>312.44640659999999</v>
      </c>
      <c r="P14" s="232">
        <v>1.6</v>
      </c>
      <c r="Q14" s="232">
        <v>5.4</v>
      </c>
      <c r="R14" s="231">
        <v>3.2</v>
      </c>
      <c r="S14" s="233"/>
      <c r="T14" s="415" t="s">
        <v>112</v>
      </c>
      <c r="U14" s="231">
        <v>38.832824899999999</v>
      </c>
      <c r="V14" s="232">
        <v>1.3</v>
      </c>
      <c r="W14" s="232">
        <v>4.5</v>
      </c>
      <c r="X14" s="231">
        <v>4</v>
      </c>
      <c r="Y14" s="233"/>
      <c r="Z14" s="415" t="s">
        <v>115</v>
      </c>
      <c r="AA14" s="231">
        <v>35.809320499999998</v>
      </c>
      <c r="AB14" s="232">
        <v>1.6</v>
      </c>
      <c r="AC14" s="232">
        <v>6.3</v>
      </c>
      <c r="AD14" s="231">
        <v>6.6</v>
      </c>
    </row>
    <row r="15" spans="1:30" s="265" customFormat="1" ht="15" customHeight="1" x14ac:dyDescent="0.2">
      <c r="A15" s="442">
        <v>10</v>
      </c>
      <c r="B15" s="415" t="s">
        <v>318</v>
      </c>
      <c r="C15" s="231">
        <v>1474.4809229</v>
      </c>
      <c r="D15" s="232">
        <v>1.4</v>
      </c>
      <c r="E15" s="232">
        <v>2.8</v>
      </c>
      <c r="F15" s="232">
        <v>2.2999999999999998</v>
      </c>
      <c r="G15" s="232"/>
      <c r="H15" s="415" t="s">
        <v>318</v>
      </c>
      <c r="I15" s="231">
        <v>671.24416220000001</v>
      </c>
      <c r="J15" s="232">
        <v>1.7</v>
      </c>
      <c r="K15" s="232">
        <v>5.4</v>
      </c>
      <c r="L15" s="232">
        <v>3</v>
      </c>
      <c r="M15" s="232"/>
      <c r="N15" s="415" t="s">
        <v>542</v>
      </c>
      <c r="O15" s="231">
        <v>311.12484000000001</v>
      </c>
      <c r="P15" s="232">
        <v>1.6</v>
      </c>
      <c r="Q15" s="232">
        <v>5.4</v>
      </c>
      <c r="R15" s="232">
        <v>3.5</v>
      </c>
      <c r="S15" s="233"/>
      <c r="T15" s="415" t="s">
        <v>118</v>
      </c>
      <c r="U15" s="234">
        <v>37.117613800000001</v>
      </c>
      <c r="V15" s="233">
        <v>1.3</v>
      </c>
      <c r="W15" s="233">
        <v>4.3</v>
      </c>
      <c r="X15" s="233">
        <v>4.0999999999999996</v>
      </c>
      <c r="Y15" s="233"/>
      <c r="Z15" s="415" t="s">
        <v>112</v>
      </c>
      <c r="AA15" s="234">
        <v>35.786880600000003</v>
      </c>
      <c r="AB15" s="233">
        <v>1.6</v>
      </c>
      <c r="AC15" s="233">
        <v>6.3</v>
      </c>
      <c r="AD15" s="233">
        <v>6.3</v>
      </c>
    </row>
    <row r="16" spans="1:30" s="265" customFormat="1" ht="15" customHeight="1" x14ac:dyDescent="0.2">
      <c r="B16" s="415" t="s">
        <v>135</v>
      </c>
      <c r="C16" s="231">
        <v>51270.358016999999</v>
      </c>
      <c r="D16" s="232">
        <v>47</v>
      </c>
      <c r="E16" s="232">
        <v>97.3</v>
      </c>
      <c r="F16" s="232">
        <v>87.1</v>
      </c>
      <c r="G16" s="232"/>
      <c r="H16" s="415" t="s">
        <v>135</v>
      </c>
      <c r="I16" s="231">
        <v>19377.78325</v>
      </c>
      <c r="J16" s="232">
        <v>48.2</v>
      </c>
      <c r="K16" s="232">
        <v>154.69999999999999</v>
      </c>
      <c r="L16" s="232">
        <v>113.2</v>
      </c>
      <c r="M16" s="232"/>
      <c r="N16" s="415" t="s">
        <v>135</v>
      </c>
      <c r="O16" s="231">
        <v>9916.1463096000007</v>
      </c>
      <c r="P16" s="232">
        <v>49.8</v>
      </c>
      <c r="Q16" s="232">
        <v>172.1</v>
      </c>
      <c r="R16" s="232">
        <v>129.80000000000001</v>
      </c>
      <c r="S16" s="233"/>
      <c r="T16" s="415" t="s">
        <v>135</v>
      </c>
      <c r="U16" s="234">
        <v>1617.6702834</v>
      </c>
      <c r="V16" s="233">
        <v>54.7</v>
      </c>
      <c r="W16" s="233">
        <v>189.3</v>
      </c>
      <c r="X16" s="233">
        <v>166.2</v>
      </c>
      <c r="Y16" s="233"/>
      <c r="Z16" s="415" t="s">
        <v>135</v>
      </c>
      <c r="AA16" s="234">
        <v>1393.0421395000001</v>
      </c>
      <c r="AB16" s="233">
        <v>61.3</v>
      </c>
      <c r="AC16" s="233">
        <v>244.4</v>
      </c>
      <c r="AD16" s="233">
        <v>245.3</v>
      </c>
    </row>
    <row r="17" spans="1:30" ht="15" customHeight="1" x14ac:dyDescent="0.2">
      <c r="A17" s="477"/>
      <c r="B17" s="62" t="s">
        <v>574</v>
      </c>
      <c r="C17" s="455">
        <v>57895.921892999999</v>
      </c>
      <c r="D17" s="456">
        <v>53</v>
      </c>
      <c r="E17" s="456">
        <v>109.9</v>
      </c>
      <c r="F17" s="436">
        <v>95.4</v>
      </c>
      <c r="G17" s="436"/>
      <c r="H17" s="62" t="s">
        <v>574</v>
      </c>
      <c r="I17" s="437">
        <v>20819.460055</v>
      </c>
      <c r="J17" s="436">
        <v>51.8</v>
      </c>
      <c r="K17" s="436">
        <v>166.2</v>
      </c>
      <c r="L17" s="436">
        <v>109.5</v>
      </c>
      <c r="M17" s="436"/>
      <c r="N17" s="62" t="s">
        <v>574</v>
      </c>
      <c r="O17" s="437">
        <v>9999.9321474000008</v>
      </c>
      <c r="P17" s="436">
        <v>50.2</v>
      </c>
      <c r="Q17" s="436">
        <v>173.5</v>
      </c>
      <c r="R17" s="436">
        <v>118.2</v>
      </c>
      <c r="S17" s="265"/>
      <c r="T17" s="415" t="s">
        <v>252</v>
      </c>
      <c r="U17" s="478">
        <v>1337.7116530999999</v>
      </c>
      <c r="V17" s="479">
        <v>45.3</v>
      </c>
      <c r="W17" s="479">
        <v>156.5</v>
      </c>
      <c r="X17" s="265">
        <v>128.6</v>
      </c>
      <c r="Y17" s="265"/>
      <c r="Z17" s="62" t="s">
        <v>574</v>
      </c>
      <c r="AA17" s="478">
        <v>880.97425129999999</v>
      </c>
      <c r="AB17" s="479">
        <v>38.700000000000003</v>
      </c>
      <c r="AC17" s="479">
        <v>154.6</v>
      </c>
      <c r="AD17" s="265">
        <v>152.9</v>
      </c>
    </row>
    <row r="18" spans="1:30" s="564" customFormat="1" ht="15" customHeight="1" x14ac:dyDescent="0.2">
      <c r="A18" s="454"/>
      <c r="B18" s="68" t="s">
        <v>575</v>
      </c>
      <c r="C18" s="427">
        <v>109166.27991</v>
      </c>
      <c r="D18" s="428">
        <v>100</v>
      </c>
      <c r="E18" s="428">
        <v>207.2</v>
      </c>
      <c r="F18" s="429">
        <v>182.5</v>
      </c>
      <c r="G18" s="429"/>
      <c r="H18" s="68" t="s">
        <v>575</v>
      </c>
      <c r="I18" s="430">
        <v>40197.243305000004</v>
      </c>
      <c r="J18" s="429">
        <v>100</v>
      </c>
      <c r="K18" s="429">
        <v>320.8</v>
      </c>
      <c r="L18" s="429">
        <v>222.7</v>
      </c>
      <c r="M18" s="429"/>
      <c r="N18" s="68" t="s">
        <v>575</v>
      </c>
      <c r="O18" s="430">
        <v>19916.078457</v>
      </c>
      <c r="P18" s="429">
        <v>100</v>
      </c>
      <c r="Q18" s="429">
        <v>345.6</v>
      </c>
      <c r="R18" s="429">
        <v>248.1</v>
      </c>
      <c r="S18" s="431"/>
      <c r="T18" s="441" t="s">
        <v>255</v>
      </c>
      <c r="U18" s="432">
        <v>2955.3819364999999</v>
      </c>
      <c r="V18" s="433">
        <v>100</v>
      </c>
      <c r="W18" s="433">
        <v>345.8</v>
      </c>
      <c r="X18" s="431">
        <v>294.8</v>
      </c>
      <c r="Y18" s="431"/>
      <c r="Z18" s="68" t="s">
        <v>575</v>
      </c>
      <c r="AA18" s="432">
        <v>2274.0163908</v>
      </c>
      <c r="AB18" s="433">
        <v>100</v>
      </c>
      <c r="AC18" s="433">
        <v>399</v>
      </c>
      <c r="AD18" s="431">
        <v>398.2</v>
      </c>
    </row>
    <row r="19" spans="1:30" ht="15" customHeight="1" x14ac:dyDescent="0.2">
      <c r="A19" s="414" t="s">
        <v>0</v>
      </c>
      <c r="B19" s="438"/>
      <c r="C19" s="242"/>
      <c r="D19" s="439"/>
      <c r="E19" s="439"/>
      <c r="F19" s="439"/>
      <c r="G19" s="242"/>
      <c r="H19" s="438"/>
      <c r="I19" s="242"/>
      <c r="J19" s="439"/>
      <c r="K19" s="439"/>
      <c r="L19" s="242"/>
      <c r="M19" s="242"/>
      <c r="N19" s="438"/>
      <c r="O19" s="242"/>
      <c r="P19" s="439"/>
      <c r="Q19" s="439"/>
      <c r="R19" s="242"/>
      <c r="S19" s="242"/>
      <c r="T19" s="438"/>
      <c r="U19" s="242"/>
      <c r="V19" s="242"/>
      <c r="W19" s="242"/>
      <c r="X19" s="242"/>
      <c r="Y19" s="242"/>
      <c r="Z19" s="438"/>
      <c r="AA19" s="242"/>
      <c r="AB19" s="242"/>
      <c r="AC19" s="242"/>
      <c r="AD19" s="242"/>
    </row>
    <row r="20" spans="1:30" ht="15" customHeight="1" x14ac:dyDescent="0.2">
      <c r="A20" s="442">
        <v>1</v>
      </c>
      <c r="B20" s="62" t="s">
        <v>581</v>
      </c>
      <c r="C20" s="231">
        <v>7326.9483401999996</v>
      </c>
      <c r="D20" s="232">
        <v>11</v>
      </c>
      <c r="E20" s="232">
        <v>27.9</v>
      </c>
      <c r="F20" s="232">
        <v>25.1</v>
      </c>
      <c r="G20" s="232"/>
      <c r="H20" s="62" t="s">
        <v>581</v>
      </c>
      <c r="I20" s="231">
        <v>2689.4745426999998</v>
      </c>
      <c r="J20" s="232">
        <v>10.9</v>
      </c>
      <c r="K20" s="232">
        <v>43</v>
      </c>
      <c r="L20" s="232">
        <v>29.2</v>
      </c>
      <c r="M20" s="232"/>
      <c r="N20" s="62" t="s">
        <v>581</v>
      </c>
      <c r="O20" s="231">
        <v>1438.3566655</v>
      </c>
      <c r="P20" s="232">
        <v>11.4</v>
      </c>
      <c r="Q20" s="232">
        <v>49</v>
      </c>
      <c r="R20" s="232">
        <v>33.5</v>
      </c>
      <c r="S20" s="233"/>
      <c r="T20" s="415" t="s">
        <v>547</v>
      </c>
      <c r="U20" s="234">
        <v>264.6749403</v>
      </c>
      <c r="V20" s="233">
        <v>14.3</v>
      </c>
      <c r="W20" s="233">
        <v>59.6</v>
      </c>
      <c r="X20" s="233">
        <v>48.1</v>
      </c>
      <c r="Y20" s="233"/>
      <c r="Z20" s="415" t="s">
        <v>547</v>
      </c>
      <c r="AA20" s="234">
        <v>215.54551129999999</v>
      </c>
      <c r="AB20" s="233">
        <v>15.8</v>
      </c>
      <c r="AC20" s="233">
        <v>71.900000000000006</v>
      </c>
      <c r="AD20" s="233">
        <v>69.2</v>
      </c>
    </row>
    <row r="21" spans="1:30" ht="15" customHeight="1" x14ac:dyDescent="0.2">
      <c r="A21" s="442">
        <v>2</v>
      </c>
      <c r="B21" s="415" t="s">
        <v>126</v>
      </c>
      <c r="C21" s="231">
        <v>4015.5681165999999</v>
      </c>
      <c r="D21" s="232">
        <v>6</v>
      </c>
      <c r="E21" s="232">
        <v>15.3</v>
      </c>
      <c r="F21" s="232">
        <v>15</v>
      </c>
      <c r="G21" s="232"/>
      <c r="H21" s="415" t="s">
        <v>126</v>
      </c>
      <c r="I21" s="231">
        <v>1528.9662229999999</v>
      </c>
      <c r="J21" s="232">
        <v>6.2</v>
      </c>
      <c r="K21" s="232">
        <v>24.4</v>
      </c>
      <c r="L21" s="232">
        <v>25.1</v>
      </c>
      <c r="M21" s="232"/>
      <c r="N21" s="415" t="s">
        <v>126</v>
      </c>
      <c r="O21" s="231">
        <v>788.71596699999998</v>
      </c>
      <c r="P21" s="232">
        <v>6.2</v>
      </c>
      <c r="Q21" s="232">
        <v>26.9</v>
      </c>
      <c r="R21" s="232">
        <v>27.1</v>
      </c>
      <c r="S21" s="233"/>
      <c r="T21" s="415" t="s">
        <v>126</v>
      </c>
      <c r="U21" s="234">
        <v>141.9959389</v>
      </c>
      <c r="V21" s="233">
        <v>7.7</v>
      </c>
      <c r="W21" s="233">
        <v>32</v>
      </c>
      <c r="X21" s="233">
        <v>33.299999999999997</v>
      </c>
      <c r="Y21" s="233"/>
      <c r="Z21" s="415" t="s">
        <v>126</v>
      </c>
      <c r="AA21" s="234">
        <v>94.753754499999999</v>
      </c>
      <c r="AB21" s="233">
        <v>6.9</v>
      </c>
      <c r="AC21" s="233">
        <v>31.6</v>
      </c>
      <c r="AD21" s="233">
        <v>32.200000000000003</v>
      </c>
    </row>
    <row r="22" spans="1:30" ht="25.5" x14ac:dyDescent="0.2">
      <c r="A22" s="442">
        <v>3</v>
      </c>
      <c r="B22" s="415" t="s">
        <v>115</v>
      </c>
      <c r="C22" s="231">
        <v>2522.0252368000001</v>
      </c>
      <c r="D22" s="232">
        <v>3.8</v>
      </c>
      <c r="E22" s="232">
        <v>9.6</v>
      </c>
      <c r="F22" s="232">
        <v>8.6999999999999993</v>
      </c>
      <c r="G22" s="232"/>
      <c r="H22" s="415" t="s">
        <v>322</v>
      </c>
      <c r="I22" s="231">
        <v>1107.0529081</v>
      </c>
      <c r="J22" s="232">
        <v>4.5</v>
      </c>
      <c r="K22" s="232">
        <v>17.7</v>
      </c>
      <c r="L22" s="232">
        <v>10.5</v>
      </c>
      <c r="M22" s="232"/>
      <c r="N22" s="415" t="s">
        <v>322</v>
      </c>
      <c r="O22" s="231">
        <v>616.34185660000003</v>
      </c>
      <c r="P22" s="232">
        <v>4.9000000000000004</v>
      </c>
      <c r="Q22" s="232">
        <v>21</v>
      </c>
      <c r="R22" s="232">
        <v>12.7</v>
      </c>
      <c r="S22" s="233"/>
      <c r="T22" s="415" t="s">
        <v>128</v>
      </c>
      <c r="U22" s="234">
        <v>107.75113450000001</v>
      </c>
      <c r="V22" s="233">
        <v>5.8</v>
      </c>
      <c r="W22" s="233">
        <v>24.3</v>
      </c>
      <c r="X22" s="233">
        <v>25.3</v>
      </c>
      <c r="Y22" s="233"/>
      <c r="Z22" s="415" t="s">
        <v>117</v>
      </c>
      <c r="AA22" s="234">
        <v>87.088367599999998</v>
      </c>
      <c r="AB22" s="233">
        <v>6.4</v>
      </c>
      <c r="AC22" s="233">
        <v>29</v>
      </c>
      <c r="AD22" s="233">
        <v>28.1</v>
      </c>
    </row>
    <row r="23" spans="1:30" ht="25.5" x14ac:dyDescent="0.2">
      <c r="A23" s="442">
        <v>4</v>
      </c>
      <c r="B23" s="415" t="s">
        <v>117</v>
      </c>
      <c r="C23" s="231">
        <v>2082.7828616000002</v>
      </c>
      <c r="D23" s="232">
        <v>3.1</v>
      </c>
      <c r="E23" s="232">
        <v>7.9</v>
      </c>
      <c r="F23" s="232">
        <v>7.1</v>
      </c>
      <c r="G23" s="232"/>
      <c r="H23" s="415" t="s">
        <v>115</v>
      </c>
      <c r="I23" s="231">
        <v>940.97853380000004</v>
      </c>
      <c r="J23" s="232">
        <v>3.8</v>
      </c>
      <c r="K23" s="232">
        <v>15</v>
      </c>
      <c r="L23" s="232">
        <v>10.1</v>
      </c>
      <c r="M23" s="232"/>
      <c r="N23" s="415" t="s">
        <v>128</v>
      </c>
      <c r="O23" s="231">
        <v>528.16008380000005</v>
      </c>
      <c r="P23" s="232">
        <v>4.2</v>
      </c>
      <c r="Q23" s="232">
        <v>18</v>
      </c>
      <c r="R23" s="232">
        <v>18.2</v>
      </c>
      <c r="S23" s="233"/>
      <c r="T23" s="415" t="s">
        <v>117</v>
      </c>
      <c r="U23" s="234">
        <v>77.875039099999995</v>
      </c>
      <c r="V23" s="233">
        <v>4.2</v>
      </c>
      <c r="W23" s="233">
        <v>17.5</v>
      </c>
      <c r="X23" s="233">
        <v>14.1</v>
      </c>
      <c r="Y23" s="233"/>
      <c r="Z23" s="415" t="s">
        <v>128</v>
      </c>
      <c r="AA23" s="234">
        <v>81.480620000000002</v>
      </c>
      <c r="AB23" s="233">
        <v>6</v>
      </c>
      <c r="AC23" s="233">
        <v>27.2</v>
      </c>
      <c r="AD23" s="233">
        <v>26.9</v>
      </c>
    </row>
    <row r="24" spans="1:30" ht="25.5" x14ac:dyDescent="0.2">
      <c r="A24" s="442">
        <v>5</v>
      </c>
      <c r="B24" s="415" t="s">
        <v>130</v>
      </c>
      <c r="C24" s="231">
        <v>2063.8605679000002</v>
      </c>
      <c r="D24" s="232">
        <v>3.1</v>
      </c>
      <c r="E24" s="232">
        <v>7.9</v>
      </c>
      <c r="F24" s="232">
        <v>7.9</v>
      </c>
      <c r="G24" s="232"/>
      <c r="H24" s="415" t="s">
        <v>117</v>
      </c>
      <c r="I24" s="231">
        <v>772.2847299</v>
      </c>
      <c r="J24" s="232">
        <v>3.1</v>
      </c>
      <c r="K24" s="232">
        <v>12.3</v>
      </c>
      <c r="L24" s="232">
        <v>8.1</v>
      </c>
      <c r="M24" s="232"/>
      <c r="N24" s="415" t="s">
        <v>115</v>
      </c>
      <c r="O24" s="231">
        <v>455.22960399999999</v>
      </c>
      <c r="P24" s="232">
        <v>3.6</v>
      </c>
      <c r="Q24" s="232">
        <v>15.5</v>
      </c>
      <c r="R24" s="232">
        <v>10.5</v>
      </c>
      <c r="S24" s="233"/>
      <c r="T24" s="415" t="s">
        <v>322</v>
      </c>
      <c r="U24" s="234">
        <v>72.084117899999995</v>
      </c>
      <c r="V24" s="233">
        <v>3.9</v>
      </c>
      <c r="W24" s="233">
        <v>16.2</v>
      </c>
      <c r="X24" s="233">
        <v>12.3</v>
      </c>
      <c r="Y24" s="233"/>
      <c r="Z24" s="415" t="s">
        <v>322</v>
      </c>
      <c r="AA24" s="234">
        <v>61.094697199999999</v>
      </c>
      <c r="AB24" s="233">
        <v>4.5</v>
      </c>
      <c r="AC24" s="233">
        <v>20.399999999999999</v>
      </c>
      <c r="AD24" s="233">
        <v>20.5</v>
      </c>
    </row>
    <row r="25" spans="1:30" ht="15" customHeight="1" x14ac:dyDescent="0.2">
      <c r="A25" s="442">
        <v>6</v>
      </c>
      <c r="B25" s="415" t="s">
        <v>322</v>
      </c>
      <c r="C25" s="231">
        <v>1977.4264201999999</v>
      </c>
      <c r="D25" s="232">
        <v>3</v>
      </c>
      <c r="E25" s="232">
        <v>7.5</v>
      </c>
      <c r="F25" s="232">
        <v>6.5</v>
      </c>
      <c r="G25" s="232"/>
      <c r="H25" s="415" t="s">
        <v>128</v>
      </c>
      <c r="I25" s="231">
        <v>771.73792390000006</v>
      </c>
      <c r="J25" s="232">
        <v>3.1</v>
      </c>
      <c r="K25" s="232">
        <v>12.3</v>
      </c>
      <c r="L25" s="232">
        <v>12.2</v>
      </c>
      <c r="M25" s="232"/>
      <c r="N25" s="415" t="s">
        <v>117</v>
      </c>
      <c r="O25" s="231">
        <v>385.9690018</v>
      </c>
      <c r="P25" s="232">
        <v>3</v>
      </c>
      <c r="Q25" s="232">
        <v>13.2</v>
      </c>
      <c r="R25" s="232">
        <v>8.6999999999999993</v>
      </c>
      <c r="S25" s="233"/>
      <c r="T25" s="415" t="s">
        <v>115</v>
      </c>
      <c r="U25" s="234">
        <v>52.949954200000001</v>
      </c>
      <c r="V25" s="233">
        <v>2.9</v>
      </c>
      <c r="W25" s="233">
        <v>11.9</v>
      </c>
      <c r="X25" s="233">
        <v>9.1999999999999993</v>
      </c>
      <c r="Y25" s="233"/>
      <c r="Z25" s="415" t="s">
        <v>120</v>
      </c>
      <c r="AA25" s="234">
        <v>29.129387999999999</v>
      </c>
      <c r="AB25" s="233">
        <v>2.1</v>
      </c>
      <c r="AC25" s="233">
        <v>9.6999999999999993</v>
      </c>
      <c r="AD25" s="233">
        <v>9.6</v>
      </c>
    </row>
    <row r="26" spans="1:30" ht="15" customHeight="1" x14ac:dyDescent="0.2">
      <c r="A26" s="442">
        <v>7</v>
      </c>
      <c r="B26" s="415" t="s">
        <v>120</v>
      </c>
      <c r="C26" s="231">
        <v>1976.6996313</v>
      </c>
      <c r="D26" s="232">
        <v>3</v>
      </c>
      <c r="E26" s="232">
        <v>7.5</v>
      </c>
      <c r="F26" s="231">
        <v>6.7</v>
      </c>
      <c r="G26" s="232"/>
      <c r="H26" s="415" t="s">
        <v>120</v>
      </c>
      <c r="I26" s="231">
        <v>676.39426800000001</v>
      </c>
      <c r="J26" s="232">
        <v>2.7</v>
      </c>
      <c r="K26" s="232">
        <v>10.8</v>
      </c>
      <c r="L26" s="231">
        <v>7.1</v>
      </c>
      <c r="M26" s="232"/>
      <c r="N26" s="415" t="s">
        <v>120</v>
      </c>
      <c r="O26" s="231">
        <v>351.45059220000002</v>
      </c>
      <c r="P26" s="232">
        <v>2.8</v>
      </c>
      <c r="Q26" s="232">
        <v>12</v>
      </c>
      <c r="R26" s="231">
        <v>8</v>
      </c>
      <c r="S26" s="233"/>
      <c r="T26" s="415" t="s">
        <v>120</v>
      </c>
      <c r="U26" s="231">
        <v>49.326120500000002</v>
      </c>
      <c r="V26" s="232">
        <v>2.7</v>
      </c>
      <c r="W26" s="232">
        <v>11.1</v>
      </c>
      <c r="X26" s="231">
        <v>8.6</v>
      </c>
      <c r="Y26" s="233"/>
      <c r="Z26" s="415" t="s">
        <v>115</v>
      </c>
      <c r="AA26" s="231">
        <v>25.816671199999998</v>
      </c>
      <c r="AB26" s="232">
        <v>1.9</v>
      </c>
      <c r="AC26" s="232">
        <v>8.6</v>
      </c>
      <c r="AD26" s="231">
        <v>8.6</v>
      </c>
    </row>
    <row r="27" spans="1:30" ht="15" customHeight="1" x14ac:dyDescent="0.2">
      <c r="A27" s="442">
        <v>8</v>
      </c>
      <c r="B27" s="415" t="s">
        <v>318</v>
      </c>
      <c r="C27" s="231">
        <v>1474.4809229</v>
      </c>
      <c r="D27" s="232">
        <v>2.2000000000000002</v>
      </c>
      <c r="E27" s="232">
        <v>5.6</v>
      </c>
      <c r="F27" s="232">
        <v>4.8</v>
      </c>
      <c r="G27" s="232"/>
      <c r="H27" s="415" t="s">
        <v>318</v>
      </c>
      <c r="I27" s="231">
        <v>671.24416220000001</v>
      </c>
      <c r="J27" s="232">
        <v>2.7</v>
      </c>
      <c r="K27" s="232">
        <v>10.7</v>
      </c>
      <c r="L27" s="232">
        <v>6.1</v>
      </c>
      <c r="M27" s="232"/>
      <c r="N27" s="415" t="s">
        <v>318</v>
      </c>
      <c r="O27" s="231">
        <v>312.44640659999999</v>
      </c>
      <c r="P27" s="232">
        <v>2.5</v>
      </c>
      <c r="Q27" s="232">
        <v>10.6</v>
      </c>
      <c r="R27" s="232">
        <v>6.2</v>
      </c>
      <c r="S27" s="233"/>
      <c r="T27" s="415" t="s">
        <v>318</v>
      </c>
      <c r="U27" s="234">
        <v>35.127863099999999</v>
      </c>
      <c r="V27" s="233">
        <v>1.9</v>
      </c>
      <c r="W27" s="233">
        <v>7.9</v>
      </c>
      <c r="X27" s="233">
        <v>5.8</v>
      </c>
      <c r="Y27" s="233"/>
      <c r="Z27" s="415" t="s">
        <v>112</v>
      </c>
      <c r="AA27" s="234">
        <v>21.6814182</v>
      </c>
      <c r="AB27" s="233">
        <v>1.6</v>
      </c>
      <c r="AC27" s="233">
        <v>7.2</v>
      </c>
      <c r="AD27" s="233">
        <v>7.1</v>
      </c>
    </row>
    <row r="28" spans="1:30" ht="15" customHeight="1" x14ac:dyDescent="0.2">
      <c r="A28" s="442">
        <v>9</v>
      </c>
      <c r="B28" s="415" t="s">
        <v>128</v>
      </c>
      <c r="C28" s="231">
        <v>1327.8702378</v>
      </c>
      <c r="D28" s="232">
        <v>2</v>
      </c>
      <c r="E28" s="232">
        <v>5.0999999999999996</v>
      </c>
      <c r="F28" s="231">
        <v>5</v>
      </c>
      <c r="G28" s="232"/>
      <c r="H28" s="415" t="s">
        <v>542</v>
      </c>
      <c r="I28" s="231">
        <v>477.36136829999998</v>
      </c>
      <c r="J28" s="232">
        <v>1.9</v>
      </c>
      <c r="K28" s="232">
        <v>7.6</v>
      </c>
      <c r="L28" s="231">
        <v>4.8</v>
      </c>
      <c r="M28" s="232"/>
      <c r="N28" s="415" t="s">
        <v>542</v>
      </c>
      <c r="O28" s="231">
        <v>222.32041219999999</v>
      </c>
      <c r="P28" s="232">
        <v>1.8</v>
      </c>
      <c r="Q28" s="232">
        <v>7.6</v>
      </c>
      <c r="R28" s="231">
        <v>4.8</v>
      </c>
      <c r="S28" s="233"/>
      <c r="T28" s="415" t="s">
        <v>112</v>
      </c>
      <c r="U28" s="231">
        <v>23.770822599999999</v>
      </c>
      <c r="V28" s="232">
        <v>1.3</v>
      </c>
      <c r="W28" s="232">
        <v>5.4</v>
      </c>
      <c r="X28" s="231">
        <v>4.8</v>
      </c>
      <c r="Y28" s="233"/>
      <c r="Z28" s="415" t="s">
        <v>132</v>
      </c>
      <c r="AA28" s="231">
        <v>20.0684836</v>
      </c>
      <c r="AB28" s="232">
        <v>1.5</v>
      </c>
      <c r="AC28" s="232">
        <v>6.7</v>
      </c>
      <c r="AD28" s="231">
        <v>6.6</v>
      </c>
    </row>
    <row r="29" spans="1:30" ht="15" customHeight="1" x14ac:dyDescent="0.2">
      <c r="A29" s="442">
        <v>10</v>
      </c>
      <c r="B29" s="415" t="s">
        <v>542</v>
      </c>
      <c r="C29" s="231">
        <v>1005.8435174</v>
      </c>
      <c r="D29" s="232">
        <v>1.5</v>
      </c>
      <c r="E29" s="232">
        <v>3.8</v>
      </c>
      <c r="F29" s="232">
        <v>3.4</v>
      </c>
      <c r="G29" s="232"/>
      <c r="H29" s="415" t="s">
        <v>130</v>
      </c>
      <c r="I29" s="231">
        <v>419.25280859999998</v>
      </c>
      <c r="J29" s="232">
        <v>1.7</v>
      </c>
      <c r="K29" s="232">
        <v>6.7</v>
      </c>
      <c r="L29" s="232">
        <v>7.1</v>
      </c>
      <c r="M29" s="232"/>
      <c r="N29" s="415" t="s">
        <v>130</v>
      </c>
      <c r="O29" s="231">
        <v>183.3069261</v>
      </c>
      <c r="P29" s="232">
        <v>1.4</v>
      </c>
      <c r="Q29" s="232">
        <v>6.2</v>
      </c>
      <c r="R29" s="232">
        <v>6.6</v>
      </c>
      <c r="S29" s="233"/>
      <c r="T29" s="415" t="s">
        <v>130</v>
      </c>
      <c r="U29" s="234">
        <v>23.452949199999999</v>
      </c>
      <c r="V29" s="233">
        <v>1.3</v>
      </c>
      <c r="W29" s="233">
        <v>5.3</v>
      </c>
      <c r="X29" s="233">
        <v>5.2</v>
      </c>
      <c r="Y29" s="233"/>
      <c r="Z29" s="415" t="s">
        <v>318</v>
      </c>
      <c r="AA29" s="234">
        <v>19.7006452</v>
      </c>
      <c r="AB29" s="233">
        <v>1.4</v>
      </c>
      <c r="AC29" s="233">
        <v>6.6</v>
      </c>
      <c r="AD29" s="233">
        <v>6.2</v>
      </c>
    </row>
    <row r="30" spans="1:30" s="565" customFormat="1" ht="15" customHeight="1" x14ac:dyDescent="0.2">
      <c r="A30" s="420"/>
      <c r="B30" s="440" t="s">
        <v>135</v>
      </c>
      <c r="C30" s="416">
        <v>32273.070729999999</v>
      </c>
      <c r="D30" s="416">
        <v>48.6</v>
      </c>
      <c r="E30" s="416">
        <v>122.8</v>
      </c>
      <c r="F30" s="417">
        <v>113.3</v>
      </c>
      <c r="G30" s="417"/>
      <c r="H30" s="440" t="s">
        <v>135</v>
      </c>
      <c r="I30" s="416">
        <v>12333.709498</v>
      </c>
      <c r="J30" s="417">
        <v>49.8</v>
      </c>
      <c r="K30" s="417">
        <v>197.2</v>
      </c>
      <c r="L30" s="417">
        <v>147.69999999999999</v>
      </c>
      <c r="M30" s="417"/>
      <c r="N30" s="440" t="s">
        <v>135</v>
      </c>
      <c r="O30" s="416">
        <v>6452.4641270000002</v>
      </c>
      <c r="P30" s="417">
        <v>51</v>
      </c>
      <c r="Q30" s="417">
        <v>219.9</v>
      </c>
      <c r="R30" s="417">
        <v>167.3</v>
      </c>
      <c r="S30" s="418"/>
      <c r="T30" s="440" t="s">
        <v>135</v>
      </c>
      <c r="U30" s="419">
        <v>1046.6929551999999</v>
      </c>
      <c r="V30" s="418">
        <v>56.4</v>
      </c>
      <c r="W30" s="418">
        <v>235.7</v>
      </c>
      <c r="X30" s="418">
        <v>205.1</v>
      </c>
      <c r="Y30" s="418"/>
      <c r="Z30" s="440" t="s">
        <v>135</v>
      </c>
      <c r="AA30" s="419">
        <v>839.0626896</v>
      </c>
      <c r="AB30" s="418">
        <v>61.5</v>
      </c>
      <c r="AC30" s="418">
        <v>279.8</v>
      </c>
      <c r="AD30" s="418">
        <v>275.5</v>
      </c>
    </row>
    <row r="31" spans="1:30" s="565" customFormat="1" ht="15" customHeight="1" x14ac:dyDescent="0.2">
      <c r="A31" s="453"/>
      <c r="B31" s="65" t="s">
        <v>574</v>
      </c>
      <c r="C31" s="421">
        <v>34134.695426999999</v>
      </c>
      <c r="D31" s="422">
        <v>51.4</v>
      </c>
      <c r="E31" s="422">
        <v>129.9</v>
      </c>
      <c r="F31" s="423">
        <v>117</v>
      </c>
      <c r="G31" s="423"/>
      <c r="H31" s="65" t="s">
        <v>574</v>
      </c>
      <c r="I31" s="424">
        <v>12441.956872999999</v>
      </c>
      <c r="J31" s="423">
        <v>50.2</v>
      </c>
      <c r="K31" s="423">
        <v>198.9</v>
      </c>
      <c r="L31" s="423">
        <v>133.19999999999999</v>
      </c>
      <c r="M31" s="423"/>
      <c r="N31" s="65" t="s">
        <v>574</v>
      </c>
      <c r="O31" s="424">
        <v>6211.8159291000002</v>
      </c>
      <c r="P31" s="423">
        <v>49</v>
      </c>
      <c r="Q31" s="423">
        <v>211.7</v>
      </c>
      <c r="R31" s="423">
        <v>143.80000000000001</v>
      </c>
      <c r="S31" s="420"/>
      <c r="T31" s="65" t="s">
        <v>574</v>
      </c>
      <c r="U31" s="425">
        <v>807.65208770000004</v>
      </c>
      <c r="V31" s="426">
        <v>43.6</v>
      </c>
      <c r="W31" s="426">
        <v>181.9</v>
      </c>
      <c r="X31" s="420">
        <v>145.9</v>
      </c>
      <c r="Y31" s="420"/>
      <c r="Z31" s="65" t="s">
        <v>574</v>
      </c>
      <c r="AA31" s="425">
        <v>525.87968269999999</v>
      </c>
      <c r="AB31" s="426">
        <v>38.5</v>
      </c>
      <c r="AC31" s="426">
        <v>175.4</v>
      </c>
      <c r="AD31" s="420">
        <v>169.3</v>
      </c>
    </row>
    <row r="32" spans="1:30" ht="15" customHeight="1" x14ac:dyDescent="0.2">
      <c r="A32" s="454"/>
      <c r="B32" s="68" t="s">
        <v>575</v>
      </c>
      <c r="C32" s="427">
        <v>66407.766157000005</v>
      </c>
      <c r="D32" s="428">
        <v>100</v>
      </c>
      <c r="E32" s="428">
        <v>252.7</v>
      </c>
      <c r="F32" s="429">
        <v>230.3</v>
      </c>
      <c r="G32" s="429"/>
      <c r="H32" s="68" t="s">
        <v>575</v>
      </c>
      <c r="I32" s="430">
        <v>24775.666372</v>
      </c>
      <c r="J32" s="429">
        <v>100</v>
      </c>
      <c r="K32" s="429">
        <v>396.1</v>
      </c>
      <c r="L32" s="429">
        <v>280.89999999999998</v>
      </c>
      <c r="M32" s="429"/>
      <c r="N32" s="68" t="s">
        <v>575</v>
      </c>
      <c r="O32" s="430">
        <v>12664.280056</v>
      </c>
      <c r="P32" s="429">
        <v>100</v>
      </c>
      <c r="Q32" s="429">
        <v>431.6</v>
      </c>
      <c r="R32" s="429">
        <v>311.2</v>
      </c>
      <c r="S32" s="431"/>
      <c r="T32" s="68" t="s">
        <v>575</v>
      </c>
      <c r="U32" s="432">
        <v>1854.3450429</v>
      </c>
      <c r="V32" s="433">
        <v>100</v>
      </c>
      <c r="W32" s="433">
        <v>417.6</v>
      </c>
      <c r="X32" s="431">
        <v>351</v>
      </c>
      <c r="Y32" s="431"/>
      <c r="Z32" s="68" t="s">
        <v>575</v>
      </c>
      <c r="AA32" s="432">
        <v>1364.9423723</v>
      </c>
      <c r="AB32" s="433">
        <v>100</v>
      </c>
      <c r="AC32" s="433">
        <v>455.2</v>
      </c>
      <c r="AD32" s="431">
        <v>444.8</v>
      </c>
    </row>
    <row r="33" spans="1:30" ht="15" customHeight="1" x14ac:dyDescent="0.2">
      <c r="A33" s="414" t="s">
        <v>1</v>
      </c>
      <c r="B33" s="438"/>
      <c r="C33" s="242"/>
      <c r="D33" s="439"/>
      <c r="E33" s="439"/>
      <c r="F33" s="242"/>
      <c r="G33" s="242"/>
      <c r="H33" s="438"/>
      <c r="I33" s="242"/>
      <c r="J33" s="439"/>
      <c r="K33" s="439"/>
      <c r="L33" s="242"/>
      <c r="M33" s="242"/>
      <c r="N33" s="438"/>
      <c r="O33" s="242"/>
      <c r="P33" s="439"/>
      <c r="Q33" s="439"/>
      <c r="R33" s="242"/>
      <c r="S33" s="242"/>
      <c r="T33" s="438"/>
      <c r="U33" s="242"/>
      <c r="V33" s="242"/>
      <c r="W33" s="242"/>
      <c r="X33" s="242"/>
      <c r="Y33" s="242"/>
      <c r="Z33" s="438"/>
      <c r="AA33" s="242"/>
      <c r="AB33" s="242"/>
      <c r="AC33" s="242"/>
      <c r="AD33" s="242"/>
    </row>
    <row r="34" spans="1:30" ht="15" customHeight="1" x14ac:dyDescent="0.2">
      <c r="A34" s="442">
        <v>1</v>
      </c>
      <c r="B34" s="415" t="s">
        <v>313</v>
      </c>
      <c r="C34" s="231">
        <v>3337.4218731000001</v>
      </c>
      <c r="D34" s="232">
        <v>7.8</v>
      </c>
      <c r="E34" s="232">
        <v>12.6</v>
      </c>
      <c r="F34" s="232">
        <v>10.9</v>
      </c>
      <c r="G34" s="232"/>
      <c r="H34" s="415" t="s">
        <v>313</v>
      </c>
      <c r="I34" s="231">
        <v>1123.2636438</v>
      </c>
      <c r="J34" s="232">
        <v>7.3</v>
      </c>
      <c r="K34" s="232">
        <v>17.899999999999999</v>
      </c>
      <c r="L34" s="232">
        <v>12.4</v>
      </c>
      <c r="M34" s="232"/>
      <c r="N34" s="62" t="s">
        <v>581</v>
      </c>
      <c r="O34" s="231">
        <v>508.38962959999998</v>
      </c>
      <c r="P34" s="232">
        <v>7</v>
      </c>
      <c r="Q34" s="232">
        <v>18</v>
      </c>
      <c r="R34" s="232">
        <v>12.3</v>
      </c>
      <c r="S34" s="233"/>
      <c r="T34" s="415" t="s">
        <v>547</v>
      </c>
      <c r="U34" s="234">
        <v>77.014197100000004</v>
      </c>
      <c r="V34" s="233">
        <v>7</v>
      </c>
      <c r="W34" s="233">
        <v>18.8</v>
      </c>
      <c r="X34" s="233">
        <v>16</v>
      </c>
      <c r="Y34" s="233"/>
      <c r="Z34" s="415" t="s">
        <v>117</v>
      </c>
      <c r="AA34" s="234">
        <v>108.091398</v>
      </c>
      <c r="AB34" s="233">
        <v>11.9</v>
      </c>
      <c r="AC34" s="233">
        <v>40</v>
      </c>
      <c r="AD34" s="233">
        <v>41.4</v>
      </c>
    </row>
    <row r="35" spans="1:30" ht="15" customHeight="1" x14ac:dyDescent="0.2">
      <c r="A35" s="442">
        <v>2</v>
      </c>
      <c r="B35" s="62" t="s">
        <v>581</v>
      </c>
      <c r="C35" s="231">
        <v>1983.2696496999999</v>
      </c>
      <c r="D35" s="232">
        <v>4.5999999999999996</v>
      </c>
      <c r="E35" s="232">
        <v>7.5</v>
      </c>
      <c r="F35" s="232">
        <v>6.2</v>
      </c>
      <c r="G35" s="232"/>
      <c r="H35" s="415" t="s">
        <v>322</v>
      </c>
      <c r="I35" s="231">
        <v>952.31785190000005</v>
      </c>
      <c r="J35" s="232">
        <v>6.2</v>
      </c>
      <c r="K35" s="232">
        <v>15.2</v>
      </c>
      <c r="L35" s="232">
        <v>8.6999999999999993</v>
      </c>
      <c r="M35" s="232"/>
      <c r="N35" s="415" t="s">
        <v>313</v>
      </c>
      <c r="O35" s="231">
        <v>473.79782749999998</v>
      </c>
      <c r="P35" s="232">
        <v>6.5</v>
      </c>
      <c r="Q35" s="232">
        <v>16.8</v>
      </c>
      <c r="R35" s="232">
        <v>11.6</v>
      </c>
      <c r="S35" s="233"/>
      <c r="T35" s="415" t="s">
        <v>117</v>
      </c>
      <c r="U35" s="234">
        <v>74.203396400000003</v>
      </c>
      <c r="V35" s="233">
        <v>6.7</v>
      </c>
      <c r="W35" s="233">
        <v>18.100000000000001</v>
      </c>
      <c r="X35" s="233">
        <v>15.5</v>
      </c>
      <c r="Y35" s="233"/>
      <c r="Z35" s="415" t="s">
        <v>547</v>
      </c>
      <c r="AA35" s="234">
        <v>98.474553299999997</v>
      </c>
      <c r="AB35" s="233">
        <v>10.8</v>
      </c>
      <c r="AC35" s="233">
        <v>36.5</v>
      </c>
      <c r="AD35" s="233">
        <v>38</v>
      </c>
    </row>
    <row r="36" spans="1:30" ht="25.5" x14ac:dyDescent="0.2">
      <c r="A36" s="442">
        <v>3</v>
      </c>
      <c r="B36" s="415" t="s">
        <v>115</v>
      </c>
      <c r="C36" s="231">
        <v>1910.8322201999999</v>
      </c>
      <c r="D36" s="232">
        <v>4.5</v>
      </c>
      <c r="E36" s="232">
        <v>7.2</v>
      </c>
      <c r="F36" s="232">
        <v>6.2</v>
      </c>
      <c r="G36" s="232"/>
      <c r="H36" s="62" t="s">
        <v>581</v>
      </c>
      <c r="I36" s="231">
        <v>808.85197029999995</v>
      </c>
      <c r="J36" s="232">
        <v>5.2</v>
      </c>
      <c r="K36" s="232">
        <v>12.9</v>
      </c>
      <c r="L36" s="232">
        <v>8.1999999999999993</v>
      </c>
      <c r="M36" s="232"/>
      <c r="N36" s="415" t="s">
        <v>322</v>
      </c>
      <c r="O36" s="231">
        <v>458.58582380000001</v>
      </c>
      <c r="P36" s="232">
        <v>6.3</v>
      </c>
      <c r="Q36" s="232">
        <v>16.2</v>
      </c>
      <c r="R36" s="232">
        <v>10</v>
      </c>
      <c r="S36" s="233"/>
      <c r="T36" s="415" t="s">
        <v>313</v>
      </c>
      <c r="U36" s="234">
        <v>65.488947600000003</v>
      </c>
      <c r="V36" s="233">
        <v>5.9</v>
      </c>
      <c r="W36" s="233">
        <v>15.9</v>
      </c>
      <c r="X36" s="233">
        <v>13.6</v>
      </c>
      <c r="Y36" s="233"/>
      <c r="Z36" s="415" t="s">
        <v>322</v>
      </c>
      <c r="AA36" s="234">
        <v>43.798278799999999</v>
      </c>
      <c r="AB36" s="233">
        <v>4.8</v>
      </c>
      <c r="AC36" s="233">
        <v>16.2</v>
      </c>
      <c r="AD36" s="233">
        <v>17.100000000000001</v>
      </c>
    </row>
    <row r="37" spans="1:30" ht="25.5" x14ac:dyDescent="0.2">
      <c r="A37" s="442">
        <v>4</v>
      </c>
      <c r="B37" s="415" t="s">
        <v>322</v>
      </c>
      <c r="C37" s="231">
        <v>1692.5661385999999</v>
      </c>
      <c r="D37" s="232">
        <v>4</v>
      </c>
      <c r="E37" s="232">
        <v>6.4</v>
      </c>
      <c r="F37" s="232">
        <v>5.0999999999999996</v>
      </c>
      <c r="G37" s="232"/>
      <c r="H37" s="415" t="s">
        <v>115</v>
      </c>
      <c r="I37" s="231">
        <v>651.99971700000003</v>
      </c>
      <c r="J37" s="232">
        <v>4.2</v>
      </c>
      <c r="K37" s="232">
        <v>10.4</v>
      </c>
      <c r="L37" s="232">
        <v>7</v>
      </c>
      <c r="M37" s="232"/>
      <c r="N37" s="415" t="s">
        <v>115</v>
      </c>
      <c r="O37" s="231">
        <v>283.91774279999998</v>
      </c>
      <c r="P37" s="232">
        <v>3.9</v>
      </c>
      <c r="Q37" s="232">
        <v>10</v>
      </c>
      <c r="R37" s="232">
        <v>7.2</v>
      </c>
      <c r="S37" s="233"/>
      <c r="T37" s="415" t="s">
        <v>322</v>
      </c>
      <c r="U37" s="234">
        <v>61.731906899999998</v>
      </c>
      <c r="V37" s="233">
        <v>5.6</v>
      </c>
      <c r="W37" s="233">
        <v>15</v>
      </c>
      <c r="X37" s="233">
        <v>12.3</v>
      </c>
      <c r="Y37" s="233"/>
      <c r="Z37" s="415" t="s">
        <v>120</v>
      </c>
      <c r="AA37" s="234">
        <v>43.050426999999999</v>
      </c>
      <c r="AB37" s="233">
        <v>4.7</v>
      </c>
      <c r="AC37" s="233">
        <v>15.9</v>
      </c>
      <c r="AD37" s="233">
        <v>16.7</v>
      </c>
    </row>
    <row r="38" spans="1:30" ht="15" customHeight="1" x14ac:dyDescent="0.2">
      <c r="A38" s="442">
        <v>5</v>
      </c>
      <c r="B38" s="415" t="s">
        <v>120</v>
      </c>
      <c r="C38" s="231">
        <v>1578.9801371999999</v>
      </c>
      <c r="D38" s="232">
        <v>3.7</v>
      </c>
      <c r="E38" s="232">
        <v>6</v>
      </c>
      <c r="F38" s="232">
        <v>5</v>
      </c>
      <c r="G38" s="232"/>
      <c r="H38" s="415" t="s">
        <v>120</v>
      </c>
      <c r="I38" s="231">
        <v>547.40030320000005</v>
      </c>
      <c r="J38" s="232">
        <v>3.5</v>
      </c>
      <c r="K38" s="232">
        <v>8.6999999999999993</v>
      </c>
      <c r="L38" s="232">
        <v>5.6</v>
      </c>
      <c r="M38" s="232"/>
      <c r="N38" s="415" t="s">
        <v>120</v>
      </c>
      <c r="O38" s="231">
        <v>244.52160979999999</v>
      </c>
      <c r="P38" s="232">
        <v>3.4</v>
      </c>
      <c r="Q38" s="232">
        <v>8.6</v>
      </c>
      <c r="R38" s="232">
        <v>5.8</v>
      </c>
      <c r="S38" s="233"/>
      <c r="T38" s="415" t="s">
        <v>120</v>
      </c>
      <c r="U38" s="234">
        <v>55.047522800000003</v>
      </c>
      <c r="V38" s="233">
        <v>5</v>
      </c>
      <c r="W38" s="233">
        <v>13.4</v>
      </c>
      <c r="X38" s="233">
        <v>11.6</v>
      </c>
      <c r="Y38" s="233"/>
      <c r="Z38" s="415" t="s">
        <v>128</v>
      </c>
      <c r="AA38" s="234">
        <v>39.366886999999998</v>
      </c>
      <c r="AB38" s="233">
        <v>4.3</v>
      </c>
      <c r="AC38" s="233">
        <v>14.6</v>
      </c>
      <c r="AD38" s="233">
        <v>15</v>
      </c>
    </row>
    <row r="39" spans="1:30" ht="15" customHeight="1" x14ac:dyDescent="0.2">
      <c r="A39" s="442">
        <v>6</v>
      </c>
      <c r="B39" s="415" t="s">
        <v>126</v>
      </c>
      <c r="C39" s="231">
        <v>1454.7821678</v>
      </c>
      <c r="D39" s="232">
        <v>3.4</v>
      </c>
      <c r="E39" s="232">
        <v>5.5</v>
      </c>
      <c r="F39" s="232">
        <v>5.4</v>
      </c>
      <c r="G39" s="232"/>
      <c r="H39" s="415" t="s">
        <v>126</v>
      </c>
      <c r="I39" s="231">
        <v>456.0852946</v>
      </c>
      <c r="J39" s="232">
        <v>3</v>
      </c>
      <c r="K39" s="232">
        <v>7.3</v>
      </c>
      <c r="L39" s="232">
        <v>7.4</v>
      </c>
      <c r="M39" s="232"/>
      <c r="N39" s="415" t="s">
        <v>117</v>
      </c>
      <c r="O39" s="231">
        <v>224.81846150000001</v>
      </c>
      <c r="P39" s="232">
        <v>3.1</v>
      </c>
      <c r="Q39" s="232">
        <v>7.9</v>
      </c>
      <c r="R39" s="232">
        <v>5.3</v>
      </c>
      <c r="S39" s="233"/>
      <c r="T39" s="415" t="s">
        <v>128</v>
      </c>
      <c r="U39" s="234">
        <v>27.852612400000002</v>
      </c>
      <c r="V39" s="233">
        <v>2.5</v>
      </c>
      <c r="W39" s="233">
        <v>6.8</v>
      </c>
      <c r="X39" s="233">
        <v>7.1</v>
      </c>
      <c r="Y39" s="233"/>
      <c r="Z39" s="415" t="s">
        <v>126</v>
      </c>
      <c r="AA39" s="234">
        <v>35.064874199999998</v>
      </c>
      <c r="AB39" s="233">
        <v>3.9</v>
      </c>
      <c r="AC39" s="233">
        <v>13</v>
      </c>
      <c r="AD39" s="233">
        <v>13.1</v>
      </c>
    </row>
    <row r="40" spans="1:30" ht="15" customHeight="1" x14ac:dyDescent="0.2">
      <c r="A40" s="442">
        <v>7</v>
      </c>
      <c r="B40" s="415" t="s">
        <v>117</v>
      </c>
      <c r="C40" s="231">
        <v>1088.6387196999999</v>
      </c>
      <c r="D40" s="232">
        <v>2.5</v>
      </c>
      <c r="E40" s="232">
        <v>4.0999999999999996</v>
      </c>
      <c r="F40" s="231">
        <v>3.4</v>
      </c>
      <c r="G40" s="232"/>
      <c r="H40" s="415" t="s">
        <v>117</v>
      </c>
      <c r="I40" s="231">
        <v>411.24802440000002</v>
      </c>
      <c r="J40" s="232">
        <v>2.7</v>
      </c>
      <c r="K40" s="232">
        <v>6.6</v>
      </c>
      <c r="L40" s="231">
        <v>4.2</v>
      </c>
      <c r="M40" s="232"/>
      <c r="N40" s="415" t="s">
        <v>126</v>
      </c>
      <c r="O40" s="231">
        <v>205.39350870000001</v>
      </c>
      <c r="P40" s="232">
        <v>2.8</v>
      </c>
      <c r="Q40" s="232">
        <v>7.3</v>
      </c>
      <c r="R40" s="231">
        <v>7.7</v>
      </c>
      <c r="S40" s="233"/>
      <c r="T40" s="415" t="s">
        <v>126</v>
      </c>
      <c r="U40" s="231">
        <v>27.674154699999999</v>
      </c>
      <c r="V40" s="232">
        <v>2.5</v>
      </c>
      <c r="W40" s="232">
        <v>6.7</v>
      </c>
      <c r="X40" s="231">
        <v>7.5</v>
      </c>
      <c r="Y40" s="233"/>
      <c r="Z40" s="415" t="s">
        <v>118</v>
      </c>
      <c r="AA40" s="231">
        <v>25.790030300000002</v>
      </c>
      <c r="AB40" s="232">
        <v>2.8</v>
      </c>
      <c r="AC40" s="232">
        <v>9.5</v>
      </c>
      <c r="AD40" s="231">
        <v>9.6999999999999993</v>
      </c>
    </row>
    <row r="41" spans="1:30" ht="15" customHeight="1" x14ac:dyDescent="0.2">
      <c r="A41" s="442">
        <v>8</v>
      </c>
      <c r="B41" s="415" t="s">
        <v>130</v>
      </c>
      <c r="C41" s="231">
        <v>870.68979660000002</v>
      </c>
      <c r="D41" s="232">
        <v>2</v>
      </c>
      <c r="E41" s="232">
        <v>3.3</v>
      </c>
      <c r="F41" s="232">
        <v>3.2</v>
      </c>
      <c r="G41" s="232"/>
      <c r="H41" s="415" t="s">
        <v>128</v>
      </c>
      <c r="I41" s="231">
        <v>251.95117519999999</v>
      </c>
      <c r="J41" s="232">
        <v>1.6</v>
      </c>
      <c r="K41" s="232">
        <v>4</v>
      </c>
      <c r="L41" s="232">
        <v>4.0999999999999996</v>
      </c>
      <c r="M41" s="232"/>
      <c r="N41" s="415" t="s">
        <v>128</v>
      </c>
      <c r="O41" s="231">
        <v>135.87768940000001</v>
      </c>
      <c r="P41" s="232">
        <v>1.9</v>
      </c>
      <c r="Q41" s="232">
        <v>4.8</v>
      </c>
      <c r="R41" s="232">
        <v>4.9000000000000004</v>
      </c>
      <c r="S41" s="233"/>
      <c r="T41" s="415" t="s">
        <v>115</v>
      </c>
      <c r="U41" s="234">
        <v>27.257670699999998</v>
      </c>
      <c r="V41" s="233">
        <v>2.5</v>
      </c>
      <c r="W41" s="233">
        <v>6.6</v>
      </c>
      <c r="X41" s="233">
        <v>5.7</v>
      </c>
      <c r="Y41" s="233"/>
      <c r="Z41" s="415" t="s">
        <v>313</v>
      </c>
      <c r="AA41" s="234">
        <v>24.027708000000001</v>
      </c>
      <c r="AB41" s="233">
        <v>2.6</v>
      </c>
      <c r="AC41" s="233">
        <v>8.9</v>
      </c>
      <c r="AD41" s="233">
        <v>9</v>
      </c>
    </row>
    <row r="42" spans="1:30" ht="15" customHeight="1" x14ac:dyDescent="0.2">
      <c r="A42" s="442">
        <v>9</v>
      </c>
      <c r="B42" s="415" t="s">
        <v>112</v>
      </c>
      <c r="C42" s="231">
        <v>526.70930490000001</v>
      </c>
      <c r="D42" s="232">
        <v>1.2</v>
      </c>
      <c r="E42" s="232">
        <v>2</v>
      </c>
      <c r="F42" s="231">
        <v>1.7</v>
      </c>
      <c r="G42" s="232"/>
      <c r="H42" s="415" t="s">
        <v>542</v>
      </c>
      <c r="I42" s="231">
        <v>194.17271890000001</v>
      </c>
      <c r="J42" s="232">
        <v>1.3</v>
      </c>
      <c r="K42" s="232">
        <v>3.1</v>
      </c>
      <c r="L42" s="231">
        <v>2.1</v>
      </c>
      <c r="M42" s="232"/>
      <c r="N42" s="415" t="s">
        <v>130</v>
      </c>
      <c r="O42" s="231">
        <v>89.465840099999994</v>
      </c>
      <c r="P42" s="232">
        <v>1.2</v>
      </c>
      <c r="Q42" s="232">
        <v>3.2</v>
      </c>
      <c r="R42" s="231">
        <v>3</v>
      </c>
      <c r="S42" s="233"/>
      <c r="T42" s="415" t="s">
        <v>118</v>
      </c>
      <c r="U42" s="231">
        <v>19.742464099999999</v>
      </c>
      <c r="V42" s="232">
        <v>1.8</v>
      </c>
      <c r="W42" s="232">
        <v>4.8</v>
      </c>
      <c r="X42" s="231">
        <v>4.4000000000000004</v>
      </c>
      <c r="Y42" s="233"/>
      <c r="Z42" s="415" t="s">
        <v>123</v>
      </c>
      <c r="AA42" s="231">
        <v>22.700054099999999</v>
      </c>
      <c r="AB42" s="232">
        <v>2.5</v>
      </c>
      <c r="AC42" s="232">
        <v>8.4</v>
      </c>
      <c r="AD42" s="231">
        <v>8.6999999999999993</v>
      </c>
    </row>
    <row r="43" spans="1:30" ht="15" customHeight="1" x14ac:dyDescent="0.2">
      <c r="A43" s="442">
        <v>10</v>
      </c>
      <c r="B43" s="415" t="s">
        <v>132</v>
      </c>
      <c r="C43" s="231">
        <v>471.99208879999998</v>
      </c>
      <c r="D43" s="232">
        <v>1.1000000000000001</v>
      </c>
      <c r="E43" s="232">
        <v>1.8</v>
      </c>
      <c r="F43" s="232">
        <v>2</v>
      </c>
      <c r="G43" s="232"/>
      <c r="H43" s="415" t="s">
        <v>130</v>
      </c>
      <c r="I43" s="231">
        <v>193.94591930000001</v>
      </c>
      <c r="J43" s="232">
        <v>1.3</v>
      </c>
      <c r="K43" s="232">
        <v>3.1</v>
      </c>
      <c r="L43" s="232">
        <v>3</v>
      </c>
      <c r="M43" s="232"/>
      <c r="N43" s="415" t="s">
        <v>542</v>
      </c>
      <c r="O43" s="231">
        <v>88.804427799999999</v>
      </c>
      <c r="P43" s="232">
        <v>1.2</v>
      </c>
      <c r="Q43" s="232">
        <v>3.1</v>
      </c>
      <c r="R43" s="232">
        <v>2.1</v>
      </c>
      <c r="S43" s="233"/>
      <c r="T43" s="415"/>
      <c r="U43" s="234"/>
      <c r="V43" s="233"/>
      <c r="W43" s="233"/>
      <c r="X43" s="233"/>
      <c r="Y43" s="233"/>
      <c r="Z43" s="415"/>
      <c r="AA43" s="234"/>
      <c r="AB43" s="233"/>
      <c r="AC43" s="233"/>
      <c r="AD43" s="233"/>
    </row>
    <row r="44" spans="1:30" s="565" customFormat="1" ht="15" customHeight="1" x14ac:dyDescent="0.2">
      <c r="A44" s="420"/>
      <c r="B44" s="440" t="s">
        <v>135</v>
      </c>
      <c r="C44" s="416">
        <v>18997.287286999999</v>
      </c>
      <c r="D44" s="416">
        <v>44.4</v>
      </c>
      <c r="E44" s="416">
        <v>71.900000000000006</v>
      </c>
      <c r="F44" s="417">
        <v>62.4</v>
      </c>
      <c r="G44" s="417"/>
      <c r="H44" s="440" t="s">
        <v>135</v>
      </c>
      <c r="I44" s="416">
        <v>7044.0737521000001</v>
      </c>
      <c r="J44" s="417">
        <v>45.7</v>
      </c>
      <c r="K44" s="417">
        <v>112.3</v>
      </c>
      <c r="L44" s="417">
        <v>79.5</v>
      </c>
      <c r="M44" s="417"/>
      <c r="N44" s="440" t="s">
        <v>135</v>
      </c>
      <c r="O44" s="416">
        <v>3463.6821826</v>
      </c>
      <c r="P44" s="417">
        <v>47.8</v>
      </c>
      <c r="Q44" s="417">
        <v>122.5</v>
      </c>
      <c r="R44" s="417">
        <v>90.9</v>
      </c>
      <c r="S44" s="418"/>
      <c r="T44" s="440" t="s">
        <v>135</v>
      </c>
      <c r="U44" s="419">
        <v>570.97732819999999</v>
      </c>
      <c r="V44" s="418">
        <v>51.9</v>
      </c>
      <c r="W44" s="418">
        <v>139.1</v>
      </c>
      <c r="X44" s="418">
        <v>123.3</v>
      </c>
      <c r="Y44" s="418"/>
      <c r="Z44" s="440" t="s">
        <v>135</v>
      </c>
      <c r="AA44" s="419">
        <v>553.97944989999996</v>
      </c>
      <c r="AB44" s="418">
        <v>60.9</v>
      </c>
      <c r="AC44" s="418">
        <v>205.1</v>
      </c>
      <c r="AD44" s="418">
        <v>210.9</v>
      </c>
    </row>
    <row r="45" spans="1:30" s="565" customFormat="1" ht="15" customHeight="1" x14ac:dyDescent="0.2">
      <c r="A45" s="453"/>
      <c r="B45" s="65" t="s">
        <v>574</v>
      </c>
      <c r="C45" s="421">
        <v>23761.226466</v>
      </c>
      <c r="D45" s="422">
        <v>55.6</v>
      </c>
      <c r="E45" s="422">
        <v>90</v>
      </c>
      <c r="F45" s="423">
        <v>75.3</v>
      </c>
      <c r="G45" s="423"/>
      <c r="H45" s="65" t="s">
        <v>574</v>
      </c>
      <c r="I45" s="424">
        <v>8377.5031818999996</v>
      </c>
      <c r="J45" s="423">
        <v>54.3</v>
      </c>
      <c r="K45" s="423">
        <v>133.5</v>
      </c>
      <c r="L45" s="423">
        <v>86.7</v>
      </c>
      <c r="M45" s="423"/>
      <c r="N45" s="65" t="s">
        <v>574</v>
      </c>
      <c r="O45" s="424">
        <v>3788.1162183000001</v>
      </c>
      <c r="P45" s="423">
        <v>52.2</v>
      </c>
      <c r="Q45" s="423">
        <v>134</v>
      </c>
      <c r="R45" s="423">
        <v>91.7</v>
      </c>
      <c r="S45" s="420"/>
      <c r="T45" s="65" t="s">
        <v>574</v>
      </c>
      <c r="U45" s="425">
        <v>530.0595654</v>
      </c>
      <c r="V45" s="426">
        <v>48.1</v>
      </c>
      <c r="W45" s="426">
        <v>129.1</v>
      </c>
      <c r="X45" s="420">
        <v>108.8</v>
      </c>
      <c r="Y45" s="420"/>
      <c r="Z45" s="65" t="s">
        <v>574</v>
      </c>
      <c r="AA45" s="425">
        <v>355.0945686</v>
      </c>
      <c r="AB45" s="426">
        <v>39.1</v>
      </c>
      <c r="AC45" s="426">
        <v>131.5</v>
      </c>
      <c r="AD45" s="420">
        <v>133.5</v>
      </c>
    </row>
    <row r="46" spans="1:30" ht="15" customHeight="1" x14ac:dyDescent="0.2">
      <c r="A46" s="454"/>
      <c r="B46" s="68" t="s">
        <v>575</v>
      </c>
      <c r="C46" s="427">
        <v>42758.513752999999</v>
      </c>
      <c r="D46" s="428">
        <v>100</v>
      </c>
      <c r="E46" s="428">
        <v>161.9</v>
      </c>
      <c r="F46" s="429">
        <v>137.80000000000001</v>
      </c>
      <c r="G46" s="429"/>
      <c r="H46" s="68" t="s">
        <v>575</v>
      </c>
      <c r="I46" s="430">
        <v>15421.576934000001</v>
      </c>
      <c r="J46" s="429">
        <v>100</v>
      </c>
      <c r="K46" s="429">
        <v>245.8</v>
      </c>
      <c r="L46" s="429">
        <v>166.2</v>
      </c>
      <c r="M46" s="429"/>
      <c r="N46" s="68" t="s">
        <v>575</v>
      </c>
      <c r="O46" s="430">
        <v>7251.7984009000002</v>
      </c>
      <c r="P46" s="429">
        <v>100</v>
      </c>
      <c r="Q46" s="429">
        <v>256.39999999999998</v>
      </c>
      <c r="R46" s="429">
        <v>182.6</v>
      </c>
      <c r="S46" s="431"/>
      <c r="T46" s="68" t="s">
        <v>575</v>
      </c>
      <c r="U46" s="432">
        <v>1101.0368936</v>
      </c>
      <c r="V46" s="433">
        <v>100</v>
      </c>
      <c r="W46" s="433">
        <v>268.2</v>
      </c>
      <c r="X46" s="431">
        <v>232.1</v>
      </c>
      <c r="Y46" s="431"/>
      <c r="Z46" s="68" t="s">
        <v>575</v>
      </c>
      <c r="AA46" s="432">
        <v>909.07401849999997</v>
      </c>
      <c r="AB46" s="433">
        <v>100</v>
      </c>
      <c r="AC46" s="433">
        <v>336.6</v>
      </c>
      <c r="AD46" s="431">
        <v>344.4</v>
      </c>
    </row>
    <row r="47" spans="1:30" ht="15" customHeight="1" x14ac:dyDescent="0.2">
      <c r="A47" s="443" t="s">
        <v>520</v>
      </c>
      <c r="B47" s="183"/>
      <c r="H47" s="183"/>
      <c r="N47" s="183"/>
      <c r="T47" s="183"/>
      <c r="Z47" s="183"/>
    </row>
    <row r="48" spans="1:30" ht="15" customHeight="1" x14ac:dyDescent="0.2">
      <c r="A48" s="265" t="s">
        <v>516</v>
      </c>
      <c r="B48" s="265"/>
      <c r="C48" s="456"/>
      <c r="D48" s="456"/>
      <c r="E48" s="456"/>
      <c r="F48" s="436"/>
      <c r="G48" s="436"/>
      <c r="H48" s="265"/>
      <c r="I48" s="436"/>
      <c r="J48" s="436"/>
      <c r="K48" s="436"/>
      <c r="L48" s="436"/>
      <c r="N48" s="265"/>
      <c r="T48" s="265"/>
      <c r="Z48" s="265"/>
    </row>
    <row r="49" spans="1:30" ht="15" customHeight="1" x14ac:dyDescent="0.2">
      <c r="A49" s="457" t="s">
        <v>517</v>
      </c>
      <c r="B49" s="434"/>
      <c r="C49" s="458"/>
      <c r="D49" s="458"/>
      <c r="E49" s="458"/>
      <c r="F49" s="459"/>
      <c r="G49" s="459"/>
      <c r="H49" s="434"/>
      <c r="I49" s="459"/>
      <c r="J49" s="459"/>
      <c r="K49" s="459"/>
      <c r="L49" s="459"/>
      <c r="N49" s="434"/>
      <c r="T49" s="434"/>
      <c r="Z49" s="434"/>
    </row>
    <row r="50" spans="1:30" ht="15" customHeight="1" x14ac:dyDescent="0.2">
      <c r="A50" s="443" t="s">
        <v>518</v>
      </c>
      <c r="B50" s="443"/>
      <c r="C50" s="458"/>
      <c r="D50" s="458"/>
      <c r="E50" s="458"/>
      <c r="F50" s="459"/>
      <c r="G50" s="459"/>
      <c r="H50" s="443"/>
      <c r="I50" s="459"/>
      <c r="J50" s="459"/>
      <c r="K50" s="459"/>
      <c r="L50" s="459"/>
      <c r="N50" s="443"/>
      <c r="T50" s="443"/>
      <c r="Z50" s="443"/>
    </row>
    <row r="51" spans="1:30" ht="15" customHeight="1" x14ac:dyDescent="0.2">
      <c r="A51" s="265" t="s">
        <v>73</v>
      </c>
      <c r="B51" s="265"/>
      <c r="C51" s="456"/>
      <c r="D51" s="456"/>
      <c r="E51" s="456"/>
      <c r="F51" s="436"/>
      <c r="G51" s="436"/>
      <c r="H51" s="265"/>
      <c r="I51" s="436"/>
      <c r="J51" s="436"/>
      <c r="K51" s="436"/>
      <c r="L51" s="436"/>
      <c r="N51" s="265"/>
      <c r="T51" s="265"/>
      <c r="Z51" s="265"/>
    </row>
    <row r="52" spans="1:30" ht="15" customHeight="1" x14ac:dyDescent="0.2">
      <c r="A52" s="443" t="s">
        <v>133</v>
      </c>
      <c r="B52" s="443"/>
      <c r="C52" s="458"/>
      <c r="D52" s="458"/>
      <c r="E52" s="458"/>
      <c r="F52" s="459"/>
      <c r="G52" s="459"/>
      <c r="H52" s="443"/>
      <c r="I52" s="459"/>
      <c r="J52" s="459"/>
      <c r="K52" s="459"/>
      <c r="L52" s="459"/>
      <c r="N52" s="443"/>
      <c r="T52" s="443"/>
      <c r="Z52" s="443"/>
    </row>
    <row r="53" spans="1:30" ht="15" customHeight="1" x14ac:dyDescent="0.2">
      <c r="A53" s="265" t="s">
        <v>519</v>
      </c>
      <c r="B53" s="265"/>
      <c r="C53" s="456"/>
      <c r="D53" s="267"/>
      <c r="E53" s="267"/>
      <c r="F53" s="435"/>
      <c r="G53" s="436"/>
      <c r="H53" s="265"/>
      <c r="I53" s="436"/>
      <c r="J53" s="267"/>
      <c r="K53" s="267"/>
      <c r="L53" s="435"/>
      <c r="N53" s="265"/>
      <c r="P53" s="267"/>
      <c r="Q53" s="267"/>
      <c r="R53" s="435"/>
      <c r="T53" s="265"/>
      <c r="X53" s="435"/>
      <c r="Z53" s="265"/>
      <c r="AD53" s="435"/>
    </row>
    <row r="54" spans="1:30" ht="15" customHeight="1" x14ac:dyDescent="0.2">
      <c r="A54" s="92" t="s">
        <v>543</v>
      </c>
      <c r="B54" s="443"/>
      <c r="C54" s="458"/>
      <c r="D54" s="458"/>
      <c r="E54" s="458"/>
      <c r="F54" s="459"/>
      <c r="G54" s="459"/>
      <c r="H54" s="443"/>
      <c r="I54" s="459"/>
      <c r="J54" s="459"/>
      <c r="K54" s="459"/>
      <c r="L54" s="459"/>
      <c r="N54" s="443"/>
      <c r="T54" s="443"/>
      <c r="Z54" s="443"/>
    </row>
    <row r="55" spans="1:30" ht="15" customHeight="1" x14ac:dyDescent="0.2">
      <c r="A55" s="265" t="s">
        <v>278</v>
      </c>
      <c r="B55" s="265"/>
      <c r="C55" s="456"/>
      <c r="D55" s="456"/>
      <c r="E55" s="456"/>
      <c r="F55" s="436"/>
      <c r="G55" s="436"/>
      <c r="H55" s="265"/>
      <c r="I55" s="456"/>
      <c r="J55" s="456"/>
      <c r="K55" s="456"/>
      <c r="L55" s="436"/>
      <c r="N55" s="265"/>
      <c r="O55" s="456"/>
      <c r="P55" s="456"/>
      <c r="Q55" s="456"/>
      <c r="T55" s="265"/>
      <c r="U55" s="456"/>
      <c r="V55" s="456"/>
      <c r="W55" s="456"/>
      <c r="Z55" s="265"/>
      <c r="AA55" s="456"/>
      <c r="AB55" s="456"/>
      <c r="AC55" s="456"/>
    </row>
    <row r="56" spans="1:30" ht="15" customHeight="1" x14ac:dyDescent="0.2">
      <c r="A56" s="443"/>
      <c r="B56" s="183"/>
      <c r="C56" s="456"/>
      <c r="D56" s="456"/>
      <c r="E56" s="456"/>
      <c r="F56" s="436"/>
      <c r="G56" s="436"/>
      <c r="H56" s="183"/>
      <c r="I56" s="436"/>
      <c r="J56" s="436"/>
      <c r="K56" s="436"/>
      <c r="L56" s="436"/>
      <c r="N56" s="183"/>
      <c r="T56" s="183"/>
      <c r="Z56" s="183"/>
    </row>
    <row r="57" spans="1:30" ht="15" customHeight="1" x14ac:dyDescent="0.2">
      <c r="A57" s="443"/>
      <c r="B57" s="183"/>
      <c r="C57" s="456"/>
      <c r="D57" s="456"/>
      <c r="E57" s="456"/>
      <c r="F57" s="436"/>
      <c r="G57" s="436"/>
      <c r="H57" s="183"/>
      <c r="I57" s="436"/>
      <c r="J57" s="436"/>
      <c r="K57" s="436"/>
      <c r="L57" s="436"/>
      <c r="N57" s="183"/>
      <c r="T57" s="183"/>
      <c r="Z57" s="183"/>
    </row>
    <row r="58" spans="1:30" ht="15" customHeight="1" x14ac:dyDescent="0.2">
      <c r="A58" s="443"/>
      <c r="B58" s="183"/>
      <c r="C58" s="456"/>
      <c r="D58" s="456"/>
      <c r="E58" s="456"/>
      <c r="F58" s="436"/>
      <c r="G58" s="436"/>
      <c r="H58" s="183"/>
      <c r="I58" s="436"/>
      <c r="J58" s="436"/>
      <c r="K58" s="436"/>
      <c r="L58" s="436"/>
      <c r="N58" s="183"/>
      <c r="T58" s="183"/>
      <c r="Z58" s="183"/>
    </row>
    <row r="59" spans="1:30" ht="15" customHeight="1" x14ac:dyDescent="0.2">
      <c r="A59" s="443"/>
      <c r="B59" s="183"/>
      <c r="C59" s="456"/>
      <c r="D59" s="456"/>
      <c r="E59" s="456"/>
      <c r="F59" s="436"/>
      <c r="G59" s="436"/>
      <c r="H59" s="183"/>
      <c r="I59" s="436"/>
      <c r="J59" s="436"/>
      <c r="K59" s="436"/>
      <c r="L59" s="436"/>
      <c r="N59" s="183"/>
      <c r="T59" s="183"/>
      <c r="Z59" s="183"/>
    </row>
  </sheetData>
  <mergeCells count="5">
    <mergeCell ref="C3:F3"/>
    <mergeCell ref="I3:L3"/>
    <mergeCell ref="O3:R3"/>
    <mergeCell ref="U3:X3"/>
    <mergeCell ref="AA3:AD3"/>
  </mergeCells>
  <hyperlinks>
    <hyperlink ref="A2" location="Contents!A1" display="Back to contents" xr:uid="{ABAC162A-ABC9-4471-BCC7-382303E6DFB5}"/>
  </hyperlink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13553-A585-496D-AF6E-24EE978C9E31}">
  <dimension ref="A1:T79"/>
  <sheetViews>
    <sheetView workbookViewId="0"/>
  </sheetViews>
  <sheetFormatPr defaultRowHeight="15" customHeight="1" x14ac:dyDescent="0.2"/>
  <cols>
    <col min="1" max="1" width="9.625" style="92" customWidth="1"/>
    <col min="2" max="2" width="37.125" style="101" customWidth="1"/>
    <col min="3" max="3" width="7.5" style="90" customWidth="1"/>
    <col min="4" max="4" width="6.625" style="91" bestFit="1" customWidth="1"/>
    <col min="5" max="5" width="9.625" style="91" customWidth="1"/>
    <col min="6" max="6" width="9.625" style="29" customWidth="1"/>
    <col min="7" max="7" width="2.625" style="12" customWidth="1"/>
    <col min="8" max="8" width="9.625" style="92" customWidth="1"/>
    <col min="9" max="9" width="37.125" style="101" customWidth="1"/>
    <col min="10" max="10" width="7.5" style="90" customWidth="1"/>
    <col min="11" max="11" width="6.625" style="91" bestFit="1" customWidth="1"/>
    <col min="12" max="12" width="9.625" style="91" customWidth="1"/>
    <col min="13" max="13" width="9.625" style="29" customWidth="1"/>
    <col min="14" max="14" width="2.625" style="12" customWidth="1"/>
    <col min="15" max="15" width="9.625" style="92" customWidth="1"/>
    <col min="16" max="16" width="37.125" style="101" customWidth="1"/>
    <col min="17" max="17" width="7.5" style="90" customWidth="1"/>
    <col min="18" max="18" width="6.625" style="91" customWidth="1"/>
    <col min="19" max="19" width="9.625" style="91" customWidth="1"/>
    <col min="20" max="20" width="9.625" style="29" customWidth="1"/>
    <col min="21" max="259" width="9" style="12"/>
    <col min="260" max="260" width="8.5" style="12" customWidth="1"/>
    <col min="261" max="261" width="40" style="12" customWidth="1"/>
    <col min="262" max="262" width="6.375" style="12" bestFit="1" customWidth="1"/>
    <col min="263" max="263" width="6.625" style="12" bestFit="1" customWidth="1"/>
    <col min="264" max="264" width="8.25" style="12" bestFit="1" customWidth="1"/>
    <col min="265" max="265" width="4.125" style="12" customWidth="1"/>
    <col min="266" max="266" width="8.5" style="12" customWidth="1"/>
    <col min="267" max="267" width="40" style="12" customWidth="1"/>
    <col min="268" max="268" width="6.375" style="12" customWidth="1"/>
    <col min="269" max="269" width="6.625" style="12" bestFit="1" customWidth="1"/>
    <col min="270" max="270" width="8.25" style="12" bestFit="1" customWidth="1"/>
    <col min="271" max="271" width="4.125" style="12" customWidth="1"/>
    <col min="272" max="272" width="8.5" style="12" customWidth="1"/>
    <col min="273" max="273" width="40" style="12" customWidth="1"/>
    <col min="274" max="274" width="6.375" style="12" customWidth="1"/>
    <col min="275" max="275" width="6.625" style="12" bestFit="1" customWidth="1"/>
    <col min="276" max="276" width="8.25" style="12" bestFit="1" customWidth="1"/>
    <col min="277" max="515" width="9" style="12"/>
    <col min="516" max="516" width="8.5" style="12" customWidth="1"/>
    <col min="517" max="517" width="40" style="12" customWidth="1"/>
    <col min="518" max="518" width="6.375" style="12" bestFit="1" customWidth="1"/>
    <col min="519" max="519" width="6.625" style="12" bestFit="1" customWidth="1"/>
    <col min="520" max="520" width="8.25" style="12" bestFit="1" customWidth="1"/>
    <col min="521" max="521" width="4.125" style="12" customWidth="1"/>
    <col min="522" max="522" width="8.5" style="12" customWidth="1"/>
    <col min="523" max="523" width="40" style="12" customWidth="1"/>
    <col min="524" max="524" width="6.375" style="12" customWidth="1"/>
    <col min="525" max="525" width="6.625" style="12" bestFit="1" customWidth="1"/>
    <col min="526" max="526" width="8.25" style="12" bestFit="1" customWidth="1"/>
    <col min="527" max="527" width="4.125" style="12" customWidth="1"/>
    <col min="528" max="528" width="8.5" style="12" customWidth="1"/>
    <col min="529" max="529" width="40" style="12" customWidth="1"/>
    <col min="530" max="530" width="6.375" style="12" customWidth="1"/>
    <col min="531" max="531" width="6.625" style="12" bestFit="1" customWidth="1"/>
    <col min="532" max="532" width="8.25" style="12" bestFit="1" customWidth="1"/>
    <col min="533" max="771" width="9" style="12"/>
    <col min="772" max="772" width="8.5" style="12" customWidth="1"/>
    <col min="773" max="773" width="40" style="12" customWidth="1"/>
    <col min="774" max="774" width="6.375" style="12" bestFit="1" customWidth="1"/>
    <col min="775" max="775" width="6.625" style="12" bestFit="1" customWidth="1"/>
    <col min="776" max="776" width="8.25" style="12" bestFit="1" customWidth="1"/>
    <col min="777" max="777" width="4.125" style="12" customWidth="1"/>
    <col min="778" max="778" width="8.5" style="12" customWidth="1"/>
    <col min="779" max="779" width="40" style="12" customWidth="1"/>
    <col min="780" max="780" width="6.375" style="12" customWidth="1"/>
    <col min="781" max="781" width="6.625" style="12" bestFit="1" customWidth="1"/>
    <col min="782" max="782" width="8.25" style="12" bestFit="1" customWidth="1"/>
    <col min="783" max="783" width="4.125" style="12" customWidth="1"/>
    <col min="784" max="784" width="8.5" style="12" customWidth="1"/>
    <col min="785" max="785" width="40" style="12" customWidth="1"/>
    <col min="786" max="786" width="6.375" style="12" customWidth="1"/>
    <col min="787" max="787" width="6.625" style="12" bestFit="1" customWidth="1"/>
    <col min="788" max="788" width="8.25" style="12" bestFit="1" customWidth="1"/>
    <col min="789" max="1027" width="9" style="12"/>
    <col min="1028" max="1028" width="8.5" style="12" customWidth="1"/>
    <col min="1029" max="1029" width="40" style="12" customWidth="1"/>
    <col min="1030" max="1030" width="6.375" style="12" bestFit="1" customWidth="1"/>
    <col min="1031" max="1031" width="6.625" style="12" bestFit="1" customWidth="1"/>
    <col min="1032" max="1032" width="8.25" style="12" bestFit="1" customWidth="1"/>
    <col min="1033" max="1033" width="4.125" style="12" customWidth="1"/>
    <col min="1034" max="1034" width="8.5" style="12" customWidth="1"/>
    <col min="1035" max="1035" width="40" style="12" customWidth="1"/>
    <col min="1036" max="1036" width="6.375" style="12" customWidth="1"/>
    <col min="1037" max="1037" width="6.625" style="12" bestFit="1" customWidth="1"/>
    <col min="1038" max="1038" width="8.25" style="12" bestFit="1" customWidth="1"/>
    <col min="1039" max="1039" width="4.125" style="12" customWidth="1"/>
    <col min="1040" max="1040" width="8.5" style="12" customWidth="1"/>
    <col min="1041" max="1041" width="40" style="12" customWidth="1"/>
    <col min="1042" max="1042" width="6.375" style="12" customWidth="1"/>
    <col min="1043" max="1043" width="6.625" style="12" bestFit="1" customWidth="1"/>
    <col min="1044" max="1044" width="8.25" style="12" bestFit="1" customWidth="1"/>
    <col min="1045" max="1283" width="9" style="12"/>
    <col min="1284" max="1284" width="8.5" style="12" customWidth="1"/>
    <col min="1285" max="1285" width="40" style="12" customWidth="1"/>
    <col min="1286" max="1286" width="6.375" style="12" bestFit="1" customWidth="1"/>
    <col min="1287" max="1287" width="6.625" style="12" bestFit="1" customWidth="1"/>
    <col min="1288" max="1288" width="8.25" style="12" bestFit="1" customWidth="1"/>
    <col min="1289" max="1289" width="4.125" style="12" customWidth="1"/>
    <col min="1290" max="1290" width="8.5" style="12" customWidth="1"/>
    <col min="1291" max="1291" width="40" style="12" customWidth="1"/>
    <col min="1292" max="1292" width="6.375" style="12" customWidth="1"/>
    <col min="1293" max="1293" width="6.625" style="12" bestFit="1" customWidth="1"/>
    <col min="1294" max="1294" width="8.25" style="12" bestFit="1" customWidth="1"/>
    <col min="1295" max="1295" width="4.125" style="12" customWidth="1"/>
    <col min="1296" max="1296" width="8.5" style="12" customWidth="1"/>
    <col min="1297" max="1297" width="40" style="12" customWidth="1"/>
    <col min="1298" max="1298" width="6.375" style="12" customWidth="1"/>
    <col min="1299" max="1299" width="6.625" style="12" bestFit="1" customWidth="1"/>
    <col min="1300" max="1300" width="8.25" style="12" bestFit="1" customWidth="1"/>
    <col min="1301" max="1539" width="9" style="12"/>
    <col min="1540" max="1540" width="8.5" style="12" customWidth="1"/>
    <col min="1541" max="1541" width="40" style="12" customWidth="1"/>
    <col min="1542" max="1542" width="6.375" style="12" bestFit="1" customWidth="1"/>
    <col min="1543" max="1543" width="6.625" style="12" bestFit="1" customWidth="1"/>
    <col min="1544" max="1544" width="8.25" style="12" bestFit="1" customWidth="1"/>
    <col min="1545" max="1545" width="4.125" style="12" customWidth="1"/>
    <col min="1546" max="1546" width="8.5" style="12" customWidth="1"/>
    <col min="1547" max="1547" width="40" style="12" customWidth="1"/>
    <col min="1548" max="1548" width="6.375" style="12" customWidth="1"/>
    <col min="1549" max="1549" width="6.625" style="12" bestFit="1" customWidth="1"/>
    <col min="1550" max="1550" width="8.25" style="12" bestFit="1" customWidth="1"/>
    <col min="1551" max="1551" width="4.125" style="12" customWidth="1"/>
    <col min="1552" max="1552" width="8.5" style="12" customWidth="1"/>
    <col min="1553" max="1553" width="40" style="12" customWidth="1"/>
    <col min="1554" max="1554" width="6.375" style="12" customWidth="1"/>
    <col min="1555" max="1555" width="6.625" style="12" bestFit="1" customWidth="1"/>
    <col min="1556" max="1556" width="8.25" style="12" bestFit="1" customWidth="1"/>
    <col min="1557" max="1795" width="9" style="12"/>
    <col min="1796" max="1796" width="8.5" style="12" customWidth="1"/>
    <col min="1797" max="1797" width="40" style="12" customWidth="1"/>
    <col min="1798" max="1798" width="6.375" style="12" bestFit="1" customWidth="1"/>
    <col min="1799" max="1799" width="6.625" style="12" bestFit="1" customWidth="1"/>
    <col min="1800" max="1800" width="8.25" style="12" bestFit="1" customWidth="1"/>
    <col min="1801" max="1801" width="4.125" style="12" customWidth="1"/>
    <col min="1802" max="1802" width="8.5" style="12" customWidth="1"/>
    <col min="1803" max="1803" width="40" style="12" customWidth="1"/>
    <col min="1804" max="1804" width="6.375" style="12" customWidth="1"/>
    <col min="1805" max="1805" width="6.625" style="12" bestFit="1" customWidth="1"/>
    <col min="1806" max="1806" width="8.25" style="12" bestFit="1" customWidth="1"/>
    <col min="1807" max="1807" width="4.125" style="12" customWidth="1"/>
    <col min="1808" max="1808" width="8.5" style="12" customWidth="1"/>
    <col min="1809" max="1809" width="40" style="12" customWidth="1"/>
    <col min="1810" max="1810" width="6.375" style="12" customWidth="1"/>
    <col min="1811" max="1811" width="6.625" style="12" bestFit="1" customWidth="1"/>
    <col min="1812" max="1812" width="8.25" style="12" bestFit="1" customWidth="1"/>
    <col min="1813" max="2051" width="9" style="12"/>
    <col min="2052" max="2052" width="8.5" style="12" customWidth="1"/>
    <col min="2053" max="2053" width="40" style="12" customWidth="1"/>
    <col min="2054" max="2054" width="6.375" style="12" bestFit="1" customWidth="1"/>
    <col min="2055" max="2055" width="6.625" style="12" bestFit="1" customWidth="1"/>
    <col min="2056" max="2056" width="8.25" style="12" bestFit="1" customWidth="1"/>
    <col min="2057" max="2057" width="4.125" style="12" customWidth="1"/>
    <col min="2058" max="2058" width="8.5" style="12" customWidth="1"/>
    <col min="2059" max="2059" width="40" style="12" customWidth="1"/>
    <col min="2060" max="2060" width="6.375" style="12" customWidth="1"/>
    <col min="2061" max="2061" width="6.625" style="12" bestFit="1" customWidth="1"/>
    <col min="2062" max="2062" width="8.25" style="12" bestFit="1" customWidth="1"/>
    <col min="2063" max="2063" width="4.125" style="12" customWidth="1"/>
    <col min="2064" max="2064" width="8.5" style="12" customWidth="1"/>
    <col min="2065" max="2065" width="40" style="12" customWidth="1"/>
    <col min="2066" max="2066" width="6.375" style="12" customWidth="1"/>
    <col min="2067" max="2067" width="6.625" style="12" bestFit="1" customWidth="1"/>
    <col min="2068" max="2068" width="8.25" style="12" bestFit="1" customWidth="1"/>
    <col min="2069" max="2307" width="9" style="12"/>
    <col min="2308" max="2308" width="8.5" style="12" customWidth="1"/>
    <col min="2309" max="2309" width="40" style="12" customWidth="1"/>
    <col min="2310" max="2310" width="6.375" style="12" bestFit="1" customWidth="1"/>
    <col min="2311" max="2311" width="6.625" style="12" bestFit="1" customWidth="1"/>
    <col min="2312" max="2312" width="8.25" style="12" bestFit="1" customWidth="1"/>
    <col min="2313" max="2313" width="4.125" style="12" customWidth="1"/>
    <col min="2314" max="2314" width="8.5" style="12" customWidth="1"/>
    <col min="2315" max="2315" width="40" style="12" customWidth="1"/>
    <col min="2316" max="2316" width="6.375" style="12" customWidth="1"/>
    <col min="2317" max="2317" width="6.625" style="12" bestFit="1" customWidth="1"/>
    <col min="2318" max="2318" width="8.25" style="12" bestFit="1" customWidth="1"/>
    <col min="2319" max="2319" width="4.125" style="12" customWidth="1"/>
    <col min="2320" max="2320" width="8.5" style="12" customWidth="1"/>
    <col min="2321" max="2321" width="40" style="12" customWidth="1"/>
    <col min="2322" max="2322" width="6.375" style="12" customWidth="1"/>
    <col min="2323" max="2323" width="6.625" style="12" bestFit="1" customWidth="1"/>
    <col min="2324" max="2324" width="8.25" style="12" bestFit="1" customWidth="1"/>
    <col min="2325" max="2563" width="9" style="12"/>
    <col min="2564" max="2564" width="8.5" style="12" customWidth="1"/>
    <col min="2565" max="2565" width="40" style="12" customWidth="1"/>
    <col min="2566" max="2566" width="6.375" style="12" bestFit="1" customWidth="1"/>
    <col min="2567" max="2567" width="6.625" style="12" bestFit="1" customWidth="1"/>
    <col min="2568" max="2568" width="8.25" style="12" bestFit="1" customWidth="1"/>
    <col min="2569" max="2569" width="4.125" style="12" customWidth="1"/>
    <col min="2570" max="2570" width="8.5" style="12" customWidth="1"/>
    <col min="2571" max="2571" width="40" style="12" customWidth="1"/>
    <col min="2572" max="2572" width="6.375" style="12" customWidth="1"/>
    <col min="2573" max="2573" width="6.625" style="12" bestFit="1" customWidth="1"/>
    <col min="2574" max="2574" width="8.25" style="12" bestFit="1" customWidth="1"/>
    <col min="2575" max="2575" width="4.125" style="12" customWidth="1"/>
    <col min="2576" max="2576" width="8.5" style="12" customWidth="1"/>
    <col min="2577" max="2577" width="40" style="12" customWidth="1"/>
    <col min="2578" max="2578" width="6.375" style="12" customWidth="1"/>
    <col min="2579" max="2579" width="6.625" style="12" bestFit="1" customWidth="1"/>
    <col min="2580" max="2580" width="8.25" style="12" bestFit="1" customWidth="1"/>
    <col min="2581" max="2819" width="9" style="12"/>
    <col min="2820" max="2820" width="8.5" style="12" customWidth="1"/>
    <col min="2821" max="2821" width="40" style="12" customWidth="1"/>
    <col min="2822" max="2822" width="6.375" style="12" bestFit="1" customWidth="1"/>
    <col min="2823" max="2823" width="6.625" style="12" bestFit="1" customWidth="1"/>
    <col min="2824" max="2824" width="8.25" style="12" bestFit="1" customWidth="1"/>
    <col min="2825" max="2825" width="4.125" style="12" customWidth="1"/>
    <col min="2826" max="2826" width="8.5" style="12" customWidth="1"/>
    <col min="2827" max="2827" width="40" style="12" customWidth="1"/>
    <col min="2828" max="2828" width="6.375" style="12" customWidth="1"/>
    <col min="2829" max="2829" width="6.625" style="12" bestFit="1" customWidth="1"/>
    <col min="2830" max="2830" width="8.25" style="12" bestFit="1" customWidth="1"/>
    <col min="2831" max="2831" width="4.125" style="12" customWidth="1"/>
    <col min="2832" max="2832" width="8.5" style="12" customWidth="1"/>
    <col min="2833" max="2833" width="40" style="12" customWidth="1"/>
    <col min="2834" max="2834" width="6.375" style="12" customWidth="1"/>
    <col min="2835" max="2835" width="6.625" style="12" bestFit="1" customWidth="1"/>
    <col min="2836" max="2836" width="8.25" style="12" bestFit="1" customWidth="1"/>
    <col min="2837" max="3075" width="9" style="12"/>
    <col min="3076" max="3076" width="8.5" style="12" customWidth="1"/>
    <col min="3077" max="3077" width="40" style="12" customWidth="1"/>
    <col min="3078" max="3078" width="6.375" style="12" bestFit="1" customWidth="1"/>
    <col min="3079" max="3079" width="6.625" style="12" bestFit="1" customWidth="1"/>
    <col min="3080" max="3080" width="8.25" style="12" bestFit="1" customWidth="1"/>
    <col min="3081" max="3081" width="4.125" style="12" customWidth="1"/>
    <col min="3082" max="3082" width="8.5" style="12" customWidth="1"/>
    <col min="3083" max="3083" width="40" style="12" customWidth="1"/>
    <col min="3084" max="3084" width="6.375" style="12" customWidth="1"/>
    <col min="3085" max="3085" width="6.625" style="12" bestFit="1" customWidth="1"/>
    <col min="3086" max="3086" width="8.25" style="12" bestFit="1" customWidth="1"/>
    <col min="3087" max="3087" width="4.125" style="12" customWidth="1"/>
    <col min="3088" max="3088" width="8.5" style="12" customWidth="1"/>
    <col min="3089" max="3089" width="40" style="12" customWidth="1"/>
    <col min="3090" max="3090" width="6.375" style="12" customWidth="1"/>
    <col min="3091" max="3091" width="6.625" style="12" bestFit="1" customWidth="1"/>
    <col min="3092" max="3092" width="8.25" style="12" bestFit="1" customWidth="1"/>
    <col min="3093" max="3331" width="9" style="12"/>
    <col min="3332" max="3332" width="8.5" style="12" customWidth="1"/>
    <col min="3333" max="3333" width="40" style="12" customWidth="1"/>
    <col min="3334" max="3334" width="6.375" style="12" bestFit="1" customWidth="1"/>
    <col min="3335" max="3335" width="6.625" style="12" bestFit="1" customWidth="1"/>
    <col min="3336" max="3336" width="8.25" style="12" bestFit="1" customWidth="1"/>
    <col min="3337" max="3337" width="4.125" style="12" customWidth="1"/>
    <col min="3338" max="3338" width="8.5" style="12" customWidth="1"/>
    <col min="3339" max="3339" width="40" style="12" customWidth="1"/>
    <col min="3340" max="3340" width="6.375" style="12" customWidth="1"/>
    <col min="3341" max="3341" width="6.625" style="12" bestFit="1" customWidth="1"/>
    <col min="3342" max="3342" width="8.25" style="12" bestFit="1" customWidth="1"/>
    <col min="3343" max="3343" width="4.125" style="12" customWidth="1"/>
    <col min="3344" max="3344" width="8.5" style="12" customWidth="1"/>
    <col min="3345" max="3345" width="40" style="12" customWidth="1"/>
    <col min="3346" max="3346" width="6.375" style="12" customWidth="1"/>
    <col min="3347" max="3347" width="6.625" style="12" bestFit="1" customWidth="1"/>
    <col min="3348" max="3348" width="8.25" style="12" bestFit="1" customWidth="1"/>
    <col min="3349" max="3587" width="9" style="12"/>
    <col min="3588" max="3588" width="8.5" style="12" customWidth="1"/>
    <col min="3589" max="3589" width="40" style="12" customWidth="1"/>
    <col min="3590" max="3590" width="6.375" style="12" bestFit="1" customWidth="1"/>
    <col min="3591" max="3591" width="6.625" style="12" bestFit="1" customWidth="1"/>
    <col min="3592" max="3592" width="8.25" style="12" bestFit="1" customWidth="1"/>
    <col min="3593" max="3593" width="4.125" style="12" customWidth="1"/>
    <col min="3594" max="3594" width="8.5" style="12" customWidth="1"/>
    <col min="3595" max="3595" width="40" style="12" customWidth="1"/>
    <col min="3596" max="3596" width="6.375" style="12" customWidth="1"/>
    <col min="3597" max="3597" width="6.625" style="12" bestFit="1" customWidth="1"/>
    <col min="3598" max="3598" width="8.25" style="12" bestFit="1" customWidth="1"/>
    <col min="3599" max="3599" width="4.125" style="12" customWidth="1"/>
    <col min="3600" max="3600" width="8.5" style="12" customWidth="1"/>
    <col min="3601" max="3601" width="40" style="12" customWidth="1"/>
    <col min="3602" max="3602" width="6.375" style="12" customWidth="1"/>
    <col min="3603" max="3603" width="6.625" style="12" bestFit="1" customWidth="1"/>
    <col min="3604" max="3604" width="8.25" style="12" bestFit="1" customWidth="1"/>
    <col min="3605" max="3843" width="9" style="12"/>
    <col min="3844" max="3844" width="8.5" style="12" customWidth="1"/>
    <col min="3845" max="3845" width="40" style="12" customWidth="1"/>
    <col min="3846" max="3846" width="6.375" style="12" bestFit="1" customWidth="1"/>
    <col min="3847" max="3847" width="6.625" style="12" bestFit="1" customWidth="1"/>
    <col min="3848" max="3848" width="8.25" style="12" bestFit="1" customWidth="1"/>
    <col min="3849" max="3849" width="4.125" style="12" customWidth="1"/>
    <col min="3850" max="3850" width="8.5" style="12" customWidth="1"/>
    <col min="3851" max="3851" width="40" style="12" customWidth="1"/>
    <col min="3852" max="3852" width="6.375" style="12" customWidth="1"/>
    <col min="3853" max="3853" width="6.625" style="12" bestFit="1" customWidth="1"/>
    <col min="3854" max="3854" width="8.25" style="12" bestFit="1" customWidth="1"/>
    <col min="3855" max="3855" width="4.125" style="12" customWidth="1"/>
    <col min="3856" max="3856" width="8.5" style="12" customWidth="1"/>
    <col min="3857" max="3857" width="40" style="12" customWidth="1"/>
    <col min="3858" max="3858" width="6.375" style="12" customWidth="1"/>
    <col min="3859" max="3859" width="6.625" style="12" bestFit="1" customWidth="1"/>
    <col min="3860" max="3860" width="8.25" style="12" bestFit="1" customWidth="1"/>
    <col min="3861" max="4099" width="9" style="12"/>
    <col min="4100" max="4100" width="8.5" style="12" customWidth="1"/>
    <col min="4101" max="4101" width="40" style="12" customWidth="1"/>
    <col min="4102" max="4102" width="6.375" style="12" bestFit="1" customWidth="1"/>
    <col min="4103" max="4103" width="6.625" style="12" bestFit="1" customWidth="1"/>
    <col min="4104" max="4104" width="8.25" style="12" bestFit="1" customWidth="1"/>
    <col min="4105" max="4105" width="4.125" style="12" customWidth="1"/>
    <col min="4106" max="4106" width="8.5" style="12" customWidth="1"/>
    <col min="4107" max="4107" width="40" style="12" customWidth="1"/>
    <col min="4108" max="4108" width="6.375" style="12" customWidth="1"/>
    <col min="4109" max="4109" width="6.625" style="12" bestFit="1" customWidth="1"/>
    <col min="4110" max="4110" width="8.25" style="12" bestFit="1" customWidth="1"/>
    <col min="4111" max="4111" width="4.125" style="12" customWidth="1"/>
    <col min="4112" max="4112" width="8.5" style="12" customWidth="1"/>
    <col min="4113" max="4113" width="40" style="12" customWidth="1"/>
    <col min="4114" max="4114" width="6.375" style="12" customWidth="1"/>
    <col min="4115" max="4115" width="6.625" style="12" bestFit="1" customWidth="1"/>
    <col min="4116" max="4116" width="8.25" style="12" bestFit="1" customWidth="1"/>
    <col min="4117" max="4355" width="9" style="12"/>
    <col min="4356" max="4356" width="8.5" style="12" customWidth="1"/>
    <col min="4357" max="4357" width="40" style="12" customWidth="1"/>
    <col min="4358" max="4358" width="6.375" style="12" bestFit="1" customWidth="1"/>
    <col min="4359" max="4359" width="6.625" style="12" bestFit="1" customWidth="1"/>
    <col min="4360" max="4360" width="8.25" style="12" bestFit="1" customWidth="1"/>
    <col min="4361" max="4361" width="4.125" style="12" customWidth="1"/>
    <col min="4362" max="4362" width="8.5" style="12" customWidth="1"/>
    <col min="4363" max="4363" width="40" style="12" customWidth="1"/>
    <col min="4364" max="4364" width="6.375" style="12" customWidth="1"/>
    <col min="4365" max="4365" width="6.625" style="12" bestFit="1" customWidth="1"/>
    <col min="4366" max="4366" width="8.25" style="12" bestFit="1" customWidth="1"/>
    <col min="4367" max="4367" width="4.125" style="12" customWidth="1"/>
    <col min="4368" max="4368" width="8.5" style="12" customWidth="1"/>
    <col min="4369" max="4369" width="40" style="12" customWidth="1"/>
    <col min="4370" max="4370" width="6.375" style="12" customWidth="1"/>
    <col min="4371" max="4371" width="6.625" style="12" bestFit="1" customWidth="1"/>
    <col min="4372" max="4372" width="8.25" style="12" bestFit="1" customWidth="1"/>
    <col min="4373" max="4611" width="9" style="12"/>
    <col min="4612" max="4612" width="8.5" style="12" customWidth="1"/>
    <col min="4613" max="4613" width="40" style="12" customWidth="1"/>
    <col min="4614" max="4614" width="6.375" style="12" bestFit="1" customWidth="1"/>
    <col min="4615" max="4615" width="6.625" style="12" bestFit="1" customWidth="1"/>
    <col min="4616" max="4616" width="8.25" style="12" bestFit="1" customWidth="1"/>
    <col min="4617" max="4617" width="4.125" style="12" customWidth="1"/>
    <col min="4618" max="4618" width="8.5" style="12" customWidth="1"/>
    <col min="4619" max="4619" width="40" style="12" customWidth="1"/>
    <col min="4620" max="4620" width="6.375" style="12" customWidth="1"/>
    <col min="4621" max="4621" width="6.625" style="12" bestFit="1" customWidth="1"/>
    <col min="4622" max="4622" width="8.25" style="12" bestFit="1" customWidth="1"/>
    <col min="4623" max="4623" width="4.125" style="12" customWidth="1"/>
    <col min="4624" max="4624" width="8.5" style="12" customWidth="1"/>
    <col min="4625" max="4625" width="40" style="12" customWidth="1"/>
    <col min="4626" max="4626" width="6.375" style="12" customWidth="1"/>
    <col min="4627" max="4627" width="6.625" style="12" bestFit="1" customWidth="1"/>
    <col min="4628" max="4628" width="8.25" style="12" bestFit="1" customWidth="1"/>
    <col min="4629" max="4867" width="9" style="12"/>
    <col min="4868" max="4868" width="8.5" style="12" customWidth="1"/>
    <col min="4869" max="4869" width="40" style="12" customWidth="1"/>
    <col min="4870" max="4870" width="6.375" style="12" bestFit="1" customWidth="1"/>
    <col min="4871" max="4871" width="6.625" style="12" bestFit="1" customWidth="1"/>
    <col min="4872" max="4872" width="8.25" style="12" bestFit="1" customWidth="1"/>
    <col min="4873" max="4873" width="4.125" style="12" customWidth="1"/>
    <col min="4874" max="4874" width="8.5" style="12" customWidth="1"/>
    <col min="4875" max="4875" width="40" style="12" customWidth="1"/>
    <col min="4876" max="4876" width="6.375" style="12" customWidth="1"/>
    <col min="4877" max="4877" width="6.625" style="12" bestFit="1" customWidth="1"/>
    <col min="4878" max="4878" width="8.25" style="12" bestFit="1" customWidth="1"/>
    <col min="4879" max="4879" width="4.125" style="12" customWidth="1"/>
    <col min="4880" max="4880" width="8.5" style="12" customWidth="1"/>
    <col min="4881" max="4881" width="40" style="12" customWidth="1"/>
    <col min="4882" max="4882" width="6.375" style="12" customWidth="1"/>
    <col min="4883" max="4883" width="6.625" style="12" bestFit="1" customWidth="1"/>
    <col min="4884" max="4884" width="8.25" style="12" bestFit="1" customWidth="1"/>
    <col min="4885" max="5123" width="9" style="12"/>
    <col min="5124" max="5124" width="8.5" style="12" customWidth="1"/>
    <col min="5125" max="5125" width="40" style="12" customWidth="1"/>
    <col min="5126" max="5126" width="6.375" style="12" bestFit="1" customWidth="1"/>
    <col min="5127" max="5127" width="6.625" style="12" bestFit="1" customWidth="1"/>
    <col min="5128" max="5128" width="8.25" style="12" bestFit="1" customWidth="1"/>
    <col min="5129" max="5129" width="4.125" style="12" customWidth="1"/>
    <col min="5130" max="5130" width="8.5" style="12" customWidth="1"/>
    <col min="5131" max="5131" width="40" style="12" customWidth="1"/>
    <col min="5132" max="5132" width="6.375" style="12" customWidth="1"/>
    <col min="5133" max="5133" width="6.625" style="12" bestFit="1" customWidth="1"/>
    <col min="5134" max="5134" width="8.25" style="12" bestFit="1" customWidth="1"/>
    <col min="5135" max="5135" width="4.125" style="12" customWidth="1"/>
    <col min="5136" max="5136" width="8.5" style="12" customWidth="1"/>
    <col min="5137" max="5137" width="40" style="12" customWidth="1"/>
    <col min="5138" max="5138" width="6.375" style="12" customWidth="1"/>
    <col min="5139" max="5139" width="6.625" style="12" bestFit="1" customWidth="1"/>
    <col min="5140" max="5140" width="8.25" style="12" bestFit="1" customWidth="1"/>
    <col min="5141" max="5379" width="9" style="12"/>
    <col min="5380" max="5380" width="8.5" style="12" customWidth="1"/>
    <col min="5381" max="5381" width="40" style="12" customWidth="1"/>
    <col min="5382" max="5382" width="6.375" style="12" bestFit="1" customWidth="1"/>
    <col min="5383" max="5383" width="6.625" style="12" bestFit="1" customWidth="1"/>
    <col min="5384" max="5384" width="8.25" style="12" bestFit="1" customWidth="1"/>
    <col min="5385" max="5385" width="4.125" style="12" customWidth="1"/>
    <col min="5386" max="5386" width="8.5" style="12" customWidth="1"/>
    <col min="5387" max="5387" width="40" style="12" customWidth="1"/>
    <col min="5388" max="5388" width="6.375" style="12" customWidth="1"/>
    <col min="5389" max="5389" width="6.625" style="12" bestFit="1" customWidth="1"/>
    <col min="5390" max="5390" width="8.25" style="12" bestFit="1" customWidth="1"/>
    <col min="5391" max="5391" width="4.125" style="12" customWidth="1"/>
    <col min="5392" max="5392" width="8.5" style="12" customWidth="1"/>
    <col min="5393" max="5393" width="40" style="12" customWidth="1"/>
    <col min="5394" max="5394" width="6.375" style="12" customWidth="1"/>
    <col min="5395" max="5395" width="6.625" style="12" bestFit="1" customWidth="1"/>
    <col min="5396" max="5396" width="8.25" style="12" bestFit="1" customWidth="1"/>
    <col min="5397" max="5635" width="9" style="12"/>
    <col min="5636" max="5636" width="8.5" style="12" customWidth="1"/>
    <col min="5637" max="5637" width="40" style="12" customWidth="1"/>
    <col min="5638" max="5638" width="6.375" style="12" bestFit="1" customWidth="1"/>
    <col min="5639" max="5639" width="6.625" style="12" bestFit="1" customWidth="1"/>
    <col min="5640" max="5640" width="8.25" style="12" bestFit="1" customWidth="1"/>
    <col min="5641" max="5641" width="4.125" style="12" customWidth="1"/>
    <col min="5642" max="5642" width="8.5" style="12" customWidth="1"/>
    <col min="5643" max="5643" width="40" style="12" customWidth="1"/>
    <col min="5644" max="5644" width="6.375" style="12" customWidth="1"/>
    <col min="5645" max="5645" width="6.625" style="12" bestFit="1" customWidth="1"/>
    <col min="5646" max="5646" width="8.25" style="12" bestFit="1" customWidth="1"/>
    <col min="5647" max="5647" width="4.125" style="12" customWidth="1"/>
    <col min="5648" max="5648" width="8.5" style="12" customWidth="1"/>
    <col min="5649" max="5649" width="40" style="12" customWidth="1"/>
    <col min="5650" max="5650" width="6.375" style="12" customWidth="1"/>
    <col min="5651" max="5651" width="6.625" style="12" bestFit="1" customWidth="1"/>
    <col min="5652" max="5652" width="8.25" style="12" bestFit="1" customWidth="1"/>
    <col min="5653" max="5891" width="9" style="12"/>
    <col min="5892" max="5892" width="8.5" style="12" customWidth="1"/>
    <col min="5893" max="5893" width="40" style="12" customWidth="1"/>
    <col min="5894" max="5894" width="6.375" style="12" bestFit="1" customWidth="1"/>
    <col min="5895" max="5895" width="6.625" style="12" bestFit="1" customWidth="1"/>
    <col min="5896" max="5896" width="8.25" style="12" bestFit="1" customWidth="1"/>
    <col min="5897" max="5897" width="4.125" style="12" customWidth="1"/>
    <col min="5898" max="5898" width="8.5" style="12" customWidth="1"/>
    <col min="5899" max="5899" width="40" style="12" customWidth="1"/>
    <col min="5900" max="5900" width="6.375" style="12" customWidth="1"/>
    <col min="5901" max="5901" width="6.625" style="12" bestFit="1" customWidth="1"/>
    <col min="5902" max="5902" width="8.25" style="12" bestFit="1" customWidth="1"/>
    <col min="5903" max="5903" width="4.125" style="12" customWidth="1"/>
    <col min="5904" max="5904" width="8.5" style="12" customWidth="1"/>
    <col min="5905" max="5905" width="40" style="12" customWidth="1"/>
    <col min="5906" max="5906" width="6.375" style="12" customWidth="1"/>
    <col min="5907" max="5907" width="6.625" style="12" bestFit="1" customWidth="1"/>
    <col min="5908" max="5908" width="8.25" style="12" bestFit="1" customWidth="1"/>
    <col min="5909" max="6147" width="9" style="12"/>
    <col min="6148" max="6148" width="8.5" style="12" customWidth="1"/>
    <col min="6149" max="6149" width="40" style="12" customWidth="1"/>
    <col min="6150" max="6150" width="6.375" style="12" bestFit="1" customWidth="1"/>
    <col min="6151" max="6151" width="6.625" style="12" bestFit="1" customWidth="1"/>
    <col min="6152" max="6152" width="8.25" style="12" bestFit="1" customWidth="1"/>
    <col min="6153" max="6153" width="4.125" style="12" customWidth="1"/>
    <col min="6154" max="6154" width="8.5" style="12" customWidth="1"/>
    <col min="6155" max="6155" width="40" style="12" customWidth="1"/>
    <col min="6156" max="6156" width="6.375" style="12" customWidth="1"/>
    <col min="6157" max="6157" width="6.625" style="12" bestFit="1" customWidth="1"/>
    <col min="6158" max="6158" width="8.25" style="12" bestFit="1" customWidth="1"/>
    <col min="6159" max="6159" width="4.125" style="12" customWidth="1"/>
    <col min="6160" max="6160" width="8.5" style="12" customWidth="1"/>
    <col min="6161" max="6161" width="40" style="12" customWidth="1"/>
    <col min="6162" max="6162" width="6.375" style="12" customWidth="1"/>
    <col min="6163" max="6163" width="6.625" style="12" bestFit="1" customWidth="1"/>
    <col min="6164" max="6164" width="8.25" style="12" bestFit="1" customWidth="1"/>
    <col min="6165" max="6403" width="9" style="12"/>
    <col min="6404" max="6404" width="8.5" style="12" customWidth="1"/>
    <col min="6405" max="6405" width="40" style="12" customWidth="1"/>
    <col min="6406" max="6406" width="6.375" style="12" bestFit="1" customWidth="1"/>
    <col min="6407" max="6407" width="6.625" style="12" bestFit="1" customWidth="1"/>
    <col min="6408" max="6408" width="8.25" style="12" bestFit="1" customWidth="1"/>
    <col min="6409" max="6409" width="4.125" style="12" customWidth="1"/>
    <col min="6410" max="6410" width="8.5" style="12" customWidth="1"/>
    <col min="6411" max="6411" width="40" style="12" customWidth="1"/>
    <col min="6412" max="6412" width="6.375" style="12" customWidth="1"/>
    <col min="6413" max="6413" width="6.625" style="12" bestFit="1" customWidth="1"/>
    <col min="6414" max="6414" width="8.25" style="12" bestFit="1" customWidth="1"/>
    <col min="6415" max="6415" width="4.125" style="12" customWidth="1"/>
    <col min="6416" max="6416" width="8.5" style="12" customWidth="1"/>
    <col min="6417" max="6417" width="40" style="12" customWidth="1"/>
    <col min="6418" max="6418" width="6.375" style="12" customWidth="1"/>
    <col min="6419" max="6419" width="6.625" style="12" bestFit="1" customWidth="1"/>
    <col min="6420" max="6420" width="8.25" style="12" bestFit="1" customWidth="1"/>
    <col min="6421" max="6659" width="9" style="12"/>
    <col min="6660" max="6660" width="8.5" style="12" customWidth="1"/>
    <col min="6661" max="6661" width="40" style="12" customWidth="1"/>
    <col min="6662" max="6662" width="6.375" style="12" bestFit="1" customWidth="1"/>
    <col min="6663" max="6663" width="6.625" style="12" bestFit="1" customWidth="1"/>
    <col min="6664" max="6664" width="8.25" style="12" bestFit="1" customWidth="1"/>
    <col min="6665" max="6665" width="4.125" style="12" customWidth="1"/>
    <col min="6666" max="6666" width="8.5" style="12" customWidth="1"/>
    <col min="6667" max="6667" width="40" style="12" customWidth="1"/>
    <col min="6668" max="6668" width="6.375" style="12" customWidth="1"/>
    <col min="6669" max="6669" width="6.625" style="12" bestFit="1" customWidth="1"/>
    <col min="6670" max="6670" width="8.25" style="12" bestFit="1" customWidth="1"/>
    <col min="6671" max="6671" width="4.125" style="12" customWidth="1"/>
    <col min="6672" max="6672" width="8.5" style="12" customWidth="1"/>
    <col min="6673" max="6673" width="40" style="12" customWidth="1"/>
    <col min="6674" max="6674" width="6.375" style="12" customWidth="1"/>
    <col min="6675" max="6675" width="6.625" style="12" bestFit="1" customWidth="1"/>
    <col min="6676" max="6676" width="8.25" style="12" bestFit="1" customWidth="1"/>
    <col min="6677" max="6915" width="9" style="12"/>
    <col min="6916" max="6916" width="8.5" style="12" customWidth="1"/>
    <col min="6917" max="6917" width="40" style="12" customWidth="1"/>
    <col min="6918" max="6918" width="6.375" style="12" bestFit="1" customWidth="1"/>
    <col min="6919" max="6919" width="6.625" style="12" bestFit="1" customWidth="1"/>
    <col min="6920" max="6920" width="8.25" style="12" bestFit="1" customWidth="1"/>
    <col min="6921" max="6921" width="4.125" style="12" customWidth="1"/>
    <col min="6922" max="6922" width="8.5" style="12" customWidth="1"/>
    <col min="6923" max="6923" width="40" style="12" customWidth="1"/>
    <col min="6924" max="6924" width="6.375" style="12" customWidth="1"/>
    <col min="6925" max="6925" width="6.625" style="12" bestFit="1" customWidth="1"/>
    <col min="6926" max="6926" width="8.25" style="12" bestFit="1" customWidth="1"/>
    <col min="6927" max="6927" width="4.125" style="12" customWidth="1"/>
    <col min="6928" max="6928" width="8.5" style="12" customWidth="1"/>
    <col min="6929" max="6929" width="40" style="12" customWidth="1"/>
    <col min="6930" max="6930" width="6.375" style="12" customWidth="1"/>
    <col min="6931" max="6931" width="6.625" style="12" bestFit="1" customWidth="1"/>
    <col min="6932" max="6932" width="8.25" style="12" bestFit="1" customWidth="1"/>
    <col min="6933" max="7171" width="9" style="12"/>
    <col min="7172" max="7172" width="8.5" style="12" customWidth="1"/>
    <col min="7173" max="7173" width="40" style="12" customWidth="1"/>
    <col min="7174" max="7174" width="6.375" style="12" bestFit="1" customWidth="1"/>
    <col min="7175" max="7175" width="6.625" style="12" bestFit="1" customWidth="1"/>
    <col min="7176" max="7176" width="8.25" style="12" bestFit="1" customWidth="1"/>
    <col min="7177" max="7177" width="4.125" style="12" customWidth="1"/>
    <col min="7178" max="7178" width="8.5" style="12" customWidth="1"/>
    <col min="7179" max="7179" width="40" style="12" customWidth="1"/>
    <col min="7180" max="7180" width="6.375" style="12" customWidth="1"/>
    <col min="7181" max="7181" width="6.625" style="12" bestFit="1" customWidth="1"/>
    <col min="7182" max="7182" width="8.25" style="12" bestFit="1" customWidth="1"/>
    <col min="7183" max="7183" width="4.125" style="12" customWidth="1"/>
    <col min="7184" max="7184" width="8.5" style="12" customWidth="1"/>
    <col min="7185" max="7185" width="40" style="12" customWidth="1"/>
    <col min="7186" max="7186" width="6.375" style="12" customWidth="1"/>
    <col min="7187" max="7187" width="6.625" style="12" bestFit="1" customWidth="1"/>
    <col min="7188" max="7188" width="8.25" style="12" bestFit="1" customWidth="1"/>
    <col min="7189" max="7427" width="9" style="12"/>
    <col min="7428" max="7428" width="8.5" style="12" customWidth="1"/>
    <col min="7429" max="7429" width="40" style="12" customWidth="1"/>
    <col min="7430" max="7430" width="6.375" style="12" bestFit="1" customWidth="1"/>
    <col min="7431" max="7431" width="6.625" style="12" bestFit="1" customWidth="1"/>
    <col min="7432" max="7432" width="8.25" style="12" bestFit="1" customWidth="1"/>
    <col min="7433" max="7433" width="4.125" style="12" customWidth="1"/>
    <col min="7434" max="7434" width="8.5" style="12" customWidth="1"/>
    <col min="7435" max="7435" width="40" style="12" customWidth="1"/>
    <col min="7436" max="7436" width="6.375" style="12" customWidth="1"/>
    <col min="7437" max="7437" width="6.625" style="12" bestFit="1" customWidth="1"/>
    <col min="7438" max="7438" width="8.25" style="12" bestFit="1" customWidth="1"/>
    <col min="7439" max="7439" width="4.125" style="12" customWidth="1"/>
    <col min="7440" max="7440" width="8.5" style="12" customWidth="1"/>
    <col min="7441" max="7441" width="40" style="12" customWidth="1"/>
    <col min="7442" max="7442" width="6.375" style="12" customWidth="1"/>
    <col min="7443" max="7443" width="6.625" style="12" bestFit="1" customWidth="1"/>
    <col min="7444" max="7444" width="8.25" style="12" bestFit="1" customWidth="1"/>
    <col min="7445" max="7683" width="9" style="12"/>
    <col min="7684" max="7684" width="8.5" style="12" customWidth="1"/>
    <col min="7685" max="7685" width="40" style="12" customWidth="1"/>
    <col min="7686" max="7686" width="6.375" style="12" bestFit="1" customWidth="1"/>
    <col min="7687" max="7687" width="6.625" style="12" bestFit="1" customWidth="1"/>
    <col min="7688" max="7688" width="8.25" style="12" bestFit="1" customWidth="1"/>
    <col min="7689" max="7689" width="4.125" style="12" customWidth="1"/>
    <col min="7690" max="7690" width="8.5" style="12" customWidth="1"/>
    <col min="7691" max="7691" width="40" style="12" customWidth="1"/>
    <col min="7692" max="7692" width="6.375" style="12" customWidth="1"/>
    <col min="7693" max="7693" width="6.625" style="12" bestFit="1" customWidth="1"/>
    <col min="7694" max="7694" width="8.25" style="12" bestFit="1" customWidth="1"/>
    <col min="7695" max="7695" width="4.125" style="12" customWidth="1"/>
    <col min="7696" max="7696" width="8.5" style="12" customWidth="1"/>
    <col min="7697" max="7697" width="40" style="12" customWidth="1"/>
    <col min="7698" max="7698" width="6.375" style="12" customWidth="1"/>
    <col min="7699" max="7699" width="6.625" style="12" bestFit="1" customWidth="1"/>
    <col min="7700" max="7700" width="8.25" style="12" bestFit="1" customWidth="1"/>
    <col min="7701" max="7939" width="9" style="12"/>
    <col min="7940" max="7940" width="8.5" style="12" customWidth="1"/>
    <col min="7941" max="7941" width="40" style="12" customWidth="1"/>
    <col min="7942" max="7942" width="6.375" style="12" bestFit="1" customWidth="1"/>
    <col min="7943" max="7943" width="6.625" style="12" bestFit="1" customWidth="1"/>
    <col min="7944" max="7944" width="8.25" style="12" bestFit="1" customWidth="1"/>
    <col min="7945" max="7945" width="4.125" style="12" customWidth="1"/>
    <col min="7946" max="7946" width="8.5" style="12" customWidth="1"/>
    <col min="7947" max="7947" width="40" style="12" customWidth="1"/>
    <col min="7948" max="7948" width="6.375" style="12" customWidth="1"/>
    <col min="7949" max="7949" width="6.625" style="12" bestFit="1" customWidth="1"/>
    <col min="7950" max="7950" width="8.25" style="12" bestFit="1" customWidth="1"/>
    <col min="7951" max="7951" width="4.125" style="12" customWidth="1"/>
    <col min="7952" max="7952" width="8.5" style="12" customWidth="1"/>
    <col min="7953" max="7953" width="40" style="12" customWidth="1"/>
    <col min="7954" max="7954" width="6.375" style="12" customWidth="1"/>
    <col min="7955" max="7955" width="6.625" style="12" bestFit="1" customWidth="1"/>
    <col min="7956" max="7956" width="8.25" style="12" bestFit="1" customWidth="1"/>
    <col min="7957" max="8195" width="9" style="12"/>
    <col min="8196" max="8196" width="8.5" style="12" customWidth="1"/>
    <col min="8197" max="8197" width="40" style="12" customWidth="1"/>
    <col min="8198" max="8198" width="6.375" style="12" bestFit="1" customWidth="1"/>
    <col min="8199" max="8199" width="6.625" style="12" bestFit="1" customWidth="1"/>
    <col min="8200" max="8200" width="8.25" style="12" bestFit="1" customWidth="1"/>
    <col min="8201" max="8201" width="4.125" style="12" customWidth="1"/>
    <col min="8202" max="8202" width="8.5" style="12" customWidth="1"/>
    <col min="8203" max="8203" width="40" style="12" customWidth="1"/>
    <col min="8204" max="8204" width="6.375" style="12" customWidth="1"/>
    <col min="8205" max="8205" width="6.625" style="12" bestFit="1" customWidth="1"/>
    <col min="8206" max="8206" width="8.25" style="12" bestFit="1" customWidth="1"/>
    <col min="8207" max="8207" width="4.125" style="12" customWidth="1"/>
    <col min="8208" max="8208" width="8.5" style="12" customWidth="1"/>
    <col min="8209" max="8209" width="40" style="12" customWidth="1"/>
    <col min="8210" max="8210" width="6.375" style="12" customWidth="1"/>
    <col min="8211" max="8211" width="6.625" style="12" bestFit="1" customWidth="1"/>
    <col min="8212" max="8212" width="8.25" style="12" bestFit="1" customWidth="1"/>
    <col min="8213" max="8451" width="9" style="12"/>
    <col min="8452" max="8452" width="8.5" style="12" customWidth="1"/>
    <col min="8453" max="8453" width="40" style="12" customWidth="1"/>
    <col min="8454" max="8454" width="6.375" style="12" bestFit="1" customWidth="1"/>
    <col min="8455" max="8455" width="6.625" style="12" bestFit="1" customWidth="1"/>
    <col min="8456" max="8456" width="8.25" style="12" bestFit="1" customWidth="1"/>
    <col min="8457" max="8457" width="4.125" style="12" customWidth="1"/>
    <col min="8458" max="8458" width="8.5" style="12" customWidth="1"/>
    <col min="8459" max="8459" width="40" style="12" customWidth="1"/>
    <col min="8460" max="8460" width="6.375" style="12" customWidth="1"/>
    <col min="8461" max="8461" width="6.625" style="12" bestFit="1" customWidth="1"/>
    <col min="8462" max="8462" width="8.25" style="12" bestFit="1" customWidth="1"/>
    <col min="8463" max="8463" width="4.125" style="12" customWidth="1"/>
    <col min="8464" max="8464" width="8.5" style="12" customWidth="1"/>
    <col min="8465" max="8465" width="40" style="12" customWidth="1"/>
    <col min="8466" max="8466" width="6.375" style="12" customWidth="1"/>
    <col min="8467" max="8467" width="6.625" style="12" bestFit="1" customWidth="1"/>
    <col min="8468" max="8468" width="8.25" style="12" bestFit="1" customWidth="1"/>
    <col min="8469" max="8707" width="9" style="12"/>
    <col min="8708" max="8708" width="8.5" style="12" customWidth="1"/>
    <col min="8709" max="8709" width="40" style="12" customWidth="1"/>
    <col min="8710" max="8710" width="6.375" style="12" bestFit="1" customWidth="1"/>
    <col min="8711" max="8711" width="6.625" style="12" bestFit="1" customWidth="1"/>
    <col min="8712" max="8712" width="8.25" style="12" bestFit="1" customWidth="1"/>
    <col min="8713" max="8713" width="4.125" style="12" customWidth="1"/>
    <col min="8714" max="8714" width="8.5" style="12" customWidth="1"/>
    <col min="8715" max="8715" width="40" style="12" customWidth="1"/>
    <col min="8716" max="8716" width="6.375" style="12" customWidth="1"/>
    <col min="8717" max="8717" width="6.625" style="12" bestFit="1" customWidth="1"/>
    <col min="8718" max="8718" width="8.25" style="12" bestFit="1" customWidth="1"/>
    <col min="8719" max="8719" width="4.125" style="12" customWidth="1"/>
    <col min="8720" max="8720" width="8.5" style="12" customWidth="1"/>
    <col min="8721" max="8721" width="40" style="12" customWidth="1"/>
    <col min="8722" max="8722" width="6.375" style="12" customWidth="1"/>
    <col min="8723" max="8723" width="6.625" style="12" bestFit="1" customWidth="1"/>
    <col min="8724" max="8724" width="8.25" style="12" bestFit="1" customWidth="1"/>
    <col min="8725" max="8963" width="9" style="12"/>
    <col min="8964" max="8964" width="8.5" style="12" customWidth="1"/>
    <col min="8965" max="8965" width="40" style="12" customWidth="1"/>
    <col min="8966" max="8966" width="6.375" style="12" bestFit="1" customWidth="1"/>
    <col min="8967" max="8967" width="6.625" style="12" bestFit="1" customWidth="1"/>
    <col min="8968" max="8968" width="8.25" style="12" bestFit="1" customWidth="1"/>
    <col min="8969" max="8969" width="4.125" style="12" customWidth="1"/>
    <col min="8970" max="8970" width="8.5" style="12" customWidth="1"/>
    <col min="8971" max="8971" width="40" style="12" customWidth="1"/>
    <col min="8972" max="8972" width="6.375" style="12" customWidth="1"/>
    <col min="8973" max="8973" width="6.625" style="12" bestFit="1" customWidth="1"/>
    <col min="8974" max="8974" width="8.25" style="12" bestFit="1" customWidth="1"/>
    <col min="8975" max="8975" width="4.125" style="12" customWidth="1"/>
    <col min="8976" max="8976" width="8.5" style="12" customWidth="1"/>
    <col min="8977" max="8977" width="40" style="12" customWidth="1"/>
    <col min="8978" max="8978" width="6.375" style="12" customWidth="1"/>
    <col min="8979" max="8979" width="6.625" style="12" bestFit="1" customWidth="1"/>
    <col min="8980" max="8980" width="8.25" style="12" bestFit="1" customWidth="1"/>
    <col min="8981" max="9219" width="9" style="12"/>
    <col min="9220" max="9220" width="8.5" style="12" customWidth="1"/>
    <col min="9221" max="9221" width="40" style="12" customWidth="1"/>
    <col min="9222" max="9222" width="6.375" style="12" bestFit="1" customWidth="1"/>
    <col min="9223" max="9223" width="6.625" style="12" bestFit="1" customWidth="1"/>
    <col min="9224" max="9224" width="8.25" style="12" bestFit="1" customWidth="1"/>
    <col min="9225" max="9225" width="4.125" style="12" customWidth="1"/>
    <col min="9226" max="9226" width="8.5" style="12" customWidth="1"/>
    <col min="9227" max="9227" width="40" style="12" customWidth="1"/>
    <col min="9228" max="9228" width="6.375" style="12" customWidth="1"/>
    <col min="9229" max="9229" width="6.625" style="12" bestFit="1" customWidth="1"/>
    <col min="9230" max="9230" width="8.25" style="12" bestFit="1" customWidth="1"/>
    <col min="9231" max="9231" width="4.125" style="12" customWidth="1"/>
    <col min="9232" max="9232" width="8.5" style="12" customWidth="1"/>
    <col min="9233" max="9233" width="40" style="12" customWidth="1"/>
    <col min="9234" max="9234" width="6.375" style="12" customWidth="1"/>
    <col min="9235" max="9235" width="6.625" style="12" bestFit="1" customWidth="1"/>
    <col min="9236" max="9236" width="8.25" style="12" bestFit="1" customWidth="1"/>
    <col min="9237" max="9475" width="9" style="12"/>
    <col min="9476" max="9476" width="8.5" style="12" customWidth="1"/>
    <col min="9477" max="9477" width="40" style="12" customWidth="1"/>
    <col min="9478" max="9478" width="6.375" style="12" bestFit="1" customWidth="1"/>
    <col min="9479" max="9479" width="6.625" style="12" bestFit="1" customWidth="1"/>
    <col min="9480" max="9480" width="8.25" style="12" bestFit="1" customWidth="1"/>
    <col min="9481" max="9481" width="4.125" style="12" customWidth="1"/>
    <col min="9482" max="9482" width="8.5" style="12" customWidth="1"/>
    <col min="9483" max="9483" width="40" style="12" customWidth="1"/>
    <col min="9484" max="9484" width="6.375" style="12" customWidth="1"/>
    <col min="9485" max="9485" width="6.625" style="12" bestFit="1" customWidth="1"/>
    <col min="9486" max="9486" width="8.25" style="12" bestFit="1" customWidth="1"/>
    <col min="9487" max="9487" width="4.125" style="12" customWidth="1"/>
    <col min="9488" max="9488" width="8.5" style="12" customWidth="1"/>
    <col min="9489" max="9489" width="40" style="12" customWidth="1"/>
    <col min="9490" max="9490" width="6.375" style="12" customWidth="1"/>
    <col min="9491" max="9491" width="6.625" style="12" bestFit="1" customWidth="1"/>
    <col min="9492" max="9492" width="8.25" style="12" bestFit="1" customWidth="1"/>
    <col min="9493" max="9731" width="9" style="12"/>
    <col min="9732" max="9732" width="8.5" style="12" customWidth="1"/>
    <col min="9733" max="9733" width="40" style="12" customWidth="1"/>
    <col min="9734" max="9734" width="6.375" style="12" bestFit="1" customWidth="1"/>
    <col min="9735" max="9735" width="6.625" style="12" bestFit="1" customWidth="1"/>
    <col min="9736" max="9736" width="8.25" style="12" bestFit="1" customWidth="1"/>
    <col min="9737" max="9737" width="4.125" style="12" customWidth="1"/>
    <col min="9738" max="9738" width="8.5" style="12" customWidth="1"/>
    <col min="9739" max="9739" width="40" style="12" customWidth="1"/>
    <col min="9740" max="9740" width="6.375" style="12" customWidth="1"/>
    <col min="9741" max="9741" width="6.625" style="12" bestFit="1" customWidth="1"/>
    <col min="9742" max="9742" width="8.25" style="12" bestFit="1" customWidth="1"/>
    <col min="9743" max="9743" width="4.125" style="12" customWidth="1"/>
    <col min="9744" max="9744" width="8.5" style="12" customWidth="1"/>
    <col min="9745" max="9745" width="40" style="12" customWidth="1"/>
    <col min="9746" max="9746" width="6.375" style="12" customWidth="1"/>
    <col min="9747" max="9747" width="6.625" style="12" bestFit="1" customWidth="1"/>
    <col min="9748" max="9748" width="8.25" style="12" bestFit="1" customWidth="1"/>
    <col min="9749" max="9987" width="9" style="12"/>
    <col min="9988" max="9988" width="8.5" style="12" customWidth="1"/>
    <col min="9989" max="9989" width="40" style="12" customWidth="1"/>
    <col min="9990" max="9990" width="6.375" style="12" bestFit="1" customWidth="1"/>
    <col min="9991" max="9991" width="6.625" style="12" bestFit="1" customWidth="1"/>
    <col min="9992" max="9992" width="8.25" style="12" bestFit="1" customWidth="1"/>
    <col min="9993" max="9993" width="4.125" style="12" customWidth="1"/>
    <col min="9994" max="9994" width="8.5" style="12" customWidth="1"/>
    <col min="9995" max="9995" width="40" style="12" customWidth="1"/>
    <col min="9996" max="9996" width="6.375" style="12" customWidth="1"/>
    <col min="9997" max="9997" width="6.625" style="12" bestFit="1" customWidth="1"/>
    <col min="9998" max="9998" width="8.25" style="12" bestFit="1" customWidth="1"/>
    <col min="9999" max="9999" width="4.125" style="12" customWidth="1"/>
    <col min="10000" max="10000" width="8.5" style="12" customWidth="1"/>
    <col min="10001" max="10001" width="40" style="12" customWidth="1"/>
    <col min="10002" max="10002" width="6.375" style="12" customWidth="1"/>
    <col min="10003" max="10003" width="6.625" style="12" bestFit="1" customWidth="1"/>
    <col min="10004" max="10004" width="8.25" style="12" bestFit="1" customWidth="1"/>
    <col min="10005" max="10243" width="9" style="12"/>
    <col min="10244" max="10244" width="8.5" style="12" customWidth="1"/>
    <col min="10245" max="10245" width="40" style="12" customWidth="1"/>
    <col min="10246" max="10246" width="6.375" style="12" bestFit="1" customWidth="1"/>
    <col min="10247" max="10247" width="6.625" style="12" bestFit="1" customWidth="1"/>
    <col min="10248" max="10248" width="8.25" style="12" bestFit="1" customWidth="1"/>
    <col min="10249" max="10249" width="4.125" style="12" customWidth="1"/>
    <col min="10250" max="10250" width="8.5" style="12" customWidth="1"/>
    <col min="10251" max="10251" width="40" style="12" customWidth="1"/>
    <col min="10252" max="10252" width="6.375" style="12" customWidth="1"/>
    <col min="10253" max="10253" width="6.625" style="12" bestFit="1" customWidth="1"/>
    <col min="10254" max="10254" width="8.25" style="12" bestFit="1" customWidth="1"/>
    <col min="10255" max="10255" width="4.125" style="12" customWidth="1"/>
    <col min="10256" max="10256" width="8.5" style="12" customWidth="1"/>
    <col min="10257" max="10257" width="40" style="12" customWidth="1"/>
    <col min="10258" max="10258" width="6.375" style="12" customWidth="1"/>
    <col min="10259" max="10259" width="6.625" style="12" bestFit="1" customWidth="1"/>
    <col min="10260" max="10260" width="8.25" style="12" bestFit="1" customWidth="1"/>
    <col min="10261" max="10499" width="9" style="12"/>
    <col min="10500" max="10500" width="8.5" style="12" customWidth="1"/>
    <col min="10501" max="10501" width="40" style="12" customWidth="1"/>
    <col min="10502" max="10502" width="6.375" style="12" bestFit="1" customWidth="1"/>
    <col min="10503" max="10503" width="6.625" style="12" bestFit="1" customWidth="1"/>
    <col min="10504" max="10504" width="8.25" style="12" bestFit="1" customWidth="1"/>
    <col min="10505" max="10505" width="4.125" style="12" customWidth="1"/>
    <col min="10506" max="10506" width="8.5" style="12" customWidth="1"/>
    <col min="10507" max="10507" width="40" style="12" customWidth="1"/>
    <col min="10508" max="10508" width="6.375" style="12" customWidth="1"/>
    <col min="10509" max="10509" width="6.625" style="12" bestFit="1" customWidth="1"/>
    <col min="10510" max="10510" width="8.25" style="12" bestFit="1" customWidth="1"/>
    <col min="10511" max="10511" width="4.125" style="12" customWidth="1"/>
    <col min="10512" max="10512" width="8.5" style="12" customWidth="1"/>
    <col min="10513" max="10513" width="40" style="12" customWidth="1"/>
    <col min="10514" max="10514" width="6.375" style="12" customWidth="1"/>
    <col min="10515" max="10515" width="6.625" style="12" bestFit="1" customWidth="1"/>
    <col min="10516" max="10516" width="8.25" style="12" bestFit="1" customWidth="1"/>
    <col min="10517" max="10755" width="9" style="12"/>
    <col min="10756" max="10756" width="8.5" style="12" customWidth="1"/>
    <col min="10757" max="10757" width="40" style="12" customWidth="1"/>
    <col min="10758" max="10758" width="6.375" style="12" bestFit="1" customWidth="1"/>
    <col min="10759" max="10759" width="6.625" style="12" bestFit="1" customWidth="1"/>
    <col min="10760" max="10760" width="8.25" style="12" bestFit="1" customWidth="1"/>
    <col min="10761" max="10761" width="4.125" style="12" customWidth="1"/>
    <col min="10762" max="10762" width="8.5" style="12" customWidth="1"/>
    <col min="10763" max="10763" width="40" style="12" customWidth="1"/>
    <col min="10764" max="10764" width="6.375" style="12" customWidth="1"/>
    <col min="10765" max="10765" width="6.625" style="12" bestFit="1" customWidth="1"/>
    <col min="10766" max="10766" width="8.25" style="12" bestFit="1" customWidth="1"/>
    <col min="10767" max="10767" width="4.125" style="12" customWidth="1"/>
    <col min="10768" max="10768" width="8.5" style="12" customWidth="1"/>
    <col min="10769" max="10769" width="40" style="12" customWidth="1"/>
    <col min="10770" max="10770" width="6.375" style="12" customWidth="1"/>
    <col min="10771" max="10771" width="6.625" style="12" bestFit="1" customWidth="1"/>
    <col min="10772" max="10772" width="8.25" style="12" bestFit="1" customWidth="1"/>
    <col min="10773" max="11011" width="9" style="12"/>
    <col min="11012" max="11012" width="8.5" style="12" customWidth="1"/>
    <col min="11013" max="11013" width="40" style="12" customWidth="1"/>
    <col min="11014" max="11014" width="6.375" style="12" bestFit="1" customWidth="1"/>
    <col min="11015" max="11015" width="6.625" style="12" bestFit="1" customWidth="1"/>
    <col min="11016" max="11016" width="8.25" style="12" bestFit="1" customWidth="1"/>
    <col min="11017" max="11017" width="4.125" style="12" customWidth="1"/>
    <col min="11018" max="11018" width="8.5" style="12" customWidth="1"/>
    <col min="11019" max="11019" width="40" style="12" customWidth="1"/>
    <col min="11020" max="11020" width="6.375" style="12" customWidth="1"/>
    <col min="11021" max="11021" width="6.625" style="12" bestFit="1" customWidth="1"/>
    <col min="11022" max="11022" width="8.25" style="12" bestFit="1" customWidth="1"/>
    <col min="11023" max="11023" width="4.125" style="12" customWidth="1"/>
    <col min="11024" max="11024" width="8.5" style="12" customWidth="1"/>
    <col min="11025" max="11025" width="40" style="12" customWidth="1"/>
    <col min="11026" max="11026" width="6.375" style="12" customWidth="1"/>
    <col min="11027" max="11027" width="6.625" style="12" bestFit="1" customWidth="1"/>
    <col min="11028" max="11028" width="8.25" style="12" bestFit="1" customWidth="1"/>
    <col min="11029" max="11267" width="9" style="12"/>
    <col min="11268" max="11268" width="8.5" style="12" customWidth="1"/>
    <col min="11269" max="11269" width="40" style="12" customWidth="1"/>
    <col min="11270" max="11270" width="6.375" style="12" bestFit="1" customWidth="1"/>
    <col min="11271" max="11271" width="6.625" style="12" bestFit="1" customWidth="1"/>
    <col min="11272" max="11272" width="8.25" style="12" bestFit="1" customWidth="1"/>
    <col min="11273" max="11273" width="4.125" style="12" customWidth="1"/>
    <col min="11274" max="11274" width="8.5" style="12" customWidth="1"/>
    <col min="11275" max="11275" width="40" style="12" customWidth="1"/>
    <col min="11276" max="11276" width="6.375" style="12" customWidth="1"/>
    <col min="11277" max="11277" width="6.625" style="12" bestFit="1" customWidth="1"/>
    <col min="11278" max="11278" width="8.25" style="12" bestFit="1" customWidth="1"/>
    <col min="11279" max="11279" width="4.125" style="12" customWidth="1"/>
    <col min="11280" max="11280" width="8.5" style="12" customWidth="1"/>
    <col min="11281" max="11281" width="40" style="12" customWidth="1"/>
    <col min="11282" max="11282" width="6.375" style="12" customWidth="1"/>
    <col min="11283" max="11283" width="6.625" style="12" bestFit="1" customWidth="1"/>
    <col min="11284" max="11284" width="8.25" style="12" bestFit="1" customWidth="1"/>
    <col min="11285" max="11523" width="9" style="12"/>
    <col min="11524" max="11524" width="8.5" style="12" customWidth="1"/>
    <col min="11525" max="11525" width="40" style="12" customWidth="1"/>
    <col min="11526" max="11526" width="6.375" style="12" bestFit="1" customWidth="1"/>
    <col min="11527" max="11527" width="6.625" style="12" bestFit="1" customWidth="1"/>
    <col min="11528" max="11528" width="8.25" style="12" bestFit="1" customWidth="1"/>
    <col min="11529" max="11529" width="4.125" style="12" customWidth="1"/>
    <col min="11530" max="11530" width="8.5" style="12" customWidth="1"/>
    <col min="11531" max="11531" width="40" style="12" customWidth="1"/>
    <col min="11532" max="11532" width="6.375" style="12" customWidth="1"/>
    <col min="11533" max="11533" width="6.625" style="12" bestFit="1" customWidth="1"/>
    <col min="11534" max="11534" width="8.25" style="12" bestFit="1" customWidth="1"/>
    <col min="11535" max="11535" width="4.125" style="12" customWidth="1"/>
    <col min="11536" max="11536" width="8.5" style="12" customWidth="1"/>
    <col min="11537" max="11537" width="40" style="12" customWidth="1"/>
    <col min="11538" max="11538" width="6.375" style="12" customWidth="1"/>
    <col min="11539" max="11539" width="6.625" style="12" bestFit="1" customWidth="1"/>
    <col min="11540" max="11540" width="8.25" style="12" bestFit="1" customWidth="1"/>
    <col min="11541" max="11779" width="9" style="12"/>
    <col min="11780" max="11780" width="8.5" style="12" customWidth="1"/>
    <col min="11781" max="11781" width="40" style="12" customWidth="1"/>
    <col min="11782" max="11782" width="6.375" style="12" bestFit="1" customWidth="1"/>
    <col min="11783" max="11783" width="6.625" style="12" bestFit="1" customWidth="1"/>
    <col min="11784" max="11784" width="8.25" style="12" bestFit="1" customWidth="1"/>
    <col min="11785" max="11785" width="4.125" style="12" customWidth="1"/>
    <col min="11786" max="11786" width="8.5" style="12" customWidth="1"/>
    <col min="11787" max="11787" width="40" style="12" customWidth="1"/>
    <col min="11788" max="11788" width="6.375" style="12" customWidth="1"/>
    <col min="11789" max="11789" width="6.625" style="12" bestFit="1" customWidth="1"/>
    <col min="11790" max="11790" width="8.25" style="12" bestFit="1" customWidth="1"/>
    <col min="11791" max="11791" width="4.125" style="12" customWidth="1"/>
    <col min="11792" max="11792" width="8.5" style="12" customWidth="1"/>
    <col min="11793" max="11793" width="40" style="12" customWidth="1"/>
    <col min="11794" max="11794" width="6.375" style="12" customWidth="1"/>
    <col min="11795" max="11795" width="6.625" style="12" bestFit="1" customWidth="1"/>
    <col min="11796" max="11796" width="8.25" style="12" bestFit="1" customWidth="1"/>
    <col min="11797" max="12035" width="9" style="12"/>
    <col min="12036" max="12036" width="8.5" style="12" customWidth="1"/>
    <col min="12037" max="12037" width="40" style="12" customWidth="1"/>
    <col min="12038" max="12038" width="6.375" style="12" bestFit="1" customWidth="1"/>
    <col min="12039" max="12039" width="6.625" style="12" bestFit="1" customWidth="1"/>
    <col min="12040" max="12040" width="8.25" style="12" bestFit="1" customWidth="1"/>
    <col min="12041" max="12041" width="4.125" style="12" customWidth="1"/>
    <col min="12042" max="12042" width="8.5" style="12" customWidth="1"/>
    <col min="12043" max="12043" width="40" style="12" customWidth="1"/>
    <col min="12044" max="12044" width="6.375" style="12" customWidth="1"/>
    <col min="12045" max="12045" width="6.625" style="12" bestFit="1" customWidth="1"/>
    <col min="12046" max="12046" width="8.25" style="12" bestFit="1" customWidth="1"/>
    <col min="12047" max="12047" width="4.125" style="12" customWidth="1"/>
    <col min="12048" max="12048" width="8.5" style="12" customWidth="1"/>
    <col min="12049" max="12049" width="40" style="12" customWidth="1"/>
    <col min="12050" max="12050" width="6.375" style="12" customWidth="1"/>
    <col min="12051" max="12051" width="6.625" style="12" bestFit="1" customWidth="1"/>
    <col min="12052" max="12052" width="8.25" style="12" bestFit="1" customWidth="1"/>
    <col min="12053" max="12291" width="9" style="12"/>
    <col min="12292" max="12292" width="8.5" style="12" customWidth="1"/>
    <col min="12293" max="12293" width="40" style="12" customWidth="1"/>
    <col min="12294" max="12294" width="6.375" style="12" bestFit="1" customWidth="1"/>
    <col min="12295" max="12295" width="6.625" style="12" bestFit="1" customWidth="1"/>
    <col min="12296" max="12296" width="8.25" style="12" bestFit="1" customWidth="1"/>
    <col min="12297" max="12297" width="4.125" style="12" customWidth="1"/>
    <col min="12298" max="12298" width="8.5" style="12" customWidth="1"/>
    <col min="12299" max="12299" width="40" style="12" customWidth="1"/>
    <col min="12300" max="12300" width="6.375" style="12" customWidth="1"/>
    <col min="12301" max="12301" width="6.625" style="12" bestFit="1" customWidth="1"/>
    <col min="12302" max="12302" width="8.25" style="12" bestFit="1" customWidth="1"/>
    <col min="12303" max="12303" width="4.125" style="12" customWidth="1"/>
    <col min="12304" max="12304" width="8.5" style="12" customWidth="1"/>
    <col min="12305" max="12305" width="40" style="12" customWidth="1"/>
    <col min="12306" max="12306" width="6.375" style="12" customWidth="1"/>
    <col min="12307" max="12307" width="6.625" style="12" bestFit="1" customWidth="1"/>
    <col min="12308" max="12308" width="8.25" style="12" bestFit="1" customWidth="1"/>
    <col min="12309" max="12547" width="9" style="12"/>
    <col min="12548" max="12548" width="8.5" style="12" customWidth="1"/>
    <col min="12549" max="12549" width="40" style="12" customWidth="1"/>
    <col min="12550" max="12550" width="6.375" style="12" bestFit="1" customWidth="1"/>
    <col min="12551" max="12551" width="6.625" style="12" bestFit="1" customWidth="1"/>
    <col min="12552" max="12552" width="8.25" style="12" bestFit="1" customWidth="1"/>
    <col min="12553" max="12553" width="4.125" style="12" customWidth="1"/>
    <col min="12554" max="12554" width="8.5" style="12" customWidth="1"/>
    <col min="12555" max="12555" width="40" style="12" customWidth="1"/>
    <col min="12556" max="12556" width="6.375" style="12" customWidth="1"/>
    <col min="12557" max="12557" width="6.625" style="12" bestFit="1" customWidth="1"/>
    <col min="12558" max="12558" width="8.25" style="12" bestFit="1" customWidth="1"/>
    <col min="12559" max="12559" width="4.125" style="12" customWidth="1"/>
    <col min="12560" max="12560" width="8.5" style="12" customWidth="1"/>
    <col min="12561" max="12561" width="40" style="12" customWidth="1"/>
    <col min="12562" max="12562" width="6.375" style="12" customWidth="1"/>
    <col min="12563" max="12563" width="6.625" style="12" bestFit="1" customWidth="1"/>
    <col min="12564" max="12564" width="8.25" style="12" bestFit="1" customWidth="1"/>
    <col min="12565" max="12803" width="9" style="12"/>
    <col min="12804" max="12804" width="8.5" style="12" customWidth="1"/>
    <col min="12805" max="12805" width="40" style="12" customWidth="1"/>
    <col min="12806" max="12806" width="6.375" style="12" bestFit="1" customWidth="1"/>
    <col min="12807" max="12807" width="6.625" style="12" bestFit="1" customWidth="1"/>
    <col min="12808" max="12808" width="8.25" style="12" bestFit="1" customWidth="1"/>
    <col min="12809" max="12809" width="4.125" style="12" customWidth="1"/>
    <col min="12810" max="12810" width="8.5" style="12" customWidth="1"/>
    <col min="12811" max="12811" width="40" style="12" customWidth="1"/>
    <col min="12812" max="12812" width="6.375" style="12" customWidth="1"/>
    <col min="12813" max="12813" width="6.625" style="12" bestFit="1" customWidth="1"/>
    <col min="12814" max="12814" width="8.25" style="12" bestFit="1" customWidth="1"/>
    <col min="12815" max="12815" width="4.125" style="12" customWidth="1"/>
    <col min="12816" max="12816" width="8.5" style="12" customWidth="1"/>
    <col min="12817" max="12817" width="40" style="12" customWidth="1"/>
    <col min="12818" max="12818" width="6.375" style="12" customWidth="1"/>
    <col min="12819" max="12819" width="6.625" style="12" bestFit="1" customWidth="1"/>
    <col min="12820" max="12820" width="8.25" style="12" bestFit="1" customWidth="1"/>
    <col min="12821" max="13059" width="9" style="12"/>
    <col min="13060" max="13060" width="8.5" style="12" customWidth="1"/>
    <col min="13061" max="13061" width="40" style="12" customWidth="1"/>
    <col min="13062" max="13062" width="6.375" style="12" bestFit="1" customWidth="1"/>
    <col min="13063" max="13063" width="6.625" style="12" bestFit="1" customWidth="1"/>
    <col min="13064" max="13064" width="8.25" style="12" bestFit="1" customWidth="1"/>
    <col min="13065" max="13065" width="4.125" style="12" customWidth="1"/>
    <col min="13066" max="13066" width="8.5" style="12" customWidth="1"/>
    <col min="13067" max="13067" width="40" style="12" customWidth="1"/>
    <col min="13068" max="13068" width="6.375" style="12" customWidth="1"/>
    <col min="13069" max="13069" width="6.625" style="12" bestFit="1" customWidth="1"/>
    <col min="13070" max="13070" width="8.25" style="12" bestFit="1" customWidth="1"/>
    <col min="13071" max="13071" width="4.125" style="12" customWidth="1"/>
    <col min="13072" max="13072" width="8.5" style="12" customWidth="1"/>
    <col min="13073" max="13073" width="40" style="12" customWidth="1"/>
    <col min="13074" max="13074" width="6.375" style="12" customWidth="1"/>
    <col min="13075" max="13075" width="6.625" style="12" bestFit="1" customWidth="1"/>
    <col min="13076" max="13076" width="8.25" style="12" bestFit="1" customWidth="1"/>
    <col min="13077" max="13315" width="9" style="12"/>
    <col min="13316" max="13316" width="8.5" style="12" customWidth="1"/>
    <col min="13317" max="13317" width="40" style="12" customWidth="1"/>
    <col min="13318" max="13318" width="6.375" style="12" bestFit="1" customWidth="1"/>
    <col min="13319" max="13319" width="6.625" style="12" bestFit="1" customWidth="1"/>
    <col min="13320" max="13320" width="8.25" style="12" bestFit="1" customWidth="1"/>
    <col min="13321" max="13321" width="4.125" style="12" customWidth="1"/>
    <col min="13322" max="13322" width="8.5" style="12" customWidth="1"/>
    <col min="13323" max="13323" width="40" style="12" customWidth="1"/>
    <col min="13324" max="13324" width="6.375" style="12" customWidth="1"/>
    <col min="13325" max="13325" width="6.625" style="12" bestFit="1" customWidth="1"/>
    <col min="13326" max="13326" width="8.25" style="12" bestFit="1" customWidth="1"/>
    <col min="13327" max="13327" width="4.125" style="12" customWidth="1"/>
    <col min="13328" max="13328" width="8.5" style="12" customWidth="1"/>
    <col min="13329" max="13329" width="40" style="12" customWidth="1"/>
    <col min="13330" max="13330" width="6.375" style="12" customWidth="1"/>
    <col min="13331" max="13331" width="6.625" style="12" bestFit="1" customWidth="1"/>
    <col min="13332" max="13332" width="8.25" style="12" bestFit="1" customWidth="1"/>
    <col min="13333" max="13571" width="9" style="12"/>
    <col min="13572" max="13572" width="8.5" style="12" customWidth="1"/>
    <col min="13573" max="13573" width="40" style="12" customWidth="1"/>
    <col min="13574" max="13574" width="6.375" style="12" bestFit="1" customWidth="1"/>
    <col min="13575" max="13575" width="6.625" style="12" bestFit="1" customWidth="1"/>
    <col min="13576" max="13576" width="8.25" style="12" bestFit="1" customWidth="1"/>
    <col min="13577" max="13577" width="4.125" style="12" customWidth="1"/>
    <col min="13578" max="13578" width="8.5" style="12" customWidth="1"/>
    <col min="13579" max="13579" width="40" style="12" customWidth="1"/>
    <col min="13580" max="13580" width="6.375" style="12" customWidth="1"/>
    <col min="13581" max="13581" width="6.625" style="12" bestFit="1" customWidth="1"/>
    <col min="13582" max="13582" width="8.25" style="12" bestFit="1" customWidth="1"/>
    <col min="13583" max="13583" width="4.125" style="12" customWidth="1"/>
    <col min="13584" max="13584" width="8.5" style="12" customWidth="1"/>
    <col min="13585" max="13585" width="40" style="12" customWidth="1"/>
    <col min="13586" max="13586" width="6.375" style="12" customWidth="1"/>
    <col min="13587" max="13587" width="6.625" style="12" bestFit="1" customWidth="1"/>
    <col min="13588" max="13588" width="8.25" style="12" bestFit="1" customWidth="1"/>
    <col min="13589" max="13827" width="9" style="12"/>
    <col min="13828" max="13828" width="8.5" style="12" customWidth="1"/>
    <col min="13829" max="13829" width="40" style="12" customWidth="1"/>
    <col min="13830" max="13830" width="6.375" style="12" bestFit="1" customWidth="1"/>
    <col min="13831" max="13831" width="6.625" style="12" bestFit="1" customWidth="1"/>
    <col min="13832" max="13832" width="8.25" style="12" bestFit="1" customWidth="1"/>
    <col min="13833" max="13833" width="4.125" style="12" customWidth="1"/>
    <col min="13834" max="13834" width="8.5" style="12" customWidth="1"/>
    <col min="13835" max="13835" width="40" style="12" customWidth="1"/>
    <col min="13836" max="13836" width="6.375" style="12" customWidth="1"/>
    <col min="13837" max="13837" width="6.625" style="12" bestFit="1" customWidth="1"/>
    <col min="13838" max="13838" width="8.25" style="12" bestFit="1" customWidth="1"/>
    <col min="13839" max="13839" width="4.125" style="12" customWidth="1"/>
    <col min="13840" max="13840" width="8.5" style="12" customWidth="1"/>
    <col min="13841" max="13841" width="40" style="12" customWidth="1"/>
    <col min="13842" max="13842" width="6.375" style="12" customWidth="1"/>
    <col min="13843" max="13843" width="6.625" style="12" bestFit="1" customWidth="1"/>
    <col min="13844" max="13844" width="8.25" style="12" bestFit="1" customWidth="1"/>
    <col min="13845" max="14083" width="9" style="12"/>
    <col min="14084" max="14084" width="8.5" style="12" customWidth="1"/>
    <col min="14085" max="14085" width="40" style="12" customWidth="1"/>
    <col min="14086" max="14086" width="6.375" style="12" bestFit="1" customWidth="1"/>
    <col min="14087" max="14087" width="6.625" style="12" bestFit="1" customWidth="1"/>
    <col min="14088" max="14088" width="8.25" style="12" bestFit="1" customWidth="1"/>
    <col min="14089" max="14089" width="4.125" style="12" customWidth="1"/>
    <col min="14090" max="14090" width="8.5" style="12" customWidth="1"/>
    <col min="14091" max="14091" width="40" style="12" customWidth="1"/>
    <col min="14092" max="14092" width="6.375" style="12" customWidth="1"/>
    <col min="14093" max="14093" width="6.625" style="12" bestFit="1" customWidth="1"/>
    <col min="14094" max="14094" width="8.25" style="12" bestFit="1" customWidth="1"/>
    <col min="14095" max="14095" width="4.125" style="12" customWidth="1"/>
    <col min="14096" max="14096" width="8.5" style="12" customWidth="1"/>
    <col min="14097" max="14097" width="40" style="12" customWidth="1"/>
    <col min="14098" max="14098" width="6.375" style="12" customWidth="1"/>
    <col min="14099" max="14099" width="6.625" style="12" bestFit="1" customWidth="1"/>
    <col min="14100" max="14100" width="8.25" style="12" bestFit="1" customWidth="1"/>
    <col min="14101" max="14339" width="9" style="12"/>
    <col min="14340" max="14340" width="8.5" style="12" customWidth="1"/>
    <col min="14341" max="14341" width="40" style="12" customWidth="1"/>
    <col min="14342" max="14342" width="6.375" style="12" bestFit="1" customWidth="1"/>
    <col min="14343" max="14343" width="6.625" style="12" bestFit="1" customWidth="1"/>
    <col min="14344" max="14344" width="8.25" style="12" bestFit="1" customWidth="1"/>
    <col min="14345" max="14345" width="4.125" style="12" customWidth="1"/>
    <col min="14346" max="14346" width="8.5" style="12" customWidth="1"/>
    <col min="14347" max="14347" width="40" style="12" customWidth="1"/>
    <col min="14348" max="14348" width="6.375" style="12" customWidth="1"/>
    <col min="14349" max="14349" width="6.625" style="12" bestFit="1" customWidth="1"/>
    <col min="14350" max="14350" width="8.25" style="12" bestFit="1" customWidth="1"/>
    <col min="14351" max="14351" width="4.125" style="12" customWidth="1"/>
    <col min="14352" max="14352" width="8.5" style="12" customWidth="1"/>
    <col min="14353" max="14353" width="40" style="12" customWidth="1"/>
    <col min="14354" max="14354" width="6.375" style="12" customWidth="1"/>
    <col min="14355" max="14355" width="6.625" style="12" bestFit="1" customWidth="1"/>
    <col min="14356" max="14356" width="8.25" style="12" bestFit="1" customWidth="1"/>
    <col min="14357" max="14595" width="9" style="12"/>
    <col min="14596" max="14596" width="8.5" style="12" customWidth="1"/>
    <col min="14597" max="14597" width="40" style="12" customWidth="1"/>
    <col min="14598" max="14598" width="6.375" style="12" bestFit="1" customWidth="1"/>
    <col min="14599" max="14599" width="6.625" style="12" bestFit="1" customWidth="1"/>
    <col min="14600" max="14600" width="8.25" style="12" bestFit="1" customWidth="1"/>
    <col min="14601" max="14601" width="4.125" style="12" customWidth="1"/>
    <col min="14602" max="14602" width="8.5" style="12" customWidth="1"/>
    <col min="14603" max="14603" width="40" style="12" customWidth="1"/>
    <col min="14604" max="14604" width="6.375" style="12" customWidth="1"/>
    <col min="14605" max="14605" width="6.625" style="12" bestFit="1" customWidth="1"/>
    <col min="14606" max="14606" width="8.25" style="12" bestFit="1" customWidth="1"/>
    <col min="14607" max="14607" width="4.125" style="12" customWidth="1"/>
    <col min="14608" max="14608" width="8.5" style="12" customWidth="1"/>
    <col min="14609" max="14609" width="40" style="12" customWidth="1"/>
    <col min="14610" max="14610" width="6.375" style="12" customWidth="1"/>
    <col min="14611" max="14611" width="6.625" style="12" bestFit="1" customWidth="1"/>
    <col min="14612" max="14612" width="8.25" style="12" bestFit="1" customWidth="1"/>
    <col min="14613" max="14851" width="9" style="12"/>
    <col min="14852" max="14852" width="8.5" style="12" customWidth="1"/>
    <col min="14853" max="14853" width="40" style="12" customWidth="1"/>
    <col min="14854" max="14854" width="6.375" style="12" bestFit="1" customWidth="1"/>
    <col min="14855" max="14855" width="6.625" style="12" bestFit="1" customWidth="1"/>
    <col min="14856" max="14856" width="8.25" style="12" bestFit="1" customWidth="1"/>
    <col min="14857" max="14857" width="4.125" style="12" customWidth="1"/>
    <col min="14858" max="14858" width="8.5" style="12" customWidth="1"/>
    <col min="14859" max="14859" width="40" style="12" customWidth="1"/>
    <col min="14860" max="14860" width="6.375" style="12" customWidth="1"/>
    <col min="14861" max="14861" width="6.625" style="12" bestFit="1" customWidth="1"/>
    <col min="14862" max="14862" width="8.25" style="12" bestFit="1" customWidth="1"/>
    <col min="14863" max="14863" width="4.125" style="12" customWidth="1"/>
    <col min="14864" max="14864" width="8.5" style="12" customWidth="1"/>
    <col min="14865" max="14865" width="40" style="12" customWidth="1"/>
    <col min="14866" max="14866" width="6.375" style="12" customWidth="1"/>
    <col min="14867" max="14867" width="6.625" style="12" bestFit="1" customWidth="1"/>
    <col min="14868" max="14868" width="8.25" style="12" bestFit="1" customWidth="1"/>
    <col min="14869" max="15107" width="9" style="12"/>
    <col min="15108" max="15108" width="8.5" style="12" customWidth="1"/>
    <col min="15109" max="15109" width="40" style="12" customWidth="1"/>
    <col min="15110" max="15110" width="6.375" style="12" bestFit="1" customWidth="1"/>
    <col min="15111" max="15111" width="6.625" style="12" bestFit="1" customWidth="1"/>
    <col min="15112" max="15112" width="8.25" style="12" bestFit="1" customWidth="1"/>
    <col min="15113" max="15113" width="4.125" style="12" customWidth="1"/>
    <col min="15114" max="15114" width="8.5" style="12" customWidth="1"/>
    <col min="15115" max="15115" width="40" style="12" customWidth="1"/>
    <col min="15116" max="15116" width="6.375" style="12" customWidth="1"/>
    <col min="15117" max="15117" width="6.625" style="12" bestFit="1" customWidth="1"/>
    <col min="15118" max="15118" width="8.25" style="12" bestFit="1" customWidth="1"/>
    <col min="15119" max="15119" width="4.125" style="12" customWidth="1"/>
    <col min="15120" max="15120" width="8.5" style="12" customWidth="1"/>
    <col min="15121" max="15121" width="40" style="12" customWidth="1"/>
    <col min="15122" max="15122" width="6.375" style="12" customWidth="1"/>
    <col min="15123" max="15123" width="6.625" style="12" bestFit="1" customWidth="1"/>
    <col min="15124" max="15124" width="8.25" style="12" bestFit="1" customWidth="1"/>
    <col min="15125" max="15363" width="9" style="12"/>
    <col min="15364" max="15364" width="8.5" style="12" customWidth="1"/>
    <col min="15365" max="15365" width="40" style="12" customWidth="1"/>
    <col min="15366" max="15366" width="6.375" style="12" bestFit="1" customWidth="1"/>
    <col min="15367" max="15367" width="6.625" style="12" bestFit="1" customWidth="1"/>
    <col min="15368" max="15368" width="8.25" style="12" bestFit="1" customWidth="1"/>
    <col min="15369" max="15369" width="4.125" style="12" customWidth="1"/>
    <col min="15370" max="15370" width="8.5" style="12" customWidth="1"/>
    <col min="15371" max="15371" width="40" style="12" customWidth="1"/>
    <col min="15372" max="15372" width="6.375" style="12" customWidth="1"/>
    <col min="15373" max="15373" width="6.625" style="12" bestFit="1" customWidth="1"/>
    <col min="15374" max="15374" width="8.25" style="12" bestFit="1" customWidth="1"/>
    <col min="15375" max="15375" width="4.125" style="12" customWidth="1"/>
    <col min="15376" max="15376" width="8.5" style="12" customWidth="1"/>
    <col min="15377" max="15377" width="40" style="12" customWidth="1"/>
    <col min="15378" max="15378" width="6.375" style="12" customWidth="1"/>
    <col min="15379" max="15379" width="6.625" style="12" bestFit="1" customWidth="1"/>
    <col min="15380" max="15380" width="8.25" style="12" bestFit="1" customWidth="1"/>
    <col min="15381" max="15619" width="9" style="12"/>
    <col min="15620" max="15620" width="8.5" style="12" customWidth="1"/>
    <col min="15621" max="15621" width="40" style="12" customWidth="1"/>
    <col min="15622" max="15622" width="6.375" style="12" bestFit="1" customWidth="1"/>
    <col min="15623" max="15623" width="6.625" style="12" bestFit="1" customWidth="1"/>
    <col min="15624" max="15624" width="8.25" style="12" bestFit="1" customWidth="1"/>
    <col min="15625" max="15625" width="4.125" style="12" customWidth="1"/>
    <col min="15626" max="15626" width="8.5" style="12" customWidth="1"/>
    <col min="15627" max="15627" width="40" style="12" customWidth="1"/>
    <col min="15628" max="15628" width="6.375" style="12" customWidth="1"/>
    <col min="15629" max="15629" width="6.625" style="12" bestFit="1" customWidth="1"/>
    <col min="15630" max="15630" width="8.25" style="12" bestFit="1" customWidth="1"/>
    <col min="15631" max="15631" width="4.125" style="12" customWidth="1"/>
    <col min="15632" max="15632" width="8.5" style="12" customWidth="1"/>
    <col min="15633" max="15633" width="40" style="12" customWidth="1"/>
    <col min="15634" max="15634" width="6.375" style="12" customWidth="1"/>
    <col min="15635" max="15635" width="6.625" style="12" bestFit="1" customWidth="1"/>
    <col min="15636" max="15636" width="8.25" style="12" bestFit="1" customWidth="1"/>
    <col min="15637" max="15875" width="9" style="12"/>
    <col min="15876" max="15876" width="8.5" style="12" customWidth="1"/>
    <col min="15877" max="15877" width="40" style="12" customWidth="1"/>
    <col min="15878" max="15878" width="6.375" style="12" bestFit="1" customWidth="1"/>
    <col min="15879" max="15879" width="6.625" style="12" bestFit="1" customWidth="1"/>
    <col min="15880" max="15880" width="8.25" style="12" bestFit="1" customWidth="1"/>
    <col min="15881" max="15881" width="4.125" style="12" customWidth="1"/>
    <col min="15882" max="15882" width="8.5" style="12" customWidth="1"/>
    <col min="15883" max="15883" width="40" style="12" customWidth="1"/>
    <col min="15884" max="15884" width="6.375" style="12" customWidth="1"/>
    <col min="15885" max="15885" width="6.625" style="12" bestFit="1" customWidth="1"/>
    <col min="15886" max="15886" width="8.25" style="12" bestFit="1" customWidth="1"/>
    <col min="15887" max="15887" width="4.125" style="12" customWidth="1"/>
    <col min="15888" max="15888" width="8.5" style="12" customWidth="1"/>
    <col min="15889" max="15889" width="40" style="12" customWidth="1"/>
    <col min="15890" max="15890" width="6.375" style="12" customWidth="1"/>
    <col min="15891" max="15891" width="6.625" style="12" bestFit="1" customWidth="1"/>
    <col min="15892" max="15892" width="8.25" style="12" bestFit="1" customWidth="1"/>
    <col min="15893" max="16131" width="9" style="12"/>
    <col min="16132" max="16132" width="8.5" style="12" customWidth="1"/>
    <col min="16133" max="16133" width="40" style="12" customWidth="1"/>
    <col min="16134" max="16134" width="6.375" style="12" bestFit="1" customWidth="1"/>
    <col min="16135" max="16135" width="6.625" style="12" bestFit="1" customWidth="1"/>
    <col min="16136" max="16136" width="8.25" style="12" bestFit="1" customWidth="1"/>
    <col min="16137" max="16137" width="4.125" style="12" customWidth="1"/>
    <col min="16138" max="16138" width="8.5" style="12" customWidth="1"/>
    <col min="16139" max="16139" width="40" style="12" customWidth="1"/>
    <col min="16140" max="16140" width="6.375" style="12" customWidth="1"/>
    <col min="16141" max="16141" width="6.625" style="12" bestFit="1" customWidth="1"/>
    <col min="16142" max="16142" width="8.25" style="12" bestFit="1" customWidth="1"/>
    <col min="16143" max="16143" width="4.125" style="12" customWidth="1"/>
    <col min="16144" max="16144" width="8.5" style="12" customWidth="1"/>
    <col min="16145" max="16145" width="40" style="12" customWidth="1"/>
    <col min="16146" max="16146" width="6.375" style="12" customWidth="1"/>
    <col min="16147" max="16147" width="6.625" style="12" bestFit="1" customWidth="1"/>
    <col min="16148" max="16148" width="8.25" style="12" bestFit="1" customWidth="1"/>
    <col min="16149" max="16384" width="9" style="12"/>
  </cols>
  <sheetData>
    <row r="1" spans="1:20" ht="15" customHeight="1" x14ac:dyDescent="0.2">
      <c r="A1" s="100" t="s">
        <v>624</v>
      </c>
      <c r="B1" s="5"/>
      <c r="C1" s="6"/>
      <c r="D1" s="7"/>
      <c r="E1" s="7"/>
      <c r="F1" s="8"/>
      <c r="G1" s="9"/>
      <c r="H1" s="4"/>
      <c r="I1" s="5"/>
      <c r="J1" s="10"/>
      <c r="K1" s="11"/>
      <c r="L1" s="7"/>
      <c r="M1" s="8"/>
      <c r="N1" s="9"/>
      <c r="O1" s="4"/>
      <c r="P1" s="5"/>
      <c r="Q1" s="10"/>
      <c r="R1" s="11"/>
      <c r="S1" s="7"/>
      <c r="T1" s="8"/>
    </row>
    <row r="2" spans="1:20" s="199" customFormat="1" ht="15" customHeight="1" x14ac:dyDescent="0.2">
      <c r="A2" s="500" t="s">
        <v>585</v>
      </c>
    </row>
    <row r="3" spans="1:20" ht="15" customHeight="1" x14ac:dyDescent="0.2">
      <c r="A3" s="13"/>
      <c r="B3" s="607" t="s">
        <v>0</v>
      </c>
      <c r="C3" s="607"/>
      <c r="D3" s="607"/>
      <c r="E3" s="607"/>
      <c r="F3" s="607"/>
      <c r="G3" s="14"/>
      <c r="H3" s="13"/>
      <c r="I3" s="607" t="s">
        <v>1</v>
      </c>
      <c r="J3" s="607"/>
      <c r="K3" s="607"/>
      <c r="L3" s="607"/>
      <c r="M3" s="607"/>
      <c r="N3" s="14"/>
      <c r="O3" s="13"/>
      <c r="P3" s="607" t="s">
        <v>2</v>
      </c>
      <c r="Q3" s="607"/>
      <c r="R3" s="607"/>
      <c r="S3" s="607"/>
      <c r="T3" s="607"/>
    </row>
    <row r="4" spans="1:20" s="20" customFormat="1" ht="51" x14ac:dyDescent="0.2">
      <c r="A4" s="15" t="s">
        <v>576</v>
      </c>
      <c r="B4" s="126" t="s">
        <v>40</v>
      </c>
      <c r="C4" s="19" t="s">
        <v>75</v>
      </c>
      <c r="D4" s="127" t="s">
        <v>38</v>
      </c>
      <c r="E4" s="127" t="s">
        <v>565</v>
      </c>
      <c r="F4" s="19" t="s">
        <v>560</v>
      </c>
      <c r="G4" s="19"/>
      <c r="H4" s="15" t="s">
        <v>576</v>
      </c>
      <c r="I4" s="126" t="s">
        <v>40</v>
      </c>
      <c r="J4" s="19" t="s">
        <v>75</v>
      </c>
      <c r="K4" s="127" t="s">
        <v>38</v>
      </c>
      <c r="L4" s="127" t="s">
        <v>565</v>
      </c>
      <c r="M4" s="19" t="s">
        <v>560</v>
      </c>
      <c r="N4" s="19"/>
      <c r="O4" s="15" t="s">
        <v>576</v>
      </c>
      <c r="P4" s="126" t="s">
        <v>40</v>
      </c>
      <c r="Q4" s="19" t="s">
        <v>75</v>
      </c>
      <c r="R4" s="127" t="s">
        <v>38</v>
      </c>
      <c r="S4" s="127" t="s">
        <v>565</v>
      </c>
      <c r="T4" s="19" t="s">
        <v>560</v>
      </c>
    </row>
    <row r="5" spans="1:20" s="54" customFormat="1" ht="15" customHeight="1" x14ac:dyDescent="0.2">
      <c r="A5" s="510" t="s">
        <v>599</v>
      </c>
      <c r="B5" s="55"/>
      <c r="C5" s="56"/>
      <c r="D5" s="57"/>
      <c r="E5" s="57"/>
      <c r="F5" s="58"/>
      <c r="G5" s="58"/>
      <c r="H5" s="510" t="s">
        <v>599</v>
      </c>
      <c r="I5" s="55"/>
      <c r="J5" s="60"/>
      <c r="K5" s="58"/>
      <c r="L5" s="57"/>
      <c r="M5" s="58"/>
      <c r="N5" s="58"/>
      <c r="O5" s="510" t="s">
        <v>599</v>
      </c>
      <c r="P5" s="55"/>
      <c r="Q5" s="60"/>
      <c r="R5" s="58"/>
      <c r="S5" s="57"/>
      <c r="T5" s="58"/>
    </row>
    <row r="6" spans="1:20" s="25" customFormat="1" ht="27.95" customHeight="1" x14ac:dyDescent="0.2">
      <c r="A6" s="102">
        <v>1</v>
      </c>
      <c r="B6" s="62" t="s">
        <v>42</v>
      </c>
      <c r="C6" s="63">
        <v>8355</v>
      </c>
      <c r="D6" s="64">
        <v>11.746924</v>
      </c>
      <c r="E6" s="64">
        <v>107.08215</v>
      </c>
      <c r="F6" s="30">
        <v>87.195346000000001</v>
      </c>
      <c r="G6" s="30"/>
      <c r="H6" s="102">
        <v>1</v>
      </c>
      <c r="I6" s="62" t="s">
        <v>43</v>
      </c>
      <c r="J6" s="34">
        <v>6450</v>
      </c>
      <c r="K6" s="30">
        <v>10.558711000000001</v>
      </c>
      <c r="L6" s="64">
        <v>82.968444000000005</v>
      </c>
      <c r="M6" s="30">
        <v>47.701850999999998</v>
      </c>
      <c r="N6" s="30"/>
      <c r="O6" s="102">
        <v>1</v>
      </c>
      <c r="P6" s="62" t="s">
        <v>42</v>
      </c>
      <c r="Q6" s="34">
        <v>13532</v>
      </c>
      <c r="R6" s="30">
        <v>10.235077</v>
      </c>
      <c r="S6" s="64">
        <v>86.874675999999994</v>
      </c>
      <c r="T6" s="30">
        <v>63.141672</v>
      </c>
    </row>
    <row r="7" spans="1:20" s="25" customFormat="1" ht="27.95" customHeight="1" x14ac:dyDescent="0.2">
      <c r="A7" s="102">
        <v>2</v>
      </c>
      <c r="B7" s="62" t="s">
        <v>44</v>
      </c>
      <c r="C7" s="63">
        <v>4389</v>
      </c>
      <c r="D7" s="64">
        <v>6.1708259999999999</v>
      </c>
      <c r="E7" s="64">
        <v>56.251770999999998</v>
      </c>
      <c r="F7" s="30">
        <v>44.246993000000003</v>
      </c>
      <c r="G7" s="30"/>
      <c r="H7" s="102">
        <v>2</v>
      </c>
      <c r="I7" s="62" t="s">
        <v>42</v>
      </c>
      <c r="J7" s="34">
        <v>5177</v>
      </c>
      <c r="K7" s="30">
        <v>8.4747982000000004</v>
      </c>
      <c r="L7" s="64">
        <v>66.593430999999995</v>
      </c>
      <c r="M7" s="30">
        <v>41.793391</v>
      </c>
      <c r="N7" s="30"/>
      <c r="O7" s="102">
        <v>2</v>
      </c>
      <c r="P7" s="62" t="s">
        <v>43</v>
      </c>
      <c r="Q7" s="34">
        <v>10114</v>
      </c>
      <c r="R7" s="30">
        <v>7.6498350999999998</v>
      </c>
      <c r="S7" s="64">
        <v>64.931308999999999</v>
      </c>
      <c r="T7" s="30">
        <v>43.57217</v>
      </c>
    </row>
    <row r="8" spans="1:20" s="25" customFormat="1" ht="15" customHeight="1" x14ac:dyDescent="0.2">
      <c r="A8" s="102">
        <v>3</v>
      </c>
      <c r="B8" s="62" t="s">
        <v>46</v>
      </c>
      <c r="C8" s="63">
        <v>3683</v>
      </c>
      <c r="D8" s="64">
        <v>5.1782073999999998</v>
      </c>
      <c r="E8" s="64">
        <v>47.203297999999997</v>
      </c>
      <c r="F8" s="30">
        <v>37.106827000000003</v>
      </c>
      <c r="G8" s="30"/>
      <c r="H8" s="102">
        <v>3</v>
      </c>
      <c r="I8" s="62" t="s">
        <v>45</v>
      </c>
      <c r="J8" s="34">
        <v>3634</v>
      </c>
      <c r="K8" s="30">
        <v>5.9488925999999998</v>
      </c>
      <c r="L8" s="64">
        <v>46.745322000000002</v>
      </c>
      <c r="M8" s="30">
        <v>29.116854</v>
      </c>
      <c r="N8" s="30"/>
      <c r="O8" s="102">
        <v>3</v>
      </c>
      <c r="P8" s="62" t="s">
        <v>44</v>
      </c>
      <c r="Q8" s="34">
        <v>7431</v>
      </c>
      <c r="R8" s="30">
        <v>5.6205185999999996</v>
      </c>
      <c r="S8" s="64">
        <v>47.706600000000002</v>
      </c>
      <c r="T8" s="30">
        <v>35.309260999999999</v>
      </c>
    </row>
    <row r="9" spans="1:20" s="25" customFormat="1" ht="27.95" customHeight="1" x14ac:dyDescent="0.2">
      <c r="A9" s="102">
        <v>4</v>
      </c>
      <c r="B9" s="62" t="s">
        <v>43</v>
      </c>
      <c r="C9" s="63">
        <v>3664</v>
      </c>
      <c r="D9" s="64">
        <v>5.1514937999999999</v>
      </c>
      <c r="E9" s="64">
        <v>46.959783000000002</v>
      </c>
      <c r="F9" s="30">
        <v>37.495902000000001</v>
      </c>
      <c r="G9" s="30"/>
      <c r="H9" s="102">
        <v>4</v>
      </c>
      <c r="I9" s="62" t="s">
        <v>44</v>
      </c>
      <c r="J9" s="34">
        <v>3042</v>
      </c>
      <c r="K9" s="30">
        <v>4.9797829</v>
      </c>
      <c r="L9" s="64">
        <v>39.130232999999997</v>
      </c>
      <c r="M9" s="30">
        <v>27.574484999999999</v>
      </c>
      <c r="N9" s="30"/>
      <c r="O9" s="102">
        <v>4</v>
      </c>
      <c r="P9" s="62" t="s">
        <v>46</v>
      </c>
      <c r="Q9" s="34">
        <v>6669</v>
      </c>
      <c r="R9" s="30">
        <v>5.0441715</v>
      </c>
      <c r="S9" s="64">
        <v>42.814602999999998</v>
      </c>
      <c r="T9" s="30">
        <v>30.685473000000002</v>
      </c>
    </row>
    <row r="10" spans="1:20" s="25" customFormat="1" ht="15" customHeight="1" x14ac:dyDescent="0.2">
      <c r="A10" s="102">
        <v>5</v>
      </c>
      <c r="B10" s="62" t="s">
        <v>45</v>
      </c>
      <c r="C10" s="63">
        <v>3031</v>
      </c>
      <c r="D10" s="64">
        <v>4.2615113999999998</v>
      </c>
      <c r="E10" s="64">
        <v>38.846916999999998</v>
      </c>
      <c r="F10" s="30">
        <v>31.374193999999999</v>
      </c>
      <c r="G10" s="30"/>
      <c r="H10" s="102">
        <v>5</v>
      </c>
      <c r="I10" s="62" t="s">
        <v>46</v>
      </c>
      <c r="J10" s="34">
        <v>2986</v>
      </c>
      <c r="K10" s="30">
        <v>4.8881104000000004</v>
      </c>
      <c r="L10" s="64">
        <v>38.409886999999998</v>
      </c>
      <c r="M10" s="30">
        <v>25.488790999999999</v>
      </c>
      <c r="N10" s="30"/>
      <c r="O10" s="102">
        <v>5</v>
      </c>
      <c r="P10" s="62" t="s">
        <v>45</v>
      </c>
      <c r="Q10" s="34">
        <v>6665</v>
      </c>
      <c r="R10" s="30">
        <v>5.0411460000000003</v>
      </c>
      <c r="S10" s="64">
        <v>42.788924000000002</v>
      </c>
      <c r="T10" s="30">
        <v>30.323993000000002</v>
      </c>
    </row>
    <row r="11" spans="1:20" s="25" customFormat="1" ht="15" customHeight="1" x14ac:dyDescent="0.2">
      <c r="A11" s="102">
        <v>6</v>
      </c>
      <c r="B11" s="62" t="s">
        <v>49</v>
      </c>
      <c r="C11" s="63">
        <v>2775</v>
      </c>
      <c r="D11" s="64">
        <v>3.9015816999999999</v>
      </c>
      <c r="E11" s="64">
        <v>35.565883999999997</v>
      </c>
      <c r="F11" s="30">
        <v>28.733422999999998</v>
      </c>
      <c r="G11" s="30"/>
      <c r="H11" s="102">
        <v>6</v>
      </c>
      <c r="I11" s="62" t="s">
        <v>49</v>
      </c>
      <c r="J11" s="34">
        <v>2324</v>
      </c>
      <c r="K11" s="30">
        <v>3.8044101000000001</v>
      </c>
      <c r="L11" s="64">
        <v>29.894366000000002</v>
      </c>
      <c r="M11" s="30">
        <v>19.725134000000001</v>
      </c>
      <c r="N11" s="30"/>
      <c r="O11" s="102">
        <v>6</v>
      </c>
      <c r="P11" s="62" t="s">
        <v>49</v>
      </c>
      <c r="Q11" s="34">
        <v>5099</v>
      </c>
      <c r="R11" s="30">
        <v>3.8566847000000002</v>
      </c>
      <c r="S11" s="64">
        <v>32.735292000000001</v>
      </c>
      <c r="T11" s="30">
        <v>23.989913000000001</v>
      </c>
    </row>
    <row r="12" spans="1:20" s="25" customFormat="1" ht="27.95" customHeight="1" x14ac:dyDescent="0.2">
      <c r="A12" s="102">
        <v>7</v>
      </c>
      <c r="B12" s="62" t="s">
        <v>47</v>
      </c>
      <c r="C12" s="63">
        <v>2553</v>
      </c>
      <c r="D12" s="64">
        <v>3.5894552000000002</v>
      </c>
      <c r="E12" s="64">
        <v>32.720613</v>
      </c>
      <c r="F12" s="30">
        <v>25.746368</v>
      </c>
      <c r="G12" s="30"/>
      <c r="H12" s="102">
        <v>7</v>
      </c>
      <c r="I12" s="62" t="s">
        <v>48</v>
      </c>
      <c r="J12" s="34">
        <v>2017</v>
      </c>
      <c r="K12" s="30">
        <v>3.3018481999999998</v>
      </c>
      <c r="L12" s="64">
        <v>25.945326000000001</v>
      </c>
      <c r="M12" s="30">
        <v>18.784407000000002</v>
      </c>
      <c r="N12" s="30"/>
      <c r="O12" s="102">
        <v>7</v>
      </c>
      <c r="P12" s="62" t="s">
        <v>260</v>
      </c>
      <c r="Q12" s="34">
        <v>4212</v>
      </c>
      <c r="R12" s="30">
        <v>3.1857924999999998</v>
      </c>
      <c r="S12" s="64">
        <v>27.040801999999999</v>
      </c>
      <c r="T12" s="30">
        <v>19.099081999999999</v>
      </c>
    </row>
    <row r="13" spans="1:20" s="25" customFormat="1" ht="27.95" customHeight="1" x14ac:dyDescent="0.2">
      <c r="A13" s="102">
        <v>8</v>
      </c>
      <c r="B13" s="62" t="s">
        <v>260</v>
      </c>
      <c r="C13" s="63">
        <v>2290</v>
      </c>
      <c r="D13" s="64">
        <v>3.2196837</v>
      </c>
      <c r="E13" s="64">
        <v>29.349865000000001</v>
      </c>
      <c r="F13" s="30">
        <v>23.550246999999999</v>
      </c>
      <c r="G13" s="30"/>
      <c r="H13" s="102">
        <v>8</v>
      </c>
      <c r="I13" s="62" t="s">
        <v>260</v>
      </c>
      <c r="J13" s="34">
        <v>1922</v>
      </c>
      <c r="K13" s="30">
        <v>3.1463323000000001</v>
      </c>
      <c r="L13" s="64">
        <v>24.723310000000001</v>
      </c>
      <c r="M13" s="30">
        <v>15.461425999999999</v>
      </c>
      <c r="N13" s="30"/>
      <c r="O13" s="102">
        <v>8</v>
      </c>
      <c r="P13" s="62" t="s">
        <v>50</v>
      </c>
      <c r="Q13" s="34">
        <v>3819</v>
      </c>
      <c r="R13" s="30">
        <v>2.8885426000000001</v>
      </c>
      <c r="S13" s="64">
        <v>24.517764</v>
      </c>
      <c r="T13" s="30">
        <v>18.287105</v>
      </c>
    </row>
    <row r="14" spans="1:20" s="25" customFormat="1" ht="15" customHeight="1" x14ac:dyDescent="0.2">
      <c r="A14" s="102">
        <v>9</v>
      </c>
      <c r="B14" s="62" t="s">
        <v>50</v>
      </c>
      <c r="C14" s="63">
        <v>2037</v>
      </c>
      <c r="D14" s="64">
        <v>2.8639719000000001</v>
      </c>
      <c r="E14" s="64">
        <v>26.107281</v>
      </c>
      <c r="F14" s="30">
        <v>21.165271000000001</v>
      </c>
      <c r="G14" s="30"/>
      <c r="H14" s="102">
        <v>9</v>
      </c>
      <c r="I14" s="62" t="s">
        <v>50</v>
      </c>
      <c r="J14" s="34">
        <v>1782</v>
      </c>
      <c r="K14" s="30">
        <v>2.9171509000000002</v>
      </c>
      <c r="L14" s="64">
        <v>22.922443999999999</v>
      </c>
      <c r="M14" s="30">
        <v>15.725179000000001</v>
      </c>
      <c r="N14" s="30"/>
      <c r="O14" s="102">
        <v>9</v>
      </c>
      <c r="P14" s="62" t="s">
        <v>54</v>
      </c>
      <c r="Q14" s="34">
        <v>2632</v>
      </c>
      <c r="R14" s="30">
        <v>1.9907421000000001</v>
      </c>
      <c r="S14" s="64">
        <v>16.897290999999999</v>
      </c>
      <c r="T14" s="30">
        <v>11.650762</v>
      </c>
    </row>
    <row r="15" spans="1:20" s="25" customFormat="1" ht="15" customHeight="1" x14ac:dyDescent="0.2">
      <c r="A15" s="102">
        <v>10</v>
      </c>
      <c r="B15" s="62" t="s">
        <v>53</v>
      </c>
      <c r="C15" s="63">
        <v>1852</v>
      </c>
      <c r="D15" s="64">
        <v>2.6038663999999998</v>
      </c>
      <c r="E15" s="64">
        <v>23.736222000000001</v>
      </c>
      <c r="F15" s="30">
        <v>23.948896999999999</v>
      </c>
      <c r="G15" s="30"/>
      <c r="H15" s="102">
        <v>10</v>
      </c>
      <c r="I15" s="62" t="s">
        <v>54</v>
      </c>
      <c r="J15" s="34">
        <v>1462</v>
      </c>
      <c r="K15" s="30">
        <v>2.3933078999999999</v>
      </c>
      <c r="L15" s="64">
        <v>18.806180999999999</v>
      </c>
      <c r="M15" s="30">
        <v>11.022009000000001</v>
      </c>
      <c r="N15" s="30"/>
      <c r="O15" s="102">
        <v>10</v>
      </c>
      <c r="P15" s="62" t="s">
        <v>47</v>
      </c>
      <c r="Q15" s="34">
        <v>2553</v>
      </c>
      <c r="R15" s="30">
        <v>1.9309896</v>
      </c>
      <c r="S15" s="64">
        <v>16.390115999999999</v>
      </c>
      <c r="T15" s="30">
        <v>11.444623999999999</v>
      </c>
    </row>
    <row r="16" spans="1:20" s="43" customFormat="1" ht="15" customHeight="1" x14ac:dyDescent="0.2">
      <c r="A16" s="40"/>
      <c r="B16" s="147" t="s">
        <v>561</v>
      </c>
      <c r="C16" s="66">
        <v>34629</v>
      </c>
      <c r="D16" s="67">
        <v>48.7</v>
      </c>
      <c r="E16" s="67" t="s">
        <v>70</v>
      </c>
      <c r="F16" s="42" t="s">
        <v>70</v>
      </c>
      <c r="G16" s="38"/>
      <c r="H16" s="40"/>
      <c r="I16" s="147" t="s">
        <v>561</v>
      </c>
      <c r="J16" s="66">
        <v>30796</v>
      </c>
      <c r="K16" s="67">
        <v>50.4</v>
      </c>
      <c r="L16" s="67" t="s">
        <v>70</v>
      </c>
      <c r="M16" s="42" t="s">
        <v>70</v>
      </c>
      <c r="N16" s="38"/>
      <c r="O16" s="40"/>
      <c r="P16" s="147" t="s">
        <v>561</v>
      </c>
      <c r="Q16" s="66">
        <v>62726</v>
      </c>
      <c r="R16" s="67">
        <v>47.4</v>
      </c>
      <c r="S16" s="67" t="s">
        <v>70</v>
      </c>
      <c r="T16" s="42" t="s">
        <v>70</v>
      </c>
    </row>
    <row r="17" spans="1:20" s="54" customFormat="1" ht="15" customHeight="1" x14ac:dyDescent="0.2">
      <c r="A17" s="50"/>
      <c r="B17" s="51" t="s">
        <v>67</v>
      </c>
      <c r="C17" s="69">
        <v>71125</v>
      </c>
      <c r="D17" s="70">
        <v>100</v>
      </c>
      <c r="E17" s="70">
        <v>911.57604000000003</v>
      </c>
      <c r="F17" s="53">
        <v>748.29020000000003</v>
      </c>
      <c r="G17" s="48"/>
      <c r="H17" s="50"/>
      <c r="I17" s="51" t="s">
        <v>67</v>
      </c>
      <c r="J17" s="52">
        <v>61087</v>
      </c>
      <c r="K17" s="48">
        <v>100</v>
      </c>
      <c r="L17" s="70">
        <v>785.78191000000004</v>
      </c>
      <c r="M17" s="53">
        <v>518.32979999999998</v>
      </c>
      <c r="N17" s="48"/>
      <c r="O17" s="50"/>
      <c r="P17" s="51" t="s">
        <v>67</v>
      </c>
      <c r="Q17" s="52">
        <v>132212</v>
      </c>
      <c r="R17" s="48">
        <v>100</v>
      </c>
      <c r="S17" s="70">
        <v>848.79357000000005</v>
      </c>
      <c r="T17" s="53">
        <v>627.60672999999997</v>
      </c>
    </row>
    <row r="18" spans="1:20" s="54" customFormat="1" ht="15" customHeight="1" x14ac:dyDescent="0.2">
      <c r="A18" s="103" t="s">
        <v>261</v>
      </c>
      <c r="B18" s="55"/>
      <c r="C18" s="56"/>
      <c r="D18" s="57"/>
      <c r="E18" s="57"/>
      <c r="F18" s="58"/>
      <c r="G18" s="58"/>
      <c r="H18" s="103" t="s">
        <v>261</v>
      </c>
      <c r="I18" s="55"/>
      <c r="J18" s="60"/>
      <c r="K18" s="58"/>
      <c r="L18" s="57"/>
      <c r="M18" s="58"/>
      <c r="N18" s="58"/>
      <c r="O18" s="103" t="s">
        <v>261</v>
      </c>
      <c r="P18" s="55"/>
      <c r="Q18" s="60"/>
      <c r="R18" s="58"/>
      <c r="S18" s="57"/>
      <c r="T18" s="58"/>
    </row>
    <row r="19" spans="1:20" s="25" customFormat="1" ht="27.95" customHeight="1" x14ac:dyDescent="0.2">
      <c r="A19" s="102">
        <v>1</v>
      </c>
      <c r="B19" s="62" t="s">
        <v>42</v>
      </c>
      <c r="C19" s="63">
        <v>7587</v>
      </c>
      <c r="D19" s="64">
        <v>11.215078</v>
      </c>
      <c r="E19" s="64">
        <v>97.376256999999995</v>
      </c>
      <c r="F19" s="30">
        <v>74.954970000000003</v>
      </c>
      <c r="G19" s="30"/>
      <c r="H19" s="102">
        <v>1</v>
      </c>
      <c r="I19" s="62" t="s">
        <v>43</v>
      </c>
      <c r="J19" s="34">
        <v>7161</v>
      </c>
      <c r="K19" s="30">
        <v>11.786102</v>
      </c>
      <c r="L19" s="64">
        <v>91.311460999999994</v>
      </c>
      <c r="M19" s="30">
        <v>49.730023000000003</v>
      </c>
      <c r="N19" s="30"/>
      <c r="O19" s="102">
        <v>1</v>
      </c>
      <c r="P19" s="62" t="s">
        <v>42</v>
      </c>
      <c r="Q19" s="34">
        <v>12539</v>
      </c>
      <c r="R19" s="30">
        <v>9.7649679000000003</v>
      </c>
      <c r="S19" s="64">
        <v>80.204346999999999</v>
      </c>
      <c r="T19" s="35">
        <v>54.732343</v>
      </c>
    </row>
    <row r="20" spans="1:20" s="25" customFormat="1" ht="27.95" customHeight="1" x14ac:dyDescent="0.2">
      <c r="A20" s="102">
        <v>2</v>
      </c>
      <c r="B20" s="62" t="s">
        <v>43</v>
      </c>
      <c r="C20" s="63">
        <v>4014</v>
      </c>
      <c r="D20" s="64">
        <v>5.9334812000000001</v>
      </c>
      <c r="E20" s="64">
        <v>51.518161999999997</v>
      </c>
      <c r="F20" s="30">
        <v>38.496791000000002</v>
      </c>
      <c r="G20" s="30"/>
      <c r="H20" s="102">
        <v>2</v>
      </c>
      <c r="I20" s="62" t="s">
        <v>42</v>
      </c>
      <c r="J20" s="34">
        <v>4952</v>
      </c>
      <c r="K20" s="30">
        <v>8.1503669999999993</v>
      </c>
      <c r="L20" s="64">
        <v>63.144024000000002</v>
      </c>
      <c r="M20" s="30">
        <v>36.731628000000001</v>
      </c>
      <c r="N20" s="30"/>
      <c r="O20" s="102">
        <v>2</v>
      </c>
      <c r="P20" s="33" t="s">
        <v>43</v>
      </c>
      <c r="Q20" s="34">
        <v>11175</v>
      </c>
      <c r="R20" s="30">
        <v>8.7027287999999992</v>
      </c>
      <c r="S20" s="64">
        <v>71.479669000000001</v>
      </c>
      <c r="T20" s="35">
        <v>45.110070999999998</v>
      </c>
    </row>
    <row r="21" spans="1:20" s="25" customFormat="1" ht="15" customHeight="1" x14ac:dyDescent="0.2">
      <c r="A21" s="102">
        <v>3</v>
      </c>
      <c r="B21" s="62" t="s">
        <v>44</v>
      </c>
      <c r="C21" s="63">
        <v>3877</v>
      </c>
      <c r="D21" s="64">
        <v>5.7309682000000004</v>
      </c>
      <c r="E21" s="64">
        <v>49.759819</v>
      </c>
      <c r="F21" s="30">
        <v>37.403992000000002</v>
      </c>
      <c r="G21" s="30"/>
      <c r="H21" s="102">
        <v>3</v>
      </c>
      <c r="I21" s="62" t="s">
        <v>45</v>
      </c>
      <c r="J21" s="34">
        <v>3707</v>
      </c>
      <c r="K21" s="30">
        <v>6.1012541999999996</v>
      </c>
      <c r="L21" s="64">
        <v>47.26876</v>
      </c>
      <c r="M21" s="30">
        <v>27.273250999999998</v>
      </c>
      <c r="N21" s="30"/>
      <c r="O21" s="102">
        <v>3</v>
      </c>
      <c r="P21" s="33" t="s">
        <v>44</v>
      </c>
      <c r="Q21" s="34">
        <v>6743</v>
      </c>
      <c r="R21" s="30">
        <v>5.2512305000000001</v>
      </c>
      <c r="S21" s="64">
        <v>43.130865</v>
      </c>
      <c r="T21" s="35">
        <v>30.538996999999998</v>
      </c>
    </row>
    <row r="22" spans="1:20" s="25" customFormat="1" ht="15" customHeight="1" x14ac:dyDescent="0.2">
      <c r="A22" s="102">
        <v>4</v>
      </c>
      <c r="B22" s="62" t="s">
        <v>46</v>
      </c>
      <c r="C22" s="63">
        <v>3074</v>
      </c>
      <c r="D22" s="64">
        <v>4.5439762999999997</v>
      </c>
      <c r="E22" s="64">
        <v>39.453620000000001</v>
      </c>
      <c r="F22" s="30">
        <v>29.354921999999998</v>
      </c>
      <c r="G22" s="30"/>
      <c r="H22" s="102">
        <v>4</v>
      </c>
      <c r="I22" s="62" t="s">
        <v>44</v>
      </c>
      <c r="J22" s="34">
        <v>2866</v>
      </c>
      <c r="K22" s="30">
        <v>4.7170743000000002</v>
      </c>
      <c r="L22" s="64">
        <v>36.544986000000002</v>
      </c>
      <c r="M22" s="30">
        <v>24.636635999999999</v>
      </c>
      <c r="N22" s="30"/>
      <c r="O22" s="102">
        <v>4</v>
      </c>
      <c r="P22" s="33" t="s">
        <v>45</v>
      </c>
      <c r="Q22" s="34">
        <v>6689</v>
      </c>
      <c r="R22" s="30">
        <v>5.2091770000000004</v>
      </c>
      <c r="S22" s="64">
        <v>42.785459000000003</v>
      </c>
      <c r="T22" s="35">
        <v>28.376950000000001</v>
      </c>
    </row>
    <row r="23" spans="1:20" s="25" customFormat="1" ht="15" customHeight="1" x14ac:dyDescent="0.2">
      <c r="A23" s="102">
        <v>5</v>
      </c>
      <c r="B23" s="62" t="s">
        <v>45</v>
      </c>
      <c r="C23" s="63">
        <v>2982</v>
      </c>
      <c r="D23" s="64">
        <v>4.4079822999999996</v>
      </c>
      <c r="E23" s="64">
        <v>38.272835000000001</v>
      </c>
      <c r="F23" s="30">
        <v>29.103218999999999</v>
      </c>
      <c r="G23" s="30"/>
      <c r="H23" s="102">
        <v>5</v>
      </c>
      <c r="I23" s="62" t="s">
        <v>46</v>
      </c>
      <c r="J23" s="34">
        <v>2777</v>
      </c>
      <c r="K23" s="30">
        <v>4.5705914999999999</v>
      </c>
      <c r="L23" s="64">
        <v>35.410128</v>
      </c>
      <c r="M23" s="30">
        <v>22.279954</v>
      </c>
      <c r="N23" s="30"/>
      <c r="O23" s="102">
        <v>5</v>
      </c>
      <c r="P23" s="33" t="s">
        <v>46</v>
      </c>
      <c r="Q23" s="34">
        <v>5851</v>
      </c>
      <c r="R23" s="30">
        <v>4.5565696999999998</v>
      </c>
      <c r="S23" s="64">
        <v>37.425283999999998</v>
      </c>
      <c r="T23" s="35">
        <v>25.425087000000001</v>
      </c>
    </row>
    <row r="24" spans="1:20" s="25" customFormat="1" ht="15" customHeight="1" x14ac:dyDescent="0.2">
      <c r="A24" s="102">
        <v>6</v>
      </c>
      <c r="B24" s="62" t="s">
        <v>47</v>
      </c>
      <c r="C24" s="63">
        <v>2663</v>
      </c>
      <c r="D24" s="64">
        <v>3.9364374999999998</v>
      </c>
      <c r="E24" s="64">
        <v>34.178590999999997</v>
      </c>
      <c r="F24" s="30">
        <v>25.300397</v>
      </c>
      <c r="G24" s="30"/>
      <c r="H24" s="102">
        <v>6</v>
      </c>
      <c r="I24" s="62" t="s">
        <v>48</v>
      </c>
      <c r="J24" s="34">
        <v>2124</v>
      </c>
      <c r="K24" s="30">
        <v>3.4958358999999999</v>
      </c>
      <c r="L24" s="64">
        <v>27.083583999999998</v>
      </c>
      <c r="M24" s="30">
        <v>19.054895999999999</v>
      </c>
      <c r="N24" s="30"/>
      <c r="O24" s="102">
        <v>6</v>
      </c>
      <c r="P24" s="33" t="s">
        <v>49</v>
      </c>
      <c r="Q24" s="34">
        <v>4320</v>
      </c>
      <c r="R24" s="30">
        <v>3.3642764000000001</v>
      </c>
      <c r="S24" s="64">
        <v>27.632408999999999</v>
      </c>
      <c r="T24" s="35">
        <v>18.917383999999998</v>
      </c>
    </row>
    <row r="25" spans="1:20" s="25" customFormat="1" ht="15" customHeight="1" x14ac:dyDescent="0.2">
      <c r="A25" s="102">
        <v>7</v>
      </c>
      <c r="B25" s="62" t="s">
        <v>49</v>
      </c>
      <c r="C25" s="63">
        <v>2348</v>
      </c>
      <c r="D25" s="64">
        <v>3.4708055999999998</v>
      </c>
      <c r="E25" s="64">
        <v>30.135686</v>
      </c>
      <c r="F25" s="30">
        <v>22.871220999999998</v>
      </c>
      <c r="G25" s="30"/>
      <c r="H25" s="102">
        <v>7</v>
      </c>
      <c r="I25" s="62" t="s">
        <v>49</v>
      </c>
      <c r="J25" s="34">
        <v>1972</v>
      </c>
      <c r="K25" s="30">
        <v>3.2456630999999998</v>
      </c>
      <c r="L25" s="64">
        <v>25.145399000000001</v>
      </c>
      <c r="M25" s="30">
        <v>15.350993000000001</v>
      </c>
      <c r="N25" s="30"/>
      <c r="O25" s="102">
        <v>7</v>
      </c>
      <c r="P25" s="33" t="s">
        <v>50</v>
      </c>
      <c r="Q25" s="34">
        <v>3824</v>
      </c>
      <c r="R25" s="30">
        <v>2.9780076000000002</v>
      </c>
      <c r="S25" s="64">
        <v>24.459799</v>
      </c>
      <c r="T25" s="35">
        <v>17.299755000000001</v>
      </c>
    </row>
    <row r="26" spans="1:20" s="25" customFormat="1" ht="27.95" customHeight="1" x14ac:dyDescent="0.2">
      <c r="A26" s="102">
        <v>8</v>
      </c>
      <c r="B26" s="62" t="s">
        <v>50</v>
      </c>
      <c r="C26" s="63">
        <v>2057</v>
      </c>
      <c r="D26" s="64">
        <v>3.0406504000000001</v>
      </c>
      <c r="E26" s="64">
        <v>26.400811999999998</v>
      </c>
      <c r="F26" s="30">
        <v>20.263290000000001</v>
      </c>
      <c r="G26" s="30"/>
      <c r="H26" s="102">
        <v>8</v>
      </c>
      <c r="I26" s="62" t="s">
        <v>50</v>
      </c>
      <c r="J26" s="34">
        <v>1767</v>
      </c>
      <c r="K26" s="30">
        <v>2.9082590000000001</v>
      </c>
      <c r="L26" s="64">
        <v>22.531400000000001</v>
      </c>
      <c r="M26" s="30">
        <v>14.614580999999999</v>
      </c>
      <c r="N26" s="30"/>
      <c r="O26" s="102">
        <v>8</v>
      </c>
      <c r="P26" s="33" t="s">
        <v>260</v>
      </c>
      <c r="Q26" s="34">
        <v>3517</v>
      </c>
      <c r="R26" s="30">
        <v>2.7389258999999999</v>
      </c>
      <c r="S26" s="64">
        <v>22.496106999999999</v>
      </c>
      <c r="T26" s="35">
        <v>14.804501999999999</v>
      </c>
    </row>
    <row r="27" spans="1:20" s="25" customFormat="1" ht="27.95" customHeight="1" x14ac:dyDescent="0.2">
      <c r="A27" s="102">
        <v>9</v>
      </c>
      <c r="B27" s="62" t="s">
        <v>260</v>
      </c>
      <c r="C27" s="63">
        <v>1943</v>
      </c>
      <c r="D27" s="64">
        <v>2.8721359999999998</v>
      </c>
      <c r="E27" s="64">
        <v>24.937664999999999</v>
      </c>
      <c r="F27" s="30">
        <v>18.769235999999999</v>
      </c>
      <c r="G27" s="30"/>
      <c r="H27" s="102">
        <v>9</v>
      </c>
      <c r="I27" s="62" t="s">
        <v>54</v>
      </c>
      <c r="J27" s="34">
        <v>1589</v>
      </c>
      <c r="K27" s="30">
        <v>2.6152934999999999</v>
      </c>
      <c r="L27" s="64">
        <v>20.261683000000001</v>
      </c>
      <c r="M27" s="30">
        <v>11.066458000000001</v>
      </c>
      <c r="N27" s="30"/>
      <c r="O27" s="102">
        <v>9</v>
      </c>
      <c r="P27" s="33" t="s">
        <v>54</v>
      </c>
      <c r="Q27" s="34">
        <v>2909</v>
      </c>
      <c r="R27" s="30">
        <v>2.2654352000000002</v>
      </c>
      <c r="S27" s="64">
        <v>18.607101</v>
      </c>
      <c r="T27" s="35">
        <v>11.987133999999999</v>
      </c>
    </row>
    <row r="28" spans="1:20" s="25" customFormat="1" ht="27.95" customHeight="1" x14ac:dyDescent="0.2">
      <c r="A28" s="102">
        <v>10</v>
      </c>
      <c r="B28" s="62" t="s">
        <v>53</v>
      </c>
      <c r="C28" s="63">
        <v>1716</v>
      </c>
      <c r="D28" s="64">
        <v>2.5365853999999999</v>
      </c>
      <c r="E28" s="64">
        <v>22.024207000000001</v>
      </c>
      <c r="F28" s="30">
        <v>21.723251000000001</v>
      </c>
      <c r="G28" s="30"/>
      <c r="H28" s="102">
        <v>10</v>
      </c>
      <c r="I28" s="62" t="s">
        <v>260</v>
      </c>
      <c r="J28" s="34">
        <v>1574</v>
      </c>
      <c r="K28" s="30">
        <v>2.5906053999999998</v>
      </c>
      <c r="L28" s="64">
        <v>20.070415000000001</v>
      </c>
      <c r="M28" s="30">
        <v>11.637511</v>
      </c>
      <c r="N28" s="30"/>
      <c r="O28" s="102">
        <v>10</v>
      </c>
      <c r="P28" s="33" t="s">
        <v>47</v>
      </c>
      <c r="Q28" s="34">
        <v>2663</v>
      </c>
      <c r="R28" s="30">
        <v>2.0738582999999999</v>
      </c>
      <c r="S28" s="64">
        <v>17.033588999999999</v>
      </c>
      <c r="T28" s="35">
        <v>11.240156000000001</v>
      </c>
    </row>
    <row r="29" spans="1:20" s="43" customFormat="1" ht="15" customHeight="1" x14ac:dyDescent="0.2">
      <c r="A29" s="40"/>
      <c r="B29" s="147" t="s">
        <v>561</v>
      </c>
      <c r="C29" s="66">
        <v>32261</v>
      </c>
      <c r="D29" s="67">
        <v>47.7</v>
      </c>
      <c r="E29" s="67" t="s">
        <v>70</v>
      </c>
      <c r="F29" s="42" t="s">
        <v>70</v>
      </c>
      <c r="G29" s="38"/>
      <c r="H29" s="40"/>
      <c r="I29" s="147" t="s">
        <v>561</v>
      </c>
      <c r="J29" s="66">
        <v>30489</v>
      </c>
      <c r="K29" s="67">
        <v>50.2</v>
      </c>
      <c r="L29" s="67" t="s">
        <v>70</v>
      </c>
      <c r="M29" s="42" t="s">
        <v>70</v>
      </c>
      <c r="N29" s="38"/>
      <c r="O29" s="40"/>
      <c r="P29" s="147" t="s">
        <v>561</v>
      </c>
      <c r="Q29" s="66">
        <v>60230</v>
      </c>
      <c r="R29" s="67">
        <v>46.9</v>
      </c>
      <c r="S29" s="67" t="s">
        <v>70</v>
      </c>
      <c r="T29" s="42" t="s">
        <v>70</v>
      </c>
    </row>
    <row r="30" spans="1:20" s="54" customFormat="1" ht="15" customHeight="1" x14ac:dyDescent="0.2">
      <c r="A30" s="50"/>
      <c r="B30" s="68" t="s">
        <v>67</v>
      </c>
      <c r="C30" s="69">
        <v>67650</v>
      </c>
      <c r="D30" s="70">
        <v>100</v>
      </c>
      <c r="E30" s="70">
        <v>868.26199999999994</v>
      </c>
      <c r="F30" s="53">
        <v>674.97778000000005</v>
      </c>
      <c r="G30" s="48"/>
      <c r="H30" s="50"/>
      <c r="I30" s="51" t="s">
        <v>67</v>
      </c>
      <c r="J30" s="52">
        <v>60758</v>
      </c>
      <c r="K30" s="48">
        <v>100</v>
      </c>
      <c r="L30" s="70">
        <v>774.73841000000004</v>
      </c>
      <c r="M30" s="53">
        <v>480.4058</v>
      </c>
      <c r="N30" s="48"/>
      <c r="O30" s="50"/>
      <c r="P30" s="51" t="s">
        <v>67</v>
      </c>
      <c r="Q30" s="52">
        <v>128408</v>
      </c>
      <c r="R30" s="48">
        <v>100</v>
      </c>
      <c r="S30" s="70">
        <v>821.34777999999994</v>
      </c>
      <c r="T30" s="53">
        <v>572.90035</v>
      </c>
    </row>
    <row r="31" spans="1:20" s="54" customFormat="1" ht="15" customHeight="1" x14ac:dyDescent="0.2">
      <c r="A31" s="103" t="s">
        <v>262</v>
      </c>
      <c r="B31" s="55"/>
      <c r="C31" s="56"/>
      <c r="D31" s="57"/>
      <c r="E31" s="57"/>
      <c r="F31" s="58"/>
      <c r="G31" s="58"/>
      <c r="H31" s="103" t="s">
        <v>262</v>
      </c>
      <c r="I31" s="55"/>
      <c r="J31" s="60"/>
      <c r="K31" s="58"/>
      <c r="L31" s="57"/>
      <c r="M31" s="58"/>
      <c r="N31" s="58"/>
      <c r="O31" s="103" t="s">
        <v>262</v>
      </c>
      <c r="P31" s="55"/>
      <c r="Q31" s="60"/>
      <c r="R31" s="58"/>
      <c r="S31" s="57"/>
      <c r="T31" s="58"/>
    </row>
    <row r="32" spans="1:20" s="25" customFormat="1" ht="27.95" customHeight="1" x14ac:dyDescent="0.2">
      <c r="A32" s="102">
        <v>1</v>
      </c>
      <c r="B32" s="62" t="s">
        <v>42</v>
      </c>
      <c r="C32" s="63">
        <v>6169</v>
      </c>
      <c r="D32" s="64">
        <v>11.278498000000001</v>
      </c>
      <c r="E32" s="64">
        <v>79.436708999999993</v>
      </c>
      <c r="F32" s="30">
        <v>66.012208000000001</v>
      </c>
      <c r="G32" s="30"/>
      <c r="H32" s="102">
        <v>1</v>
      </c>
      <c r="I32" s="62" t="s">
        <v>43</v>
      </c>
      <c r="J32" s="34">
        <v>6056</v>
      </c>
      <c r="K32" s="30">
        <v>12.244484999999999</v>
      </c>
      <c r="L32" s="64">
        <v>76.513229999999993</v>
      </c>
      <c r="M32" s="30">
        <v>46.557597999999999</v>
      </c>
      <c r="N32" s="30"/>
      <c r="O32" s="102">
        <v>1</v>
      </c>
      <c r="P32" s="62" t="s">
        <v>42</v>
      </c>
      <c r="Q32" s="34">
        <v>10137</v>
      </c>
      <c r="R32" s="30">
        <v>9.7325166000000003</v>
      </c>
      <c r="S32" s="64">
        <v>64.645516000000001</v>
      </c>
      <c r="T32" s="35">
        <v>47.632762999999997</v>
      </c>
    </row>
    <row r="33" spans="1:20" s="25" customFormat="1" ht="27.95" customHeight="1" x14ac:dyDescent="0.2">
      <c r="A33" s="102">
        <v>2</v>
      </c>
      <c r="B33" s="62" t="s">
        <v>43</v>
      </c>
      <c r="C33" s="63">
        <v>3486</v>
      </c>
      <c r="D33" s="64">
        <v>6.3732929</v>
      </c>
      <c r="E33" s="64">
        <v>44.888371999999997</v>
      </c>
      <c r="F33" s="30">
        <v>37.053207</v>
      </c>
      <c r="G33" s="30"/>
      <c r="H33" s="102">
        <v>2</v>
      </c>
      <c r="I33" s="62" t="s">
        <v>42</v>
      </c>
      <c r="J33" s="34">
        <v>3968</v>
      </c>
      <c r="K33" s="30">
        <v>8.0228067999999997</v>
      </c>
      <c r="L33" s="64">
        <v>50.132843000000001</v>
      </c>
      <c r="M33" s="30">
        <v>31.757370000000002</v>
      </c>
      <c r="N33" s="30"/>
      <c r="O33" s="102">
        <v>2</v>
      </c>
      <c r="P33" s="33" t="s">
        <v>43</v>
      </c>
      <c r="Q33" s="34">
        <v>9542</v>
      </c>
      <c r="R33" s="30">
        <v>9.1612580999999995</v>
      </c>
      <c r="S33" s="64">
        <v>60.851090999999997</v>
      </c>
      <c r="T33" s="35">
        <v>42.681355000000003</v>
      </c>
    </row>
    <row r="34" spans="1:20" s="25" customFormat="1" ht="15" customHeight="1" x14ac:dyDescent="0.2">
      <c r="A34" s="102">
        <v>3</v>
      </c>
      <c r="B34" s="62" t="s">
        <v>44</v>
      </c>
      <c r="C34" s="63">
        <v>2949</v>
      </c>
      <c r="D34" s="64">
        <v>5.3915205999999998</v>
      </c>
      <c r="E34" s="64">
        <v>37.973554</v>
      </c>
      <c r="F34" s="30">
        <v>30.810434000000001</v>
      </c>
      <c r="G34" s="30"/>
      <c r="H34" s="102">
        <v>3</v>
      </c>
      <c r="I34" s="62" t="s">
        <v>45</v>
      </c>
      <c r="J34" s="34">
        <v>3096</v>
      </c>
      <c r="K34" s="30">
        <v>6.2597303000000002</v>
      </c>
      <c r="L34" s="64">
        <v>39.115746999999999</v>
      </c>
      <c r="M34" s="30">
        <v>25.193194999999999</v>
      </c>
      <c r="N34" s="30"/>
      <c r="O34" s="102">
        <v>3</v>
      </c>
      <c r="P34" s="33" t="s">
        <v>45</v>
      </c>
      <c r="Q34" s="34">
        <v>5396</v>
      </c>
      <c r="R34" s="30">
        <v>5.1806904999999999</v>
      </c>
      <c r="S34" s="64">
        <v>34.411285999999997</v>
      </c>
      <c r="T34" s="35">
        <v>25.049900000000001</v>
      </c>
    </row>
    <row r="35" spans="1:20" s="25" customFormat="1" ht="15" customHeight="1" x14ac:dyDescent="0.2">
      <c r="A35" s="102">
        <v>4</v>
      </c>
      <c r="B35" s="62" t="s">
        <v>45</v>
      </c>
      <c r="C35" s="63">
        <v>2300</v>
      </c>
      <c r="D35" s="64">
        <v>4.2049837999999999</v>
      </c>
      <c r="E35" s="64">
        <v>29.616539</v>
      </c>
      <c r="F35" s="30">
        <v>24.523289999999999</v>
      </c>
      <c r="G35" s="30"/>
      <c r="H35" s="102">
        <v>4</v>
      </c>
      <c r="I35" s="62" t="s">
        <v>44</v>
      </c>
      <c r="J35" s="34">
        <v>2134</v>
      </c>
      <c r="K35" s="30">
        <v>4.3146848999999996</v>
      </c>
      <c r="L35" s="64">
        <v>26.961563999999999</v>
      </c>
      <c r="M35" s="30">
        <v>19.547718</v>
      </c>
      <c r="N35" s="30"/>
      <c r="O35" s="102">
        <v>4</v>
      </c>
      <c r="P35" s="33" t="s">
        <v>44</v>
      </c>
      <c r="Q35" s="34">
        <v>5083</v>
      </c>
      <c r="R35" s="30">
        <v>4.8801797000000002</v>
      </c>
      <c r="S35" s="64">
        <v>32.415227000000002</v>
      </c>
      <c r="T35" s="35">
        <v>24.72711</v>
      </c>
    </row>
    <row r="36" spans="1:20" s="25" customFormat="1" ht="15" customHeight="1" x14ac:dyDescent="0.2">
      <c r="A36" s="102">
        <v>5</v>
      </c>
      <c r="B36" s="62" t="s">
        <v>47</v>
      </c>
      <c r="C36" s="63">
        <v>2199</v>
      </c>
      <c r="D36" s="64">
        <v>4.0203302000000001</v>
      </c>
      <c r="E36" s="64">
        <v>28.315987</v>
      </c>
      <c r="F36" s="30">
        <v>23.137771999999998</v>
      </c>
      <c r="G36" s="30"/>
      <c r="H36" s="102">
        <v>5</v>
      </c>
      <c r="I36" s="62" t="s">
        <v>46</v>
      </c>
      <c r="J36" s="34">
        <v>1938</v>
      </c>
      <c r="K36" s="30">
        <v>3.9183971</v>
      </c>
      <c r="L36" s="64">
        <v>24.485244000000002</v>
      </c>
      <c r="M36" s="30">
        <v>16.738693000000001</v>
      </c>
      <c r="N36" s="30"/>
      <c r="O36" s="102">
        <v>5</v>
      </c>
      <c r="P36" s="33" t="s">
        <v>46</v>
      </c>
      <c r="Q36" s="34">
        <v>4122</v>
      </c>
      <c r="R36" s="30">
        <v>3.9575252999999999</v>
      </c>
      <c r="S36" s="64">
        <v>26.286753000000001</v>
      </c>
      <c r="T36" s="35">
        <v>19.478849</v>
      </c>
    </row>
    <row r="37" spans="1:20" s="25" customFormat="1" ht="15" customHeight="1" x14ac:dyDescent="0.2">
      <c r="A37" s="102">
        <v>6</v>
      </c>
      <c r="B37" s="62" t="s">
        <v>46</v>
      </c>
      <c r="C37" s="63">
        <v>2184</v>
      </c>
      <c r="D37" s="64">
        <v>3.9929063999999999</v>
      </c>
      <c r="E37" s="64">
        <v>28.122834999999998</v>
      </c>
      <c r="F37" s="30">
        <v>22.93272</v>
      </c>
      <c r="G37" s="30"/>
      <c r="H37" s="102">
        <v>6</v>
      </c>
      <c r="I37" s="62" t="s">
        <v>48</v>
      </c>
      <c r="J37" s="34">
        <v>1863</v>
      </c>
      <c r="K37" s="30">
        <v>3.7667562999999999</v>
      </c>
      <c r="L37" s="64">
        <v>23.537673000000002</v>
      </c>
      <c r="M37" s="30">
        <v>17.686729</v>
      </c>
      <c r="N37" s="30"/>
      <c r="O37" s="102">
        <v>6</v>
      </c>
      <c r="P37" s="33" t="s">
        <v>49</v>
      </c>
      <c r="Q37" s="34">
        <v>3266</v>
      </c>
      <c r="R37" s="30">
        <v>3.1356811000000002</v>
      </c>
      <c r="S37" s="64">
        <v>20.827883</v>
      </c>
      <c r="T37" s="35">
        <v>15.449501</v>
      </c>
    </row>
    <row r="38" spans="1:20" s="25" customFormat="1" ht="15" customHeight="1" x14ac:dyDescent="0.2">
      <c r="A38" s="102">
        <v>7</v>
      </c>
      <c r="B38" s="62" t="s">
        <v>49</v>
      </c>
      <c r="C38" s="63">
        <v>1821</v>
      </c>
      <c r="D38" s="64">
        <v>3.3292502000000002</v>
      </c>
      <c r="E38" s="64">
        <v>23.448573</v>
      </c>
      <c r="F38" s="30">
        <v>19.404928999999999</v>
      </c>
      <c r="G38" s="30"/>
      <c r="H38" s="102">
        <v>7</v>
      </c>
      <c r="I38" s="62" t="s">
        <v>50</v>
      </c>
      <c r="J38" s="34">
        <v>1479</v>
      </c>
      <c r="K38" s="30">
        <v>2.9903556</v>
      </c>
      <c r="L38" s="64">
        <v>18.686108000000001</v>
      </c>
      <c r="M38" s="30">
        <v>13.294085000000001</v>
      </c>
      <c r="N38" s="30"/>
      <c r="O38" s="102">
        <v>7</v>
      </c>
      <c r="P38" s="33" t="s">
        <v>50</v>
      </c>
      <c r="Q38" s="34">
        <v>3151</v>
      </c>
      <c r="R38" s="30">
        <v>3.0252697999999998</v>
      </c>
      <c r="S38" s="64">
        <v>20.094507</v>
      </c>
      <c r="T38" s="35">
        <v>15.480885000000001</v>
      </c>
    </row>
    <row r="39" spans="1:20" s="25" customFormat="1" ht="27.95" customHeight="1" x14ac:dyDescent="0.2">
      <c r="A39" s="102">
        <v>8</v>
      </c>
      <c r="B39" s="62" t="s">
        <v>50</v>
      </c>
      <c r="C39" s="63">
        <v>1672</v>
      </c>
      <c r="D39" s="64">
        <v>3.0568404</v>
      </c>
      <c r="E39" s="64">
        <v>21.529935999999999</v>
      </c>
      <c r="F39" s="30">
        <v>17.997928000000002</v>
      </c>
      <c r="G39" s="30"/>
      <c r="H39" s="102">
        <v>8</v>
      </c>
      <c r="I39" s="62" t="s">
        <v>49</v>
      </c>
      <c r="J39" s="34">
        <v>1445</v>
      </c>
      <c r="K39" s="30">
        <v>2.9216118</v>
      </c>
      <c r="L39" s="64">
        <v>18.256542</v>
      </c>
      <c r="M39" s="30">
        <v>12.039771</v>
      </c>
      <c r="N39" s="30"/>
      <c r="O39" s="102">
        <v>8</v>
      </c>
      <c r="P39" s="33" t="s">
        <v>260</v>
      </c>
      <c r="Q39" s="34">
        <v>2936</v>
      </c>
      <c r="R39" s="30">
        <v>2.8188487000000002</v>
      </c>
      <c r="S39" s="64">
        <v>18.723413000000001</v>
      </c>
      <c r="T39" s="35">
        <v>13.55992</v>
      </c>
    </row>
    <row r="40" spans="1:20" s="25" customFormat="1" ht="27.95" customHeight="1" x14ac:dyDescent="0.2">
      <c r="A40" s="102">
        <v>9</v>
      </c>
      <c r="B40" s="62" t="s">
        <v>260</v>
      </c>
      <c r="C40" s="63">
        <v>1628</v>
      </c>
      <c r="D40" s="64">
        <v>2.9763972000000001</v>
      </c>
      <c r="E40" s="64">
        <v>20.963359000000001</v>
      </c>
      <c r="F40" s="30">
        <v>17.303113</v>
      </c>
      <c r="G40" s="30"/>
      <c r="H40" s="102">
        <v>9</v>
      </c>
      <c r="I40" s="62" t="s">
        <v>260</v>
      </c>
      <c r="J40" s="34">
        <v>1308</v>
      </c>
      <c r="K40" s="30">
        <v>2.6446147</v>
      </c>
      <c r="L40" s="64">
        <v>16.525645000000001</v>
      </c>
      <c r="M40" s="30">
        <v>10.466658000000001</v>
      </c>
      <c r="N40" s="30"/>
      <c r="O40" s="102">
        <v>9</v>
      </c>
      <c r="P40" s="33" t="s">
        <v>52</v>
      </c>
      <c r="Q40" s="34">
        <v>2342</v>
      </c>
      <c r="R40" s="30">
        <v>2.2485502999999998</v>
      </c>
      <c r="S40" s="64">
        <v>14.935364999999999</v>
      </c>
      <c r="T40" s="35">
        <v>10.718916999999999</v>
      </c>
    </row>
    <row r="41" spans="1:20" s="25" customFormat="1" ht="15" customHeight="1" x14ac:dyDescent="0.2">
      <c r="A41" s="102">
        <v>10</v>
      </c>
      <c r="B41" s="62" t="s">
        <v>53</v>
      </c>
      <c r="C41" s="63">
        <v>1420</v>
      </c>
      <c r="D41" s="64">
        <v>2.5961204000000002</v>
      </c>
      <c r="E41" s="64">
        <v>18.284994000000001</v>
      </c>
      <c r="F41" s="30">
        <v>18.079557999999999</v>
      </c>
      <c r="G41" s="30"/>
      <c r="H41" s="102">
        <v>10</v>
      </c>
      <c r="I41" s="62" t="s">
        <v>54</v>
      </c>
      <c r="J41" s="34">
        <v>1202</v>
      </c>
      <c r="K41" s="30">
        <v>2.4302958000000001</v>
      </c>
      <c r="L41" s="64">
        <v>15.186411</v>
      </c>
      <c r="M41" s="30">
        <v>9.3102177000000008</v>
      </c>
      <c r="N41" s="30"/>
      <c r="O41" s="102">
        <v>10</v>
      </c>
      <c r="P41" s="33" t="s">
        <v>47</v>
      </c>
      <c r="Q41" s="34">
        <v>2199</v>
      </c>
      <c r="R41" s="30">
        <v>2.1112562000000001</v>
      </c>
      <c r="S41" s="64">
        <v>14.023427999999999</v>
      </c>
      <c r="T41" s="35">
        <v>10.240079</v>
      </c>
    </row>
    <row r="42" spans="1:20" s="43" customFormat="1" ht="15" customHeight="1" x14ac:dyDescent="0.2">
      <c r="A42" s="40"/>
      <c r="B42" s="147" t="s">
        <v>561</v>
      </c>
      <c r="C42" s="66">
        <v>25828</v>
      </c>
      <c r="D42" s="67">
        <v>47.2</v>
      </c>
      <c r="E42" s="67" t="s">
        <v>70</v>
      </c>
      <c r="F42" s="42" t="s">
        <v>70</v>
      </c>
      <c r="G42" s="38"/>
      <c r="H42" s="40"/>
      <c r="I42" s="147" t="s">
        <v>561</v>
      </c>
      <c r="J42" s="66">
        <v>24489</v>
      </c>
      <c r="K42" s="67">
        <v>49.5</v>
      </c>
      <c r="L42" s="67" t="s">
        <v>70</v>
      </c>
      <c r="M42" s="42" t="s">
        <v>70</v>
      </c>
      <c r="N42" s="38"/>
      <c r="O42" s="40"/>
      <c r="P42" s="147" t="s">
        <v>561</v>
      </c>
      <c r="Q42" s="66">
        <v>48174</v>
      </c>
      <c r="R42" s="67">
        <v>46.3</v>
      </c>
      <c r="S42" s="67" t="s">
        <v>70</v>
      </c>
      <c r="T42" s="42" t="s">
        <v>70</v>
      </c>
    </row>
    <row r="43" spans="1:20" s="54" customFormat="1" ht="15" customHeight="1" x14ac:dyDescent="0.2">
      <c r="A43" s="50"/>
      <c r="B43" s="68" t="s">
        <v>67</v>
      </c>
      <c r="C43" s="69">
        <v>54697</v>
      </c>
      <c r="D43" s="70">
        <v>100</v>
      </c>
      <c r="E43" s="70">
        <v>704.31993</v>
      </c>
      <c r="F43" s="53">
        <v>590.87359000000004</v>
      </c>
      <c r="G43" s="48"/>
      <c r="H43" s="50"/>
      <c r="I43" s="51" t="s">
        <v>67</v>
      </c>
      <c r="J43" s="52">
        <v>49459</v>
      </c>
      <c r="K43" s="48">
        <v>100</v>
      </c>
      <c r="L43" s="70">
        <v>624.87910999999997</v>
      </c>
      <c r="M43" s="53">
        <v>421.26029999999997</v>
      </c>
      <c r="N43" s="48"/>
      <c r="O43" s="50"/>
      <c r="P43" s="51" t="s">
        <v>67</v>
      </c>
      <c r="Q43" s="52">
        <v>104156</v>
      </c>
      <c r="R43" s="48">
        <v>100</v>
      </c>
      <c r="S43" s="70">
        <v>664.22199000000001</v>
      </c>
      <c r="T43" s="53">
        <v>500.92998</v>
      </c>
    </row>
    <row r="44" spans="1:20" s="54" customFormat="1" ht="15" customHeight="1" x14ac:dyDescent="0.2">
      <c r="A44" s="103" t="s">
        <v>263</v>
      </c>
      <c r="B44" s="55"/>
      <c r="C44" s="56"/>
      <c r="D44" s="57"/>
      <c r="E44" s="57"/>
      <c r="F44" s="58"/>
      <c r="G44" s="58"/>
      <c r="H44" s="103" t="s">
        <v>263</v>
      </c>
      <c r="I44" s="55"/>
      <c r="J44" s="60"/>
      <c r="K44" s="58"/>
      <c r="L44" s="57"/>
      <c r="M44" s="58"/>
      <c r="N44" s="58"/>
      <c r="O44" s="103" t="s">
        <v>263</v>
      </c>
      <c r="P44" s="55"/>
      <c r="Q44" s="60"/>
      <c r="R44" s="58"/>
      <c r="S44" s="57"/>
      <c r="T44" s="58"/>
    </row>
    <row r="45" spans="1:20" s="25" customFormat="1" ht="27.95" customHeight="1" x14ac:dyDescent="0.2">
      <c r="A45" s="102">
        <v>1</v>
      </c>
      <c r="B45" s="62" t="s">
        <v>42</v>
      </c>
      <c r="C45" s="63">
        <v>5190</v>
      </c>
      <c r="D45" s="64">
        <v>11.107782</v>
      </c>
      <c r="E45" s="64">
        <v>66.132619000000005</v>
      </c>
      <c r="F45" s="30">
        <v>61.311787000000002</v>
      </c>
      <c r="G45" s="30"/>
      <c r="H45" s="102">
        <v>1</v>
      </c>
      <c r="I45" s="62" t="s">
        <v>43</v>
      </c>
      <c r="J45" s="34">
        <v>6034</v>
      </c>
      <c r="K45" s="30">
        <v>13.671379</v>
      </c>
      <c r="L45" s="64">
        <v>75.696731999999997</v>
      </c>
      <c r="M45" s="30">
        <v>50.443027999999998</v>
      </c>
      <c r="N45" s="30"/>
      <c r="O45" s="102">
        <v>1</v>
      </c>
      <c r="P45" s="62" t="s">
        <v>43</v>
      </c>
      <c r="Q45" s="34">
        <v>9369</v>
      </c>
      <c r="R45" s="30">
        <v>10.311468</v>
      </c>
      <c r="S45" s="64">
        <v>59.225689000000003</v>
      </c>
      <c r="T45" s="35">
        <v>46.205176999999999</v>
      </c>
    </row>
    <row r="46" spans="1:20" s="25" customFormat="1" ht="27.95" customHeight="1" x14ac:dyDescent="0.2">
      <c r="A46" s="102">
        <v>2</v>
      </c>
      <c r="B46" s="62" t="s">
        <v>43</v>
      </c>
      <c r="C46" s="63">
        <v>3335</v>
      </c>
      <c r="D46" s="64">
        <v>7.1376594000000004</v>
      </c>
      <c r="E46" s="64">
        <v>42.495623000000002</v>
      </c>
      <c r="F46" s="30">
        <v>39.821649999999998</v>
      </c>
      <c r="G46" s="30"/>
      <c r="H46" s="102">
        <v>2</v>
      </c>
      <c r="I46" s="62" t="s">
        <v>42</v>
      </c>
      <c r="J46" s="34">
        <v>3427</v>
      </c>
      <c r="K46" s="30">
        <v>7.7646366000000002</v>
      </c>
      <c r="L46" s="64">
        <v>42.99183</v>
      </c>
      <c r="M46" s="30">
        <v>29.586752000000001</v>
      </c>
      <c r="N46" s="30"/>
      <c r="O46" s="102">
        <v>2</v>
      </c>
      <c r="P46" s="33" t="s">
        <v>42</v>
      </c>
      <c r="Q46" s="34">
        <v>8617</v>
      </c>
      <c r="R46" s="30">
        <v>9.4838213000000007</v>
      </c>
      <c r="S46" s="64">
        <v>54.471957000000003</v>
      </c>
      <c r="T46" s="35">
        <v>44.215134999999997</v>
      </c>
    </row>
    <row r="47" spans="1:20" s="25" customFormat="1" ht="15" customHeight="1" x14ac:dyDescent="0.2">
      <c r="A47" s="102">
        <v>3</v>
      </c>
      <c r="B47" s="62" t="s">
        <v>44</v>
      </c>
      <c r="C47" s="63">
        <v>2231</v>
      </c>
      <c r="D47" s="64">
        <v>4.7748480000000004</v>
      </c>
      <c r="E47" s="64">
        <v>28.428107000000001</v>
      </c>
      <c r="F47" s="30">
        <v>26.092575</v>
      </c>
      <c r="G47" s="30"/>
      <c r="H47" s="102">
        <v>3</v>
      </c>
      <c r="I47" s="62" t="s">
        <v>45</v>
      </c>
      <c r="J47" s="34">
        <v>2821</v>
      </c>
      <c r="K47" s="30">
        <v>6.3916078000000001</v>
      </c>
      <c r="L47" s="64">
        <v>35.389539999999997</v>
      </c>
      <c r="M47" s="30">
        <v>24.773022999999998</v>
      </c>
      <c r="N47" s="30"/>
      <c r="O47" s="102">
        <v>3</v>
      </c>
      <c r="P47" s="33" t="s">
        <v>45</v>
      </c>
      <c r="Q47" s="34">
        <v>4870</v>
      </c>
      <c r="R47" s="30">
        <v>5.3598942999999997</v>
      </c>
      <c r="S47" s="64">
        <v>30.785474000000001</v>
      </c>
      <c r="T47" s="35">
        <v>24.827082000000001</v>
      </c>
    </row>
    <row r="48" spans="1:20" s="25" customFormat="1" ht="15" customHeight="1" x14ac:dyDescent="0.2">
      <c r="A48" s="102">
        <v>4</v>
      </c>
      <c r="B48" s="62" t="s">
        <v>45</v>
      </c>
      <c r="C48" s="63">
        <v>2049</v>
      </c>
      <c r="D48" s="64">
        <v>4.3853266</v>
      </c>
      <c r="E48" s="64">
        <v>26.109005</v>
      </c>
      <c r="F48" s="30">
        <v>24.368660999999999</v>
      </c>
      <c r="G48" s="30"/>
      <c r="H48" s="102">
        <v>4</v>
      </c>
      <c r="I48" s="62" t="s">
        <v>44</v>
      </c>
      <c r="J48" s="34">
        <v>1762</v>
      </c>
      <c r="K48" s="30">
        <v>3.9922059000000001</v>
      </c>
      <c r="L48" s="64">
        <v>22.104348999999999</v>
      </c>
      <c r="M48" s="30">
        <v>17.518823000000001</v>
      </c>
      <c r="N48" s="30"/>
      <c r="O48" s="102">
        <v>4</v>
      </c>
      <c r="P48" s="33" t="s">
        <v>44</v>
      </c>
      <c r="Q48" s="34">
        <v>3993</v>
      </c>
      <c r="R48" s="30">
        <v>4.3946731000000003</v>
      </c>
      <c r="S48" s="64">
        <v>25.24156</v>
      </c>
      <c r="T48" s="35">
        <v>21.385384999999999</v>
      </c>
    </row>
    <row r="49" spans="1:20" s="25" customFormat="1" ht="15" customHeight="1" x14ac:dyDescent="0.2">
      <c r="A49" s="102">
        <v>5</v>
      </c>
      <c r="B49" s="62" t="s">
        <v>47</v>
      </c>
      <c r="C49" s="63">
        <v>1838</v>
      </c>
      <c r="D49" s="64">
        <v>3.9337385</v>
      </c>
      <c r="E49" s="64">
        <v>23.420376999999998</v>
      </c>
      <c r="F49" s="30">
        <v>21.717236</v>
      </c>
      <c r="G49" s="30"/>
      <c r="H49" s="102">
        <v>5</v>
      </c>
      <c r="I49" s="62" t="s">
        <v>48</v>
      </c>
      <c r="J49" s="34">
        <v>1678</v>
      </c>
      <c r="K49" s="30">
        <v>3.8018850999999998</v>
      </c>
      <c r="L49" s="64">
        <v>21.050566</v>
      </c>
      <c r="M49" s="30">
        <v>17.066072999999999</v>
      </c>
      <c r="N49" s="30"/>
      <c r="O49" s="102">
        <v>5</v>
      </c>
      <c r="P49" s="33" t="s">
        <v>46</v>
      </c>
      <c r="Q49" s="34">
        <v>3095</v>
      </c>
      <c r="R49" s="30">
        <v>3.4063393999999998</v>
      </c>
      <c r="S49" s="64">
        <v>19.564896000000001</v>
      </c>
      <c r="T49" s="35">
        <v>16.118461</v>
      </c>
    </row>
    <row r="50" spans="1:20" s="25" customFormat="1" ht="15" customHeight="1" x14ac:dyDescent="0.2">
      <c r="A50" s="102">
        <v>6</v>
      </c>
      <c r="B50" s="62" t="s">
        <v>46</v>
      </c>
      <c r="C50" s="63">
        <v>1597</v>
      </c>
      <c r="D50" s="64">
        <v>3.4179436999999999</v>
      </c>
      <c r="E50" s="64">
        <v>20.349478000000001</v>
      </c>
      <c r="F50" s="30">
        <v>18.811900000000001</v>
      </c>
      <c r="G50" s="30"/>
      <c r="H50" s="102">
        <v>6</v>
      </c>
      <c r="I50" s="62" t="s">
        <v>46</v>
      </c>
      <c r="J50" s="34">
        <v>1498</v>
      </c>
      <c r="K50" s="30">
        <v>3.3940546999999999</v>
      </c>
      <c r="L50" s="64">
        <v>18.792459999999998</v>
      </c>
      <c r="M50" s="30">
        <v>14.006106000000001</v>
      </c>
      <c r="N50" s="30"/>
      <c r="O50" s="102">
        <v>6</v>
      </c>
      <c r="P50" s="33" t="s">
        <v>50</v>
      </c>
      <c r="Q50" s="34">
        <v>2684</v>
      </c>
      <c r="R50" s="30">
        <v>2.9539952</v>
      </c>
      <c r="S50" s="64">
        <v>16.966778999999999</v>
      </c>
      <c r="T50" s="35">
        <v>14.339869999999999</v>
      </c>
    </row>
    <row r="51" spans="1:20" s="25" customFormat="1" ht="27.95" customHeight="1" x14ac:dyDescent="0.2">
      <c r="A51" s="102">
        <v>7</v>
      </c>
      <c r="B51" s="62" t="s">
        <v>260</v>
      </c>
      <c r="C51" s="63">
        <v>1454</v>
      </c>
      <c r="D51" s="64">
        <v>3.1118910999999998</v>
      </c>
      <c r="E51" s="64">
        <v>18.527327</v>
      </c>
      <c r="F51" s="30">
        <v>17.296129000000001</v>
      </c>
      <c r="G51" s="30"/>
      <c r="H51" s="102">
        <v>7</v>
      </c>
      <c r="I51" s="62" t="s">
        <v>50</v>
      </c>
      <c r="J51" s="34">
        <v>1311</v>
      </c>
      <c r="K51" s="30">
        <v>2.9703643</v>
      </c>
      <c r="L51" s="64">
        <v>16.446539000000001</v>
      </c>
      <c r="M51" s="30">
        <v>12.683014999999999</v>
      </c>
      <c r="N51" s="30"/>
      <c r="O51" s="102">
        <v>7</v>
      </c>
      <c r="P51" s="33" t="s">
        <v>260</v>
      </c>
      <c r="Q51" s="34">
        <v>2602</v>
      </c>
      <c r="R51" s="30">
        <v>2.8637464000000001</v>
      </c>
      <c r="S51" s="64">
        <v>16.448419999999999</v>
      </c>
      <c r="T51" s="35">
        <v>13.205202999999999</v>
      </c>
    </row>
    <row r="52" spans="1:20" s="25" customFormat="1" ht="15" customHeight="1" x14ac:dyDescent="0.2">
      <c r="A52" s="102">
        <v>8</v>
      </c>
      <c r="B52" s="62" t="s">
        <v>50</v>
      </c>
      <c r="C52" s="63">
        <v>1373</v>
      </c>
      <c r="D52" s="64">
        <v>2.9385327000000001</v>
      </c>
      <c r="E52" s="64">
        <v>17.495200000000001</v>
      </c>
      <c r="F52" s="30">
        <v>16.221684</v>
      </c>
      <c r="G52" s="30"/>
      <c r="H52" s="102">
        <v>8</v>
      </c>
      <c r="I52" s="62" t="s">
        <v>49</v>
      </c>
      <c r="J52" s="34">
        <v>1166</v>
      </c>
      <c r="K52" s="30">
        <v>2.6418343000000002</v>
      </c>
      <c r="L52" s="64">
        <v>14.627509</v>
      </c>
      <c r="M52" s="30">
        <v>10.500655</v>
      </c>
      <c r="N52" s="30"/>
      <c r="O52" s="102">
        <v>8</v>
      </c>
      <c r="P52" s="33" t="s">
        <v>49</v>
      </c>
      <c r="Q52" s="34">
        <v>2531</v>
      </c>
      <c r="R52" s="30">
        <v>2.7856041999999999</v>
      </c>
      <c r="S52" s="64">
        <v>15.999596</v>
      </c>
      <c r="T52" s="35">
        <v>13.099648999999999</v>
      </c>
    </row>
    <row r="53" spans="1:20" s="25" customFormat="1" ht="27.95" customHeight="1" x14ac:dyDescent="0.2">
      <c r="A53" s="102">
        <v>9</v>
      </c>
      <c r="B53" s="62" t="s">
        <v>49</v>
      </c>
      <c r="C53" s="63">
        <v>1365</v>
      </c>
      <c r="D53" s="64">
        <v>2.9214107999999999</v>
      </c>
      <c r="E53" s="64">
        <v>17.393260999999999</v>
      </c>
      <c r="F53" s="30">
        <v>16.14789</v>
      </c>
      <c r="G53" s="30"/>
      <c r="H53" s="102">
        <v>9</v>
      </c>
      <c r="I53" s="62" t="s">
        <v>260</v>
      </c>
      <c r="J53" s="34">
        <v>1148</v>
      </c>
      <c r="K53" s="30">
        <v>2.6010513</v>
      </c>
      <c r="L53" s="64">
        <v>14.401698</v>
      </c>
      <c r="M53" s="30">
        <v>9.9488357000000001</v>
      </c>
      <c r="N53" s="30"/>
      <c r="O53" s="102">
        <v>9</v>
      </c>
      <c r="P53" s="33" t="s">
        <v>52</v>
      </c>
      <c r="Q53" s="34">
        <v>2176</v>
      </c>
      <c r="R53" s="30">
        <v>2.3948931999999998</v>
      </c>
      <c r="S53" s="64">
        <v>13.755481</v>
      </c>
      <c r="T53" s="35">
        <v>10.959440000000001</v>
      </c>
    </row>
    <row r="54" spans="1:20" s="25" customFormat="1" ht="15" customHeight="1" x14ac:dyDescent="0.2">
      <c r="A54" s="102">
        <v>10</v>
      </c>
      <c r="B54" s="62" t="s">
        <v>53</v>
      </c>
      <c r="C54" s="63">
        <v>1254</v>
      </c>
      <c r="D54" s="64">
        <v>2.6838456000000002</v>
      </c>
      <c r="E54" s="64">
        <v>15.978864</v>
      </c>
      <c r="F54" s="30">
        <v>15.5684</v>
      </c>
      <c r="G54" s="30"/>
      <c r="H54" s="102">
        <v>10</v>
      </c>
      <c r="I54" s="62" t="s">
        <v>52</v>
      </c>
      <c r="J54" s="34">
        <v>1110</v>
      </c>
      <c r="K54" s="30">
        <v>2.5149537999999998</v>
      </c>
      <c r="L54" s="64">
        <v>13.924987</v>
      </c>
      <c r="M54" s="30">
        <v>9.5971109000000006</v>
      </c>
      <c r="N54" s="30"/>
      <c r="O54" s="102">
        <v>10</v>
      </c>
      <c r="P54" s="33" t="s">
        <v>56</v>
      </c>
      <c r="Q54" s="34">
        <v>1897</v>
      </c>
      <c r="R54" s="30">
        <v>2.0878274000000001</v>
      </c>
      <c r="S54" s="64">
        <v>11.991796000000001</v>
      </c>
      <c r="T54" s="35">
        <v>10.193528000000001</v>
      </c>
    </row>
    <row r="55" spans="1:20" s="43" customFormat="1" ht="15" customHeight="1" x14ac:dyDescent="0.2">
      <c r="A55" s="40"/>
      <c r="B55" s="147" t="s">
        <v>561</v>
      </c>
      <c r="C55" s="66">
        <v>21686</v>
      </c>
      <c r="D55" s="67">
        <v>46.4</v>
      </c>
      <c r="E55" s="67" t="s">
        <v>70</v>
      </c>
      <c r="F55" s="42" t="s">
        <v>70</v>
      </c>
      <c r="G55" s="38"/>
      <c r="H55" s="40"/>
      <c r="I55" s="147" t="s">
        <v>561</v>
      </c>
      <c r="J55" s="66">
        <v>21955</v>
      </c>
      <c r="K55" s="67">
        <v>49.7</v>
      </c>
      <c r="L55" s="67" t="s">
        <v>70</v>
      </c>
      <c r="M55" s="42" t="s">
        <v>70</v>
      </c>
      <c r="N55" s="38"/>
      <c r="O55" s="40"/>
      <c r="P55" s="147" t="s">
        <v>561</v>
      </c>
      <c r="Q55" s="66">
        <v>41834</v>
      </c>
      <c r="R55" s="67">
        <v>46</v>
      </c>
      <c r="S55" s="67" t="s">
        <v>70</v>
      </c>
      <c r="T55" s="42" t="s">
        <v>70</v>
      </c>
    </row>
    <row r="56" spans="1:20" s="54" customFormat="1" ht="15" customHeight="1" x14ac:dyDescent="0.2">
      <c r="A56" s="50"/>
      <c r="B56" s="68" t="s">
        <v>67</v>
      </c>
      <c r="C56" s="69">
        <v>46724</v>
      </c>
      <c r="D56" s="70">
        <v>100</v>
      </c>
      <c r="E56" s="70">
        <v>595.37197000000003</v>
      </c>
      <c r="F56" s="53">
        <v>555.62823000000003</v>
      </c>
      <c r="G56" s="48"/>
      <c r="H56" s="50"/>
      <c r="I56" s="51" t="s">
        <v>67</v>
      </c>
      <c r="J56" s="52">
        <v>44136</v>
      </c>
      <c r="K56" s="48">
        <v>100</v>
      </c>
      <c r="L56" s="70">
        <v>553.68759999999997</v>
      </c>
      <c r="M56" s="53">
        <v>404.72027000000003</v>
      </c>
      <c r="N56" s="48"/>
      <c r="O56" s="50"/>
      <c r="P56" s="51" t="s">
        <v>67</v>
      </c>
      <c r="Q56" s="52">
        <v>90860</v>
      </c>
      <c r="R56" s="48">
        <v>100</v>
      </c>
      <c r="S56" s="70">
        <v>574.36717999999996</v>
      </c>
      <c r="T56" s="53">
        <v>475.00788999999997</v>
      </c>
    </row>
    <row r="57" spans="1:20" s="54" customFormat="1" ht="15" customHeight="1" x14ac:dyDescent="0.2">
      <c r="A57" s="510" t="s">
        <v>600</v>
      </c>
      <c r="B57" s="510"/>
      <c r="C57" s="510"/>
      <c r="D57" s="57"/>
      <c r="E57" s="57"/>
      <c r="F57" s="58"/>
      <c r="G57" s="58"/>
      <c r="H57" s="510" t="s">
        <v>600</v>
      </c>
      <c r="I57" s="55"/>
      <c r="J57" s="60"/>
      <c r="K57" s="58"/>
      <c r="L57" s="57"/>
      <c r="M57" s="58"/>
      <c r="N57" s="58"/>
      <c r="O57" s="510" t="s">
        <v>600</v>
      </c>
      <c r="P57" s="55"/>
      <c r="Q57" s="60"/>
      <c r="R57" s="58"/>
      <c r="S57" s="57"/>
      <c r="T57" s="58"/>
    </row>
    <row r="58" spans="1:20" s="25" customFormat="1" ht="27.95" customHeight="1" x14ac:dyDescent="0.2">
      <c r="A58" s="102">
        <v>1</v>
      </c>
      <c r="B58" s="62" t="s">
        <v>42</v>
      </c>
      <c r="C58" s="63">
        <v>4709</v>
      </c>
      <c r="D58" s="64">
        <v>10.659152000000001</v>
      </c>
      <c r="E58" s="64">
        <v>61.361396999999997</v>
      </c>
      <c r="F58" s="30">
        <v>51.163406000000002</v>
      </c>
      <c r="G58" s="30"/>
      <c r="H58" s="102">
        <v>1</v>
      </c>
      <c r="I58" s="62" t="s">
        <v>43</v>
      </c>
      <c r="J58" s="34">
        <v>6127</v>
      </c>
      <c r="K58" s="30">
        <v>13.91488</v>
      </c>
      <c r="L58" s="64">
        <v>77.065023999999994</v>
      </c>
      <c r="M58" s="30">
        <v>45.843674999999998</v>
      </c>
      <c r="N58" s="30"/>
      <c r="O58" s="102">
        <v>1</v>
      </c>
      <c r="P58" s="62" t="s">
        <v>43</v>
      </c>
      <c r="Q58" s="34">
        <v>9530</v>
      </c>
      <c r="R58" s="30">
        <v>10.803763999999999</v>
      </c>
      <c r="S58" s="64">
        <v>60.993425000000002</v>
      </c>
      <c r="T58" s="35">
        <v>42.160328999999997</v>
      </c>
    </row>
    <row r="59" spans="1:20" s="25" customFormat="1" ht="27.95" customHeight="1" x14ac:dyDescent="0.2">
      <c r="A59" s="102">
        <v>2</v>
      </c>
      <c r="B59" s="62" t="s">
        <v>43</v>
      </c>
      <c r="C59" s="63">
        <v>3403</v>
      </c>
      <c r="D59" s="64">
        <v>7.7029291000000004</v>
      </c>
      <c r="E59" s="64">
        <v>44.343350000000001</v>
      </c>
      <c r="F59" s="30">
        <v>36.596331999999997</v>
      </c>
      <c r="G59" s="30"/>
      <c r="H59" s="102">
        <v>2</v>
      </c>
      <c r="I59" s="62" t="s">
        <v>42</v>
      </c>
      <c r="J59" s="34">
        <v>3365</v>
      </c>
      <c r="K59" s="30">
        <v>7.6421692999999999</v>
      </c>
      <c r="L59" s="64">
        <v>42.324759999999998</v>
      </c>
      <c r="M59" s="30">
        <v>25.738236000000001</v>
      </c>
      <c r="N59" s="30"/>
      <c r="O59" s="102">
        <v>2</v>
      </c>
      <c r="P59" s="33" t="s">
        <v>42</v>
      </c>
      <c r="Q59" s="34">
        <v>8074</v>
      </c>
      <c r="R59" s="30">
        <v>9.1531572000000008</v>
      </c>
      <c r="S59" s="64">
        <v>51.674807000000001</v>
      </c>
      <c r="T59" s="35">
        <v>37.36327</v>
      </c>
    </row>
    <row r="60" spans="1:20" s="25" customFormat="1" ht="15" customHeight="1" x14ac:dyDescent="0.2">
      <c r="A60" s="102">
        <v>3</v>
      </c>
      <c r="B60" s="62" t="s">
        <v>45</v>
      </c>
      <c r="C60" s="63">
        <v>2197</v>
      </c>
      <c r="D60" s="64">
        <v>4.9730635000000003</v>
      </c>
      <c r="E60" s="64">
        <v>28.628368999999999</v>
      </c>
      <c r="F60" s="30">
        <v>23.869764</v>
      </c>
      <c r="G60" s="30"/>
      <c r="H60" s="102">
        <v>3</v>
      </c>
      <c r="I60" s="62" t="s">
        <v>45</v>
      </c>
      <c r="J60" s="34">
        <v>3123</v>
      </c>
      <c r="K60" s="30">
        <v>7.0925690000000001</v>
      </c>
      <c r="L60" s="64">
        <v>39.280898999999998</v>
      </c>
      <c r="M60" s="30">
        <v>24.362044000000001</v>
      </c>
      <c r="N60" s="30"/>
      <c r="O60" s="102">
        <v>3</v>
      </c>
      <c r="P60" s="33" t="s">
        <v>45</v>
      </c>
      <c r="Q60" s="34">
        <v>5320</v>
      </c>
      <c r="R60" s="30">
        <v>6.0310622</v>
      </c>
      <c r="S60" s="64">
        <v>34.048794999999998</v>
      </c>
      <c r="T60" s="35">
        <v>24.365134999999999</v>
      </c>
    </row>
    <row r="61" spans="1:20" s="25" customFormat="1" ht="15" customHeight="1" x14ac:dyDescent="0.2">
      <c r="A61" s="102">
        <v>4</v>
      </c>
      <c r="B61" s="62" t="s">
        <v>47</v>
      </c>
      <c r="C61" s="63">
        <v>1885</v>
      </c>
      <c r="D61" s="64">
        <v>4.2668296000000003</v>
      </c>
      <c r="E61" s="64">
        <v>24.562802000000001</v>
      </c>
      <c r="F61" s="30">
        <v>20.361857000000001</v>
      </c>
      <c r="G61" s="30"/>
      <c r="H61" s="102">
        <v>4</v>
      </c>
      <c r="I61" s="62" t="s">
        <v>48</v>
      </c>
      <c r="J61" s="34">
        <v>1784</v>
      </c>
      <c r="K61" s="30">
        <v>4.0515987999999998</v>
      </c>
      <c r="L61" s="64">
        <v>22.439041</v>
      </c>
      <c r="M61" s="30">
        <v>16.971136999999999</v>
      </c>
      <c r="N61" s="30"/>
      <c r="O61" s="102">
        <v>4</v>
      </c>
      <c r="P61" s="33" t="s">
        <v>44</v>
      </c>
      <c r="Q61" s="34">
        <v>3407</v>
      </c>
      <c r="R61" s="30">
        <v>3.8623739000000001</v>
      </c>
      <c r="S61" s="64">
        <v>21.805309000000001</v>
      </c>
      <c r="T61" s="35">
        <v>16.951809999999998</v>
      </c>
    </row>
    <row r="62" spans="1:20" s="25" customFormat="1" ht="27.95" customHeight="1" x14ac:dyDescent="0.2">
      <c r="A62" s="102">
        <v>5</v>
      </c>
      <c r="B62" s="62" t="s">
        <v>44</v>
      </c>
      <c r="C62" s="63">
        <v>1835</v>
      </c>
      <c r="D62" s="64">
        <v>4.1536511000000003</v>
      </c>
      <c r="E62" s="64">
        <v>23.911268</v>
      </c>
      <c r="F62" s="30">
        <v>19.993815999999999</v>
      </c>
      <c r="G62" s="30"/>
      <c r="H62" s="102">
        <v>5</v>
      </c>
      <c r="I62" s="62" t="s">
        <v>44</v>
      </c>
      <c r="J62" s="34">
        <v>1572</v>
      </c>
      <c r="K62" s="30">
        <v>3.5701307999999998</v>
      </c>
      <c r="L62" s="64">
        <v>19.772518000000002</v>
      </c>
      <c r="M62" s="30">
        <v>14.484336000000001</v>
      </c>
      <c r="N62" s="30"/>
      <c r="O62" s="102">
        <v>5</v>
      </c>
      <c r="P62" s="33" t="s">
        <v>260</v>
      </c>
      <c r="Q62" s="34">
        <v>2691</v>
      </c>
      <c r="R62" s="30">
        <v>3.0506745</v>
      </c>
      <c r="S62" s="64">
        <v>17.222802000000001</v>
      </c>
      <c r="T62" s="35">
        <v>12.324176</v>
      </c>
    </row>
    <row r="63" spans="1:20" s="25" customFormat="1" ht="27.95" customHeight="1" x14ac:dyDescent="0.2">
      <c r="A63" s="102">
        <v>6</v>
      </c>
      <c r="B63" s="62" t="s">
        <v>260</v>
      </c>
      <c r="C63" s="63">
        <v>1460</v>
      </c>
      <c r="D63" s="64">
        <v>3.3048123999999999</v>
      </c>
      <c r="E63" s="64">
        <v>19.024768999999999</v>
      </c>
      <c r="F63" s="30">
        <v>15.830861000000001</v>
      </c>
      <c r="G63" s="30"/>
      <c r="H63" s="102">
        <v>6</v>
      </c>
      <c r="I63" s="62" t="s">
        <v>260</v>
      </c>
      <c r="J63" s="34">
        <v>1231</v>
      </c>
      <c r="K63" s="30">
        <v>2.7956940000000001</v>
      </c>
      <c r="L63" s="64">
        <v>15.483440999999999</v>
      </c>
      <c r="M63" s="30">
        <v>9.5607609999999994</v>
      </c>
      <c r="N63" s="30"/>
      <c r="O63" s="102">
        <v>6</v>
      </c>
      <c r="P63" s="33" t="s">
        <v>50</v>
      </c>
      <c r="Q63" s="34">
        <v>2495</v>
      </c>
      <c r="R63" s="30">
        <v>2.8284775</v>
      </c>
      <c r="S63" s="64">
        <v>15.968373</v>
      </c>
      <c r="T63" s="35">
        <v>12.342193999999999</v>
      </c>
    </row>
    <row r="64" spans="1:20" s="25" customFormat="1" ht="15" customHeight="1" x14ac:dyDescent="0.2">
      <c r="A64" s="102">
        <v>7</v>
      </c>
      <c r="B64" s="62" t="s">
        <v>50</v>
      </c>
      <c r="C64" s="63">
        <v>1266</v>
      </c>
      <c r="D64" s="64">
        <v>2.8656798000000001</v>
      </c>
      <c r="E64" s="64">
        <v>16.496821000000001</v>
      </c>
      <c r="F64" s="30">
        <v>13.995898</v>
      </c>
      <c r="G64" s="30"/>
      <c r="H64" s="102">
        <v>7</v>
      </c>
      <c r="I64" s="62" t="s">
        <v>50</v>
      </c>
      <c r="J64" s="34">
        <v>1229</v>
      </c>
      <c r="K64" s="30">
        <v>2.7911519</v>
      </c>
      <c r="L64" s="64">
        <v>15.458285</v>
      </c>
      <c r="M64" s="30">
        <v>10.899098</v>
      </c>
      <c r="N64" s="30"/>
      <c r="O64" s="102">
        <v>7</v>
      </c>
      <c r="P64" s="33" t="s">
        <v>46</v>
      </c>
      <c r="Q64" s="34">
        <v>2391</v>
      </c>
      <c r="R64" s="30">
        <v>2.7105769999999998</v>
      </c>
      <c r="S64" s="64">
        <v>15.302757</v>
      </c>
      <c r="T64" s="35">
        <v>11.286187</v>
      </c>
    </row>
    <row r="65" spans="1:20" s="25" customFormat="1" ht="15" customHeight="1" x14ac:dyDescent="0.2">
      <c r="A65" s="102">
        <v>8</v>
      </c>
      <c r="B65" s="62" t="s">
        <v>46</v>
      </c>
      <c r="C65" s="63">
        <v>1191</v>
      </c>
      <c r="D65" s="64">
        <v>2.6959119999999999</v>
      </c>
      <c r="E65" s="64">
        <v>15.519520999999999</v>
      </c>
      <c r="F65" s="30">
        <v>12.878356999999999</v>
      </c>
      <c r="G65" s="30"/>
      <c r="H65" s="102">
        <v>8</v>
      </c>
      <c r="I65" s="62" t="s">
        <v>46</v>
      </c>
      <c r="J65" s="34">
        <v>1200</v>
      </c>
      <c r="K65" s="30">
        <v>2.7252907</v>
      </c>
      <c r="L65" s="64">
        <v>15.093525</v>
      </c>
      <c r="M65" s="30">
        <v>10.047561999999999</v>
      </c>
      <c r="N65" s="30"/>
      <c r="O65" s="102">
        <v>8</v>
      </c>
      <c r="P65" s="33" t="s">
        <v>52</v>
      </c>
      <c r="Q65" s="34">
        <v>2305</v>
      </c>
      <c r="R65" s="30">
        <v>2.6130824000000001</v>
      </c>
      <c r="S65" s="64">
        <v>14.752345</v>
      </c>
      <c r="T65" s="35">
        <v>10.393484000000001</v>
      </c>
    </row>
    <row r="66" spans="1:20" s="25" customFormat="1" ht="15" customHeight="1" x14ac:dyDescent="0.2">
      <c r="A66" s="102">
        <v>9</v>
      </c>
      <c r="B66" s="62" t="s">
        <v>49</v>
      </c>
      <c r="C66" s="63">
        <v>1167</v>
      </c>
      <c r="D66" s="64">
        <v>2.6415863000000002</v>
      </c>
      <c r="E66" s="64">
        <v>15.206785</v>
      </c>
      <c r="F66" s="30">
        <v>12.719386999999999</v>
      </c>
      <c r="G66" s="30"/>
      <c r="H66" s="102">
        <v>9</v>
      </c>
      <c r="I66" s="62" t="s">
        <v>52</v>
      </c>
      <c r="J66" s="34">
        <v>1166</v>
      </c>
      <c r="K66" s="30">
        <v>2.6480741000000001</v>
      </c>
      <c r="L66" s="64">
        <v>14.665875</v>
      </c>
      <c r="M66" s="30">
        <v>8.8929769000000007</v>
      </c>
      <c r="N66" s="30"/>
      <c r="O66" s="102">
        <v>9</v>
      </c>
      <c r="P66" s="33" t="s">
        <v>49</v>
      </c>
      <c r="Q66" s="34">
        <v>2159</v>
      </c>
      <c r="R66" s="30">
        <v>2.4475682999999999</v>
      </c>
      <c r="S66" s="64">
        <v>13.817923</v>
      </c>
      <c r="T66" s="35">
        <v>10.174386</v>
      </c>
    </row>
    <row r="67" spans="1:20" s="25" customFormat="1" ht="15" customHeight="1" x14ac:dyDescent="0.2">
      <c r="A67" s="102">
        <v>10</v>
      </c>
      <c r="B67" s="62" t="s">
        <v>52</v>
      </c>
      <c r="C67" s="63">
        <v>1139</v>
      </c>
      <c r="D67" s="64">
        <v>2.5782063000000002</v>
      </c>
      <c r="E67" s="64">
        <v>14.841926000000001</v>
      </c>
      <c r="F67" s="30">
        <v>12.308126</v>
      </c>
      <c r="G67" s="30"/>
      <c r="H67" s="102">
        <v>10</v>
      </c>
      <c r="I67" s="62" t="s">
        <v>54</v>
      </c>
      <c r="J67" s="34">
        <v>1127</v>
      </c>
      <c r="K67" s="30">
        <v>2.5595021999999998</v>
      </c>
      <c r="L67" s="64">
        <v>14.175336</v>
      </c>
      <c r="M67" s="30">
        <v>8.2828470999999997</v>
      </c>
      <c r="N67" s="30"/>
      <c r="O67" s="102">
        <v>10</v>
      </c>
      <c r="P67" s="33" t="s">
        <v>54</v>
      </c>
      <c r="Q67" s="34">
        <v>2017</v>
      </c>
      <c r="R67" s="30">
        <v>2.2865888000000001</v>
      </c>
      <c r="S67" s="64">
        <v>12.909102000000001</v>
      </c>
      <c r="T67" s="35">
        <v>8.8968898999999997</v>
      </c>
    </row>
    <row r="68" spans="1:20" s="43" customFormat="1" ht="15" customHeight="1" x14ac:dyDescent="0.2">
      <c r="A68" s="40"/>
      <c r="B68" s="147" t="s">
        <v>561</v>
      </c>
      <c r="C68" s="66">
        <v>20252</v>
      </c>
      <c r="D68" s="67">
        <v>45.8</v>
      </c>
      <c r="E68" s="67" t="s">
        <v>70</v>
      </c>
      <c r="F68" s="42" t="s">
        <v>70</v>
      </c>
      <c r="G68" s="38"/>
      <c r="H68" s="40"/>
      <c r="I68" s="147" t="s">
        <v>561</v>
      </c>
      <c r="J68" s="66">
        <v>21924</v>
      </c>
      <c r="K68" s="67">
        <v>49.8</v>
      </c>
      <c r="L68" s="67" t="s">
        <v>70</v>
      </c>
      <c r="M68" s="42" t="s">
        <v>70</v>
      </c>
      <c r="N68" s="38"/>
      <c r="O68" s="40"/>
      <c r="P68" s="147" t="s">
        <v>561</v>
      </c>
      <c r="Q68" s="66">
        <v>40389</v>
      </c>
      <c r="R68" s="67">
        <v>45.8</v>
      </c>
      <c r="S68" s="67" t="s">
        <v>70</v>
      </c>
      <c r="T68" s="42" t="s">
        <v>70</v>
      </c>
    </row>
    <row r="69" spans="1:20" s="54" customFormat="1" ht="15" customHeight="1" x14ac:dyDescent="0.2">
      <c r="A69" s="50"/>
      <c r="B69" s="68" t="s">
        <v>67</v>
      </c>
      <c r="C69" s="69">
        <v>44178</v>
      </c>
      <c r="D69" s="70">
        <v>100</v>
      </c>
      <c r="E69" s="70">
        <v>575.66867999999999</v>
      </c>
      <c r="F69" s="53">
        <v>486.16924999999998</v>
      </c>
      <c r="G69" s="48"/>
      <c r="H69" s="50"/>
      <c r="I69" s="51" t="s">
        <v>67</v>
      </c>
      <c r="J69" s="52">
        <v>44032</v>
      </c>
      <c r="K69" s="48">
        <v>100</v>
      </c>
      <c r="L69" s="70">
        <v>553.83175000000006</v>
      </c>
      <c r="M69" s="53">
        <v>364.16708</v>
      </c>
      <c r="N69" s="48"/>
      <c r="O69" s="50"/>
      <c r="P69" s="51" t="s">
        <v>67</v>
      </c>
      <c r="Q69" s="52">
        <v>88210</v>
      </c>
      <c r="R69" s="48">
        <v>100</v>
      </c>
      <c r="S69" s="70">
        <v>564.55718999999999</v>
      </c>
      <c r="T69" s="53">
        <v>420.58222999999998</v>
      </c>
    </row>
    <row r="70" spans="1:20" ht="15" customHeight="1" x14ac:dyDescent="0.2">
      <c r="A70" s="74" t="s">
        <v>238</v>
      </c>
      <c r="B70" s="75"/>
      <c r="C70" s="76"/>
      <c r="D70" s="77"/>
      <c r="E70" s="77"/>
      <c r="F70" s="78"/>
      <c r="G70" s="79"/>
      <c r="H70" s="74"/>
      <c r="I70" s="75"/>
      <c r="J70" s="76"/>
      <c r="K70" s="77"/>
      <c r="L70" s="77"/>
      <c r="M70" s="78"/>
      <c r="N70" s="79"/>
      <c r="O70" s="74"/>
      <c r="P70" s="80"/>
      <c r="Q70" s="81"/>
      <c r="R70" s="82"/>
      <c r="S70" s="77"/>
      <c r="T70" s="83"/>
    </row>
    <row r="71" spans="1:20" ht="15" customHeight="1" x14ac:dyDescent="0.2">
      <c r="A71" s="95" t="s">
        <v>239</v>
      </c>
      <c r="B71" s="85"/>
      <c r="C71" s="86"/>
      <c r="D71" s="87"/>
      <c r="E71" s="87"/>
      <c r="F71" s="89"/>
      <c r="G71" s="20"/>
      <c r="H71" s="95"/>
      <c r="I71" s="85"/>
      <c r="J71" s="86"/>
      <c r="K71" s="87"/>
      <c r="L71" s="87"/>
      <c r="M71" s="89"/>
      <c r="N71" s="20"/>
      <c r="O71" s="95"/>
      <c r="S71" s="87"/>
    </row>
    <row r="72" spans="1:20" s="28" customFormat="1" ht="15" customHeight="1" x14ac:dyDescent="0.2">
      <c r="A72" s="84" t="s">
        <v>4</v>
      </c>
      <c r="B72" s="85"/>
      <c r="C72" s="86"/>
      <c r="D72" s="87"/>
      <c r="E72" s="87"/>
      <c r="F72" s="87"/>
      <c r="G72" s="87"/>
      <c r="H72" s="84"/>
      <c r="I72" s="85"/>
      <c r="J72" s="88"/>
      <c r="K72" s="89"/>
      <c r="L72" s="87"/>
      <c r="M72" s="89"/>
      <c r="N72" s="86"/>
      <c r="O72" s="84"/>
      <c r="P72" s="101"/>
      <c r="Q72" s="90"/>
      <c r="R72" s="91"/>
      <c r="S72" s="87"/>
      <c r="T72" s="91"/>
    </row>
    <row r="73" spans="1:20" s="93" customFormat="1" ht="30" customHeight="1" x14ac:dyDescent="0.2">
      <c r="A73" s="617" t="s">
        <v>267</v>
      </c>
      <c r="B73" s="617"/>
      <c r="C73" s="617"/>
      <c r="D73" s="617"/>
      <c r="E73" s="617"/>
      <c r="F73" s="617"/>
      <c r="G73" s="617"/>
      <c r="H73" s="617"/>
      <c r="I73" s="617"/>
      <c r="J73" s="605"/>
      <c r="K73" s="605"/>
      <c r="L73" s="605"/>
      <c r="M73" s="605"/>
      <c r="N73" s="605"/>
    </row>
    <row r="74" spans="1:20" s="93" customFormat="1" ht="15" customHeight="1" x14ac:dyDescent="0.2">
      <c r="A74" s="92" t="s">
        <v>251</v>
      </c>
      <c r="B74" s="90"/>
      <c r="C74" s="29"/>
      <c r="D74" s="12"/>
      <c r="E74" s="92"/>
      <c r="F74" s="90"/>
      <c r="G74" s="29"/>
      <c r="H74" s="12"/>
      <c r="I74" s="101"/>
      <c r="J74" s="115"/>
      <c r="K74" s="94"/>
    </row>
    <row r="75" spans="1:20" s="93" customFormat="1" ht="30" customHeight="1" x14ac:dyDescent="0.2">
      <c r="A75" s="617" t="s">
        <v>98</v>
      </c>
      <c r="B75" s="617"/>
      <c r="C75" s="617"/>
      <c r="D75" s="617"/>
      <c r="E75" s="617"/>
      <c r="F75" s="617"/>
      <c r="G75" s="617"/>
      <c r="H75" s="617"/>
      <c r="I75" s="617"/>
      <c r="J75" s="605"/>
      <c r="K75" s="605"/>
      <c r="L75" s="605"/>
      <c r="M75" s="605"/>
      <c r="N75" s="605"/>
    </row>
    <row r="76" spans="1:20" s="94" customFormat="1" ht="39.950000000000003" customHeight="1" x14ac:dyDescent="0.2">
      <c r="A76" s="617" t="s">
        <v>266</v>
      </c>
      <c r="B76" s="617"/>
      <c r="C76" s="617"/>
      <c r="D76" s="617"/>
      <c r="E76" s="617"/>
      <c r="F76" s="617"/>
      <c r="G76" s="617"/>
      <c r="H76" s="617"/>
      <c r="I76" s="617"/>
      <c r="J76" s="605"/>
      <c r="K76" s="605"/>
      <c r="L76" s="605"/>
      <c r="M76" s="605"/>
    </row>
    <row r="77" spans="1:20" s="29" customFormat="1" ht="15" customHeight="1" x14ac:dyDescent="0.2">
      <c r="A77" s="95" t="s">
        <v>99</v>
      </c>
      <c r="B77" s="86"/>
      <c r="C77" s="89"/>
      <c r="D77" s="96"/>
      <c r="E77" s="97"/>
      <c r="F77" s="86"/>
      <c r="G77" s="89"/>
      <c r="H77" s="95"/>
      <c r="I77" s="95"/>
      <c r="J77" s="90"/>
    </row>
    <row r="78" spans="1:20" ht="15" customHeight="1" x14ac:dyDescent="0.2">
      <c r="G78" s="92"/>
      <c r="I78" s="98"/>
      <c r="K78" s="29"/>
    </row>
    <row r="79" spans="1:20" ht="15" customHeight="1" x14ac:dyDescent="0.2">
      <c r="B79" s="99"/>
    </row>
  </sheetData>
  <mergeCells count="6">
    <mergeCell ref="A76:M76"/>
    <mergeCell ref="B3:F3"/>
    <mergeCell ref="I3:M3"/>
    <mergeCell ref="P3:T3"/>
    <mergeCell ref="A73:N73"/>
    <mergeCell ref="A75:N75"/>
  </mergeCells>
  <hyperlinks>
    <hyperlink ref="A2" location="Contents!A1" display="Back to contents" xr:uid="{F2161E9D-8A66-467F-8CD2-68F246D24232}"/>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160A3-6B0D-4BCC-9AA5-F61E66C83B91}">
  <dimension ref="A1:AD58"/>
  <sheetViews>
    <sheetView zoomScaleNormal="100" workbookViewId="0">
      <pane ySplit="4" topLeftCell="A5" activePane="bottomLeft" state="frozen"/>
      <selection pane="bottomLeft" activeCell="A5" sqref="A5"/>
    </sheetView>
  </sheetViews>
  <sheetFormatPr defaultRowHeight="15" customHeight="1" x14ac:dyDescent="0.2"/>
  <cols>
    <col min="1" max="1" width="6.625" style="157" customWidth="1"/>
    <col min="2" max="2" width="28" style="157" customWidth="1"/>
    <col min="3" max="3" width="7.625" style="157" customWidth="1"/>
    <col min="4" max="4" width="6.625" style="176" customWidth="1"/>
    <col min="5" max="5" width="8.625" style="176" customWidth="1"/>
    <col min="6" max="6" width="8.625" style="157" customWidth="1"/>
    <col min="7" max="7" width="2.625" style="157" customWidth="1"/>
    <col min="8" max="8" width="28" style="157" customWidth="1"/>
    <col min="9" max="9" width="7.625" style="157" customWidth="1"/>
    <col min="10" max="10" width="6.625" style="176" customWidth="1"/>
    <col min="11" max="11" width="8.625" style="176" customWidth="1"/>
    <col min="12" max="12" width="8.625" style="157" customWidth="1"/>
    <col min="13" max="13" width="2.625" style="157" customWidth="1"/>
    <col min="14" max="14" width="28" style="157" customWidth="1"/>
    <col min="15" max="15" width="7.625" style="157" customWidth="1"/>
    <col min="16" max="16" width="6.625" style="176" customWidth="1"/>
    <col min="17" max="17" width="8.625" style="176" customWidth="1"/>
    <col min="18" max="18" width="8.625" style="157" customWidth="1"/>
    <col min="19" max="19" width="2.625" style="157" customWidth="1"/>
    <col min="20" max="20" width="28" style="157" customWidth="1"/>
    <col min="21" max="21" width="7.625" style="157" customWidth="1"/>
    <col min="22" max="22" width="6.625" style="157" customWidth="1"/>
    <col min="23" max="23" width="8.625" style="176" customWidth="1"/>
    <col min="24" max="24" width="8.625" style="157" customWidth="1"/>
    <col min="25" max="25" width="2.625" style="157" customWidth="1"/>
    <col min="26" max="26" width="28" style="157" customWidth="1"/>
    <col min="27" max="27" width="7.625" style="157" customWidth="1"/>
    <col min="28" max="28" width="6.625" style="157" customWidth="1"/>
    <col min="29" max="29" width="8.625" style="176" customWidth="1"/>
    <col min="30" max="30" width="8.625" style="157" customWidth="1"/>
    <col min="31" max="16384" width="9" style="157"/>
  </cols>
  <sheetData>
    <row r="1" spans="1:30" ht="15" customHeight="1" x14ac:dyDescent="0.25">
      <c r="A1" s="151" t="s">
        <v>634</v>
      </c>
      <c r="B1" s="151"/>
      <c r="C1" s="152"/>
      <c r="D1" s="153"/>
      <c r="E1" s="153"/>
      <c r="F1" s="154"/>
      <c r="G1" s="154"/>
      <c r="H1" s="151"/>
      <c r="I1" s="155"/>
      <c r="J1" s="156"/>
      <c r="K1" s="153"/>
      <c r="L1" s="154"/>
      <c r="M1" s="154"/>
      <c r="N1" s="151"/>
      <c r="O1" s="155"/>
      <c r="P1" s="156"/>
      <c r="Q1" s="153"/>
      <c r="R1" s="154"/>
      <c r="T1" s="151"/>
      <c r="W1" s="153"/>
      <c r="Z1" s="151"/>
      <c r="AC1" s="153"/>
    </row>
    <row r="2" spans="1:30" s="199" customFormat="1" ht="15" customHeight="1" x14ac:dyDescent="0.2">
      <c r="A2" s="500" t="s">
        <v>585</v>
      </c>
    </row>
    <row r="3" spans="1:30" ht="15" customHeight="1" x14ac:dyDescent="0.2">
      <c r="A3" s="158"/>
      <c r="B3" s="606" t="s">
        <v>599</v>
      </c>
      <c r="C3" s="606"/>
      <c r="D3" s="606"/>
      <c r="E3" s="606"/>
      <c r="F3" s="606"/>
      <c r="G3" s="159"/>
      <c r="H3" s="606" t="s">
        <v>261</v>
      </c>
      <c r="I3" s="606"/>
      <c r="J3" s="606"/>
      <c r="K3" s="606"/>
      <c r="L3" s="606"/>
      <c r="M3" s="159"/>
      <c r="N3" s="606" t="s">
        <v>262</v>
      </c>
      <c r="O3" s="606"/>
      <c r="P3" s="606"/>
      <c r="Q3" s="606"/>
      <c r="R3" s="606"/>
      <c r="S3" s="159"/>
      <c r="T3" s="606" t="s">
        <v>263</v>
      </c>
      <c r="U3" s="606"/>
      <c r="V3" s="606"/>
      <c r="W3" s="606"/>
      <c r="X3" s="606"/>
      <c r="Y3" s="159"/>
      <c r="Z3" s="606" t="s">
        <v>600</v>
      </c>
      <c r="AA3" s="606"/>
      <c r="AB3" s="606"/>
      <c r="AC3" s="606"/>
      <c r="AD3" s="606"/>
    </row>
    <row r="4" spans="1:30" ht="63.75" x14ac:dyDescent="0.2">
      <c r="A4" s="110" t="s">
        <v>338</v>
      </c>
      <c r="B4" s="160" t="s">
        <v>40</v>
      </c>
      <c r="C4" s="161" t="s">
        <v>41</v>
      </c>
      <c r="D4" s="161" t="s">
        <v>38</v>
      </c>
      <c r="E4" s="161" t="s">
        <v>577</v>
      </c>
      <c r="F4" s="161" t="s">
        <v>578</v>
      </c>
      <c r="G4" s="161"/>
      <c r="H4" s="160" t="s">
        <v>40</v>
      </c>
      <c r="I4" s="161" t="s">
        <v>41</v>
      </c>
      <c r="J4" s="161" t="s">
        <v>38</v>
      </c>
      <c r="K4" s="161" t="s">
        <v>577</v>
      </c>
      <c r="L4" s="161" t="s">
        <v>578</v>
      </c>
      <c r="M4" s="161"/>
      <c r="N4" s="160" t="s">
        <v>40</v>
      </c>
      <c r="O4" s="161" t="s">
        <v>41</v>
      </c>
      <c r="P4" s="161" t="s">
        <v>38</v>
      </c>
      <c r="Q4" s="161" t="s">
        <v>577</v>
      </c>
      <c r="R4" s="161" t="s">
        <v>578</v>
      </c>
      <c r="S4" s="161"/>
      <c r="T4" s="160" t="s">
        <v>40</v>
      </c>
      <c r="U4" s="161" t="s">
        <v>41</v>
      </c>
      <c r="V4" s="161" t="s">
        <v>38</v>
      </c>
      <c r="W4" s="161" t="s">
        <v>577</v>
      </c>
      <c r="X4" s="161" t="s">
        <v>578</v>
      </c>
      <c r="Y4" s="161"/>
      <c r="Z4" s="160" t="s">
        <v>40</v>
      </c>
      <c r="AA4" s="161" t="s">
        <v>41</v>
      </c>
      <c r="AB4" s="161" t="s">
        <v>38</v>
      </c>
      <c r="AC4" s="161" t="s">
        <v>577</v>
      </c>
      <c r="AD4" s="161" t="s">
        <v>578</v>
      </c>
    </row>
    <row r="5" spans="1:30" ht="15" customHeight="1" x14ac:dyDescent="0.2">
      <c r="A5" s="511" t="s">
        <v>2</v>
      </c>
      <c r="B5" s="511"/>
      <c r="C5" s="512"/>
      <c r="D5" s="513"/>
      <c r="E5" s="513"/>
      <c r="F5" s="512"/>
      <c r="G5" s="512"/>
      <c r="H5" s="511"/>
      <c r="I5" s="512"/>
      <c r="J5" s="513"/>
      <c r="K5" s="513"/>
      <c r="L5" s="512"/>
      <c r="M5" s="512"/>
      <c r="N5" s="511"/>
      <c r="O5" s="512"/>
      <c r="P5" s="513"/>
      <c r="Q5" s="513"/>
      <c r="R5" s="512"/>
      <c r="S5" s="512"/>
      <c r="T5" s="511"/>
      <c r="U5" s="512"/>
      <c r="V5" s="512"/>
      <c r="W5" s="513"/>
      <c r="X5" s="512"/>
      <c r="Y5" s="512"/>
      <c r="Z5" s="511"/>
      <c r="AA5" s="512"/>
      <c r="AB5" s="512"/>
      <c r="AC5" s="513"/>
      <c r="AD5" s="512"/>
    </row>
    <row r="6" spans="1:30" s="165" customFormat="1" ht="15" customHeight="1" x14ac:dyDescent="0.2">
      <c r="A6" s="207">
        <v>1</v>
      </c>
      <c r="B6" s="345" t="s">
        <v>581</v>
      </c>
      <c r="C6" s="514">
        <v>4725</v>
      </c>
      <c r="D6" s="515">
        <v>10</v>
      </c>
      <c r="E6" s="515">
        <v>33</v>
      </c>
      <c r="F6" s="515">
        <v>26.1</v>
      </c>
      <c r="G6" s="515"/>
      <c r="H6" s="345" t="s">
        <v>581</v>
      </c>
      <c r="I6" s="514">
        <v>3834</v>
      </c>
      <c r="J6" s="515">
        <v>9</v>
      </c>
      <c r="K6" s="515">
        <v>26.8</v>
      </c>
      <c r="L6" s="515">
        <v>20.399999999999999</v>
      </c>
      <c r="M6" s="515"/>
      <c r="N6" s="345" t="s">
        <v>581</v>
      </c>
      <c r="O6" s="514">
        <v>2805</v>
      </c>
      <c r="P6" s="515">
        <v>9</v>
      </c>
      <c r="Q6" s="515">
        <v>19.399999999999999</v>
      </c>
      <c r="R6" s="515">
        <v>15.4</v>
      </c>
      <c r="S6" s="516"/>
      <c r="T6" s="345" t="s">
        <v>581</v>
      </c>
      <c r="U6" s="517">
        <v>2297</v>
      </c>
      <c r="V6" s="516">
        <v>8</v>
      </c>
      <c r="W6" s="515">
        <v>15.6</v>
      </c>
      <c r="X6" s="516">
        <v>13.4</v>
      </c>
      <c r="Y6" s="516"/>
      <c r="Z6" s="345" t="s">
        <v>581</v>
      </c>
      <c r="AA6" s="517">
        <v>1750</v>
      </c>
      <c r="AB6" s="516">
        <v>8</v>
      </c>
      <c r="AC6" s="515">
        <v>12.1</v>
      </c>
      <c r="AD6" s="516">
        <v>9.8000000000000007</v>
      </c>
    </row>
    <row r="7" spans="1:30" s="165" customFormat="1" ht="15" customHeight="1" x14ac:dyDescent="0.2">
      <c r="A7" s="207">
        <v>2</v>
      </c>
      <c r="B7" s="518" t="s">
        <v>322</v>
      </c>
      <c r="C7" s="514">
        <v>2520</v>
      </c>
      <c r="D7" s="515">
        <v>5</v>
      </c>
      <c r="E7" s="515">
        <v>17.600000000000001</v>
      </c>
      <c r="F7" s="515">
        <v>12.7</v>
      </c>
      <c r="G7" s="515"/>
      <c r="H7" s="518" t="s">
        <v>126</v>
      </c>
      <c r="I7" s="514">
        <v>2022</v>
      </c>
      <c r="J7" s="515">
        <v>5</v>
      </c>
      <c r="K7" s="515">
        <v>14.1</v>
      </c>
      <c r="L7" s="515">
        <v>14</v>
      </c>
      <c r="M7" s="515"/>
      <c r="N7" s="518" t="s">
        <v>126</v>
      </c>
      <c r="O7" s="514">
        <v>1716</v>
      </c>
      <c r="P7" s="515">
        <v>5</v>
      </c>
      <c r="Q7" s="515">
        <v>11.8</v>
      </c>
      <c r="R7" s="515">
        <v>11.7</v>
      </c>
      <c r="S7" s="516"/>
      <c r="T7" s="518" t="s">
        <v>126</v>
      </c>
      <c r="U7" s="517">
        <v>1543</v>
      </c>
      <c r="V7" s="516">
        <v>6</v>
      </c>
      <c r="W7" s="515">
        <v>10.5</v>
      </c>
      <c r="X7" s="516">
        <v>10.1</v>
      </c>
      <c r="Y7" s="516"/>
      <c r="Z7" s="518" t="s">
        <v>126</v>
      </c>
      <c r="AA7" s="517">
        <v>1261</v>
      </c>
      <c r="AB7" s="516">
        <v>5</v>
      </c>
      <c r="AC7" s="515">
        <v>8.6999999999999993</v>
      </c>
      <c r="AD7" s="516">
        <v>8.4</v>
      </c>
    </row>
    <row r="8" spans="1:30" s="165" customFormat="1" ht="25.5" x14ac:dyDescent="0.2">
      <c r="A8" s="207">
        <v>3</v>
      </c>
      <c r="B8" s="518" t="s">
        <v>126</v>
      </c>
      <c r="C8" s="514">
        <v>2205</v>
      </c>
      <c r="D8" s="515">
        <v>5</v>
      </c>
      <c r="E8" s="515">
        <v>15.4</v>
      </c>
      <c r="F8" s="515">
        <v>15.6</v>
      </c>
      <c r="G8" s="515"/>
      <c r="H8" s="518" t="s">
        <v>322</v>
      </c>
      <c r="I8" s="514">
        <v>1953</v>
      </c>
      <c r="J8" s="515">
        <v>5</v>
      </c>
      <c r="K8" s="515">
        <v>13.6</v>
      </c>
      <c r="L8" s="515">
        <v>9.5</v>
      </c>
      <c r="M8" s="515"/>
      <c r="N8" s="518" t="s">
        <v>115</v>
      </c>
      <c r="O8" s="514">
        <v>1403</v>
      </c>
      <c r="P8" s="515">
        <v>4</v>
      </c>
      <c r="Q8" s="515">
        <v>9.6999999999999993</v>
      </c>
      <c r="R8" s="515">
        <v>7.9</v>
      </c>
      <c r="S8" s="516"/>
      <c r="T8" s="518" t="s">
        <v>115</v>
      </c>
      <c r="U8" s="517">
        <v>1170</v>
      </c>
      <c r="V8" s="516">
        <v>4</v>
      </c>
      <c r="W8" s="515">
        <v>7.9</v>
      </c>
      <c r="X8" s="516">
        <v>7</v>
      </c>
      <c r="Y8" s="516"/>
      <c r="Z8" s="518" t="s">
        <v>115</v>
      </c>
      <c r="AA8" s="517">
        <v>1008</v>
      </c>
      <c r="AB8" s="516">
        <v>4</v>
      </c>
      <c r="AC8" s="515">
        <v>7</v>
      </c>
      <c r="AD8" s="516">
        <v>5.8</v>
      </c>
    </row>
    <row r="9" spans="1:30" s="165" customFormat="1" ht="25.5" x14ac:dyDescent="0.2">
      <c r="A9" s="207">
        <v>4</v>
      </c>
      <c r="B9" s="518" t="s">
        <v>117</v>
      </c>
      <c r="C9" s="514">
        <v>1872</v>
      </c>
      <c r="D9" s="515">
        <v>4</v>
      </c>
      <c r="E9" s="515">
        <v>13.1</v>
      </c>
      <c r="F9" s="515">
        <v>10.3</v>
      </c>
      <c r="G9" s="515"/>
      <c r="H9" s="518" t="s">
        <v>115</v>
      </c>
      <c r="I9" s="514">
        <v>1602</v>
      </c>
      <c r="J9" s="515">
        <v>4</v>
      </c>
      <c r="K9" s="515">
        <v>11.2</v>
      </c>
      <c r="L9" s="515">
        <v>8.5</v>
      </c>
      <c r="M9" s="515"/>
      <c r="N9" s="518" t="s">
        <v>322</v>
      </c>
      <c r="O9" s="514">
        <v>1223</v>
      </c>
      <c r="P9" s="515">
        <v>4</v>
      </c>
      <c r="Q9" s="515">
        <v>8.4</v>
      </c>
      <c r="R9" s="515">
        <v>6.3</v>
      </c>
      <c r="S9" s="516"/>
      <c r="T9" s="518" t="s">
        <v>313</v>
      </c>
      <c r="U9" s="517">
        <v>905</v>
      </c>
      <c r="V9" s="516">
        <v>3</v>
      </c>
      <c r="W9" s="515">
        <v>6.1</v>
      </c>
      <c r="X9" s="516">
        <v>5.4</v>
      </c>
      <c r="Y9" s="516"/>
      <c r="Z9" s="518" t="s">
        <v>313</v>
      </c>
      <c r="AA9" s="517">
        <v>934</v>
      </c>
      <c r="AB9" s="516">
        <v>4</v>
      </c>
      <c r="AC9" s="515">
        <v>6.5</v>
      </c>
      <c r="AD9" s="516">
        <v>5.4</v>
      </c>
    </row>
    <row r="10" spans="1:30" s="165" customFormat="1" ht="25.5" x14ac:dyDescent="0.2">
      <c r="A10" s="207">
        <v>5</v>
      </c>
      <c r="B10" s="518" t="s">
        <v>115</v>
      </c>
      <c r="C10" s="514">
        <v>1698</v>
      </c>
      <c r="D10" s="515">
        <v>3</v>
      </c>
      <c r="E10" s="515">
        <v>11.8</v>
      </c>
      <c r="F10" s="515">
        <v>9.4</v>
      </c>
      <c r="G10" s="515"/>
      <c r="H10" s="518" t="s">
        <v>117</v>
      </c>
      <c r="I10" s="514">
        <v>1366</v>
      </c>
      <c r="J10" s="515">
        <v>3</v>
      </c>
      <c r="K10" s="515">
        <v>9.5</v>
      </c>
      <c r="L10" s="515">
        <v>7</v>
      </c>
      <c r="M10" s="515"/>
      <c r="N10" s="518" t="s">
        <v>313</v>
      </c>
      <c r="O10" s="514">
        <v>1000</v>
      </c>
      <c r="P10" s="515">
        <v>3</v>
      </c>
      <c r="Q10" s="515">
        <v>6.9</v>
      </c>
      <c r="R10" s="515">
        <v>5.8</v>
      </c>
      <c r="S10" s="516"/>
      <c r="T10" s="518" t="s">
        <v>120</v>
      </c>
      <c r="U10" s="517">
        <v>894</v>
      </c>
      <c r="V10" s="516">
        <v>3</v>
      </c>
      <c r="W10" s="515">
        <v>6.1</v>
      </c>
      <c r="X10" s="516">
        <v>5.2</v>
      </c>
      <c r="Y10" s="516"/>
      <c r="Z10" s="518" t="s">
        <v>120</v>
      </c>
      <c r="AA10" s="517">
        <v>754</v>
      </c>
      <c r="AB10" s="516">
        <v>3</v>
      </c>
      <c r="AC10" s="515">
        <v>5.2</v>
      </c>
      <c r="AD10" s="516">
        <v>4.2</v>
      </c>
    </row>
    <row r="11" spans="1:30" s="165" customFormat="1" ht="15" customHeight="1" x14ac:dyDescent="0.2">
      <c r="A11" s="207">
        <v>6</v>
      </c>
      <c r="B11" s="518" t="s">
        <v>120</v>
      </c>
      <c r="C11" s="514">
        <v>1611</v>
      </c>
      <c r="D11" s="515">
        <v>3</v>
      </c>
      <c r="E11" s="515">
        <v>11.2</v>
      </c>
      <c r="F11" s="515">
        <v>8.8000000000000007</v>
      </c>
      <c r="G11" s="515"/>
      <c r="H11" s="518" t="s">
        <v>120</v>
      </c>
      <c r="I11" s="514">
        <v>1303</v>
      </c>
      <c r="J11" s="515">
        <v>3</v>
      </c>
      <c r="K11" s="515">
        <v>9.1</v>
      </c>
      <c r="L11" s="515">
        <v>6.8</v>
      </c>
      <c r="M11" s="515"/>
      <c r="N11" s="518" t="s">
        <v>120</v>
      </c>
      <c r="O11" s="514">
        <v>990</v>
      </c>
      <c r="P11" s="515">
        <v>3</v>
      </c>
      <c r="Q11" s="515">
        <v>6.8</v>
      </c>
      <c r="R11" s="515">
        <v>5.4</v>
      </c>
      <c r="S11" s="516"/>
      <c r="T11" s="518" t="s">
        <v>322</v>
      </c>
      <c r="U11" s="517">
        <v>830</v>
      </c>
      <c r="V11" s="516">
        <v>3</v>
      </c>
      <c r="W11" s="515">
        <v>5.6</v>
      </c>
      <c r="X11" s="516">
        <v>4.7</v>
      </c>
      <c r="Y11" s="516"/>
      <c r="Z11" s="518" t="s">
        <v>130</v>
      </c>
      <c r="AA11" s="517">
        <v>566</v>
      </c>
      <c r="AB11" s="516">
        <v>2</v>
      </c>
      <c r="AC11" s="515">
        <v>3.9</v>
      </c>
      <c r="AD11" s="516">
        <v>3.8</v>
      </c>
    </row>
    <row r="12" spans="1:30" s="165" customFormat="1" ht="15" customHeight="1" x14ac:dyDescent="0.2">
      <c r="A12" s="207">
        <v>7</v>
      </c>
      <c r="B12" s="518" t="s">
        <v>313</v>
      </c>
      <c r="C12" s="514">
        <v>1059</v>
      </c>
      <c r="D12" s="515">
        <v>2</v>
      </c>
      <c r="E12" s="515">
        <v>7.4</v>
      </c>
      <c r="F12" s="514">
        <v>6</v>
      </c>
      <c r="G12" s="515"/>
      <c r="H12" s="518" t="s">
        <v>313</v>
      </c>
      <c r="I12" s="514">
        <v>1125</v>
      </c>
      <c r="J12" s="515">
        <v>3</v>
      </c>
      <c r="K12" s="515">
        <v>7.9</v>
      </c>
      <c r="L12" s="514">
        <v>6.2</v>
      </c>
      <c r="M12" s="515"/>
      <c r="N12" s="518" t="s">
        <v>117</v>
      </c>
      <c r="O12" s="514">
        <v>952</v>
      </c>
      <c r="P12" s="515">
        <v>3</v>
      </c>
      <c r="Q12" s="515">
        <v>6.6</v>
      </c>
      <c r="R12" s="514">
        <v>5.0999999999999996</v>
      </c>
      <c r="S12" s="516"/>
      <c r="T12" s="518" t="s">
        <v>117</v>
      </c>
      <c r="U12" s="514">
        <v>659</v>
      </c>
      <c r="V12" s="515">
        <v>2</v>
      </c>
      <c r="W12" s="515">
        <v>4.5</v>
      </c>
      <c r="X12" s="514">
        <v>3.8</v>
      </c>
      <c r="Y12" s="516"/>
      <c r="Z12" s="518" t="s">
        <v>322</v>
      </c>
      <c r="AA12" s="514">
        <v>517</v>
      </c>
      <c r="AB12" s="515">
        <v>2</v>
      </c>
      <c r="AC12" s="515">
        <v>3.6</v>
      </c>
      <c r="AD12" s="514">
        <v>2.8</v>
      </c>
    </row>
    <row r="13" spans="1:30" s="165" customFormat="1" ht="15" customHeight="1" x14ac:dyDescent="0.2">
      <c r="A13" s="207">
        <v>8</v>
      </c>
      <c r="B13" s="518" t="s">
        <v>130</v>
      </c>
      <c r="C13" s="514">
        <v>1051</v>
      </c>
      <c r="D13" s="515">
        <v>2</v>
      </c>
      <c r="E13" s="515">
        <v>7.3</v>
      </c>
      <c r="F13" s="515">
        <v>7.7</v>
      </c>
      <c r="G13" s="515"/>
      <c r="H13" s="518" t="s">
        <v>128</v>
      </c>
      <c r="I13" s="514">
        <v>965</v>
      </c>
      <c r="J13" s="515">
        <v>2</v>
      </c>
      <c r="K13" s="515">
        <v>6.7</v>
      </c>
      <c r="L13" s="515">
        <v>6.6</v>
      </c>
      <c r="M13" s="515"/>
      <c r="N13" s="518" t="s">
        <v>130</v>
      </c>
      <c r="O13" s="514">
        <v>732</v>
      </c>
      <c r="P13" s="515">
        <v>2</v>
      </c>
      <c r="Q13" s="515">
        <v>5</v>
      </c>
      <c r="R13" s="515">
        <v>5.0999999999999996</v>
      </c>
      <c r="S13" s="516"/>
      <c r="T13" s="518" t="s">
        <v>130</v>
      </c>
      <c r="U13" s="517">
        <v>638</v>
      </c>
      <c r="V13" s="516">
        <v>2</v>
      </c>
      <c r="W13" s="515">
        <v>4.3</v>
      </c>
      <c r="X13" s="516">
        <v>4.3</v>
      </c>
      <c r="Y13" s="516"/>
      <c r="Z13" s="518" t="s">
        <v>117</v>
      </c>
      <c r="AA13" s="517">
        <v>464</v>
      </c>
      <c r="AB13" s="516">
        <v>2</v>
      </c>
      <c r="AC13" s="515">
        <v>3.2</v>
      </c>
      <c r="AD13" s="516">
        <v>2.6</v>
      </c>
    </row>
    <row r="14" spans="1:30" s="165" customFormat="1" ht="15" customHeight="1" x14ac:dyDescent="0.2">
      <c r="A14" s="207">
        <v>9</v>
      </c>
      <c r="B14" s="518" t="s">
        <v>128</v>
      </c>
      <c r="C14" s="514">
        <v>1050</v>
      </c>
      <c r="D14" s="515">
        <v>2</v>
      </c>
      <c r="E14" s="515">
        <v>7.3</v>
      </c>
      <c r="F14" s="514">
        <v>7.3</v>
      </c>
      <c r="G14" s="515"/>
      <c r="H14" s="518" t="s">
        <v>130</v>
      </c>
      <c r="I14" s="514">
        <v>885</v>
      </c>
      <c r="J14" s="515">
        <v>2</v>
      </c>
      <c r="K14" s="515">
        <v>6.2</v>
      </c>
      <c r="L14" s="514">
        <v>6.3</v>
      </c>
      <c r="M14" s="515"/>
      <c r="N14" s="518" t="s">
        <v>128</v>
      </c>
      <c r="O14" s="514">
        <v>720</v>
      </c>
      <c r="P14" s="515">
        <v>2</v>
      </c>
      <c r="Q14" s="515">
        <v>5</v>
      </c>
      <c r="R14" s="514">
        <v>4.9000000000000004</v>
      </c>
      <c r="S14" s="516"/>
      <c r="T14" s="518" t="s">
        <v>128</v>
      </c>
      <c r="U14" s="514">
        <v>505</v>
      </c>
      <c r="V14" s="515">
        <v>2</v>
      </c>
      <c r="W14" s="515">
        <v>3.4</v>
      </c>
      <c r="X14" s="514">
        <v>3.3</v>
      </c>
      <c r="Y14" s="516"/>
      <c r="Z14" s="518" t="s">
        <v>318</v>
      </c>
      <c r="AA14" s="514">
        <v>374</v>
      </c>
      <c r="AB14" s="515">
        <v>2</v>
      </c>
      <c r="AC14" s="515">
        <v>2.6</v>
      </c>
      <c r="AD14" s="514">
        <v>2</v>
      </c>
    </row>
    <row r="15" spans="1:30" s="165" customFormat="1" ht="15" customHeight="1" x14ac:dyDescent="0.2">
      <c r="A15" s="207">
        <v>10</v>
      </c>
      <c r="B15" s="518" t="s">
        <v>112</v>
      </c>
      <c r="C15" s="514">
        <v>654</v>
      </c>
      <c r="D15" s="515">
        <v>1</v>
      </c>
      <c r="E15" s="515">
        <v>4.5999999999999996</v>
      </c>
      <c r="F15" s="515">
        <v>3.6</v>
      </c>
      <c r="G15" s="515"/>
      <c r="H15" s="518" t="s">
        <v>318</v>
      </c>
      <c r="I15" s="514">
        <v>622</v>
      </c>
      <c r="J15" s="515">
        <v>1</v>
      </c>
      <c r="K15" s="515">
        <v>4.3</v>
      </c>
      <c r="L15" s="515">
        <v>2.9</v>
      </c>
      <c r="M15" s="515"/>
      <c r="N15" s="518" t="s">
        <v>542</v>
      </c>
      <c r="O15" s="514">
        <v>505</v>
      </c>
      <c r="P15" s="515">
        <v>2</v>
      </c>
      <c r="Q15" s="515">
        <v>3.5</v>
      </c>
      <c r="R15" s="515">
        <v>2.7</v>
      </c>
      <c r="S15" s="516"/>
      <c r="T15" s="518" t="s">
        <v>542</v>
      </c>
      <c r="U15" s="517">
        <v>426</v>
      </c>
      <c r="V15" s="516">
        <v>2</v>
      </c>
      <c r="W15" s="515">
        <v>2.9</v>
      </c>
      <c r="X15" s="516">
        <v>2.5</v>
      </c>
      <c r="Y15" s="516"/>
      <c r="Z15" s="518" t="s">
        <v>128</v>
      </c>
      <c r="AA15" s="517">
        <v>352</v>
      </c>
      <c r="AB15" s="516">
        <v>2</v>
      </c>
      <c r="AC15" s="515">
        <v>2.4</v>
      </c>
      <c r="AD15" s="516">
        <v>2.2999999999999998</v>
      </c>
    </row>
    <row r="16" spans="1:30" s="166" customFormat="1" ht="15" customHeight="1" x14ac:dyDescent="0.2">
      <c r="A16" s="519"/>
      <c r="B16" s="273" t="s">
        <v>253</v>
      </c>
      <c r="C16" s="520">
        <v>24104</v>
      </c>
      <c r="D16" s="521">
        <v>49</v>
      </c>
      <c r="E16" s="521">
        <v>168.1</v>
      </c>
      <c r="F16" s="521">
        <v>140.4</v>
      </c>
      <c r="G16" s="521"/>
      <c r="H16" s="273" t="s">
        <v>253</v>
      </c>
      <c r="I16" s="520">
        <v>20373</v>
      </c>
      <c r="J16" s="521">
        <v>48</v>
      </c>
      <c r="K16" s="521">
        <v>142.19999999999999</v>
      </c>
      <c r="L16" s="521">
        <v>115.1</v>
      </c>
      <c r="M16" s="521"/>
      <c r="N16" s="273" t="s">
        <v>253</v>
      </c>
      <c r="O16" s="520">
        <v>15697</v>
      </c>
      <c r="P16" s="521">
        <v>48</v>
      </c>
      <c r="Q16" s="521">
        <v>108.3</v>
      </c>
      <c r="R16" s="521">
        <v>91.3</v>
      </c>
      <c r="S16" s="522"/>
      <c r="T16" s="273" t="s">
        <v>253</v>
      </c>
      <c r="U16" s="523">
        <v>12959</v>
      </c>
      <c r="V16" s="522">
        <v>47</v>
      </c>
      <c r="W16" s="521">
        <v>87.8</v>
      </c>
      <c r="X16" s="522">
        <v>78.7</v>
      </c>
      <c r="Y16" s="522"/>
      <c r="Z16" s="273" t="s">
        <v>253</v>
      </c>
      <c r="AA16" s="523">
        <v>10434</v>
      </c>
      <c r="AB16" s="522">
        <v>45</v>
      </c>
      <c r="AC16" s="521">
        <v>72.099999999999994</v>
      </c>
      <c r="AD16" s="522">
        <v>62</v>
      </c>
    </row>
    <row r="17" spans="1:30" s="519" customFormat="1" ht="15" customHeight="1" x14ac:dyDescent="0.2">
      <c r="B17" s="273" t="s">
        <v>574</v>
      </c>
      <c r="C17" s="167">
        <v>24687</v>
      </c>
      <c r="D17" s="168">
        <v>51</v>
      </c>
      <c r="E17" s="168">
        <v>172.2</v>
      </c>
      <c r="F17" s="169">
        <v>136.1</v>
      </c>
      <c r="G17" s="169"/>
      <c r="H17" s="273" t="s">
        <v>574</v>
      </c>
      <c r="I17" s="170">
        <v>21856</v>
      </c>
      <c r="J17" s="169">
        <v>52</v>
      </c>
      <c r="K17" s="168">
        <v>152.6</v>
      </c>
      <c r="L17" s="169">
        <v>115.9</v>
      </c>
      <c r="M17" s="169"/>
      <c r="N17" s="273" t="s">
        <v>574</v>
      </c>
      <c r="O17" s="170">
        <v>17220</v>
      </c>
      <c r="P17" s="169">
        <v>52</v>
      </c>
      <c r="Q17" s="168">
        <v>118.8</v>
      </c>
      <c r="R17" s="169">
        <v>94.8</v>
      </c>
      <c r="S17" s="166"/>
      <c r="T17" s="273" t="s">
        <v>574</v>
      </c>
      <c r="U17" s="524">
        <v>14640</v>
      </c>
      <c r="V17" s="525">
        <v>53</v>
      </c>
      <c r="W17" s="168">
        <v>99.2</v>
      </c>
      <c r="X17" s="166">
        <v>86.1</v>
      </c>
      <c r="Y17" s="166"/>
      <c r="Z17" s="273" t="s">
        <v>574</v>
      </c>
      <c r="AA17" s="524">
        <v>12515</v>
      </c>
      <c r="AB17" s="525">
        <v>55</v>
      </c>
      <c r="AC17" s="168">
        <v>86.5</v>
      </c>
      <c r="AD17" s="166">
        <v>70.8</v>
      </c>
    </row>
    <row r="18" spans="1:30" s="530" customFormat="1" ht="15" customHeight="1" x14ac:dyDescent="0.25">
      <c r="A18" s="526"/>
      <c r="B18" s="239" t="s">
        <v>575</v>
      </c>
      <c r="C18" s="171">
        <v>48791</v>
      </c>
      <c r="D18" s="172">
        <v>100</v>
      </c>
      <c r="E18" s="172">
        <v>340.3</v>
      </c>
      <c r="F18" s="173">
        <v>276.5</v>
      </c>
      <c r="G18" s="173"/>
      <c r="H18" s="239" t="s">
        <v>575</v>
      </c>
      <c r="I18" s="174">
        <v>42229</v>
      </c>
      <c r="J18" s="173">
        <v>100</v>
      </c>
      <c r="K18" s="172">
        <v>294.8</v>
      </c>
      <c r="L18" s="173">
        <v>231</v>
      </c>
      <c r="M18" s="173"/>
      <c r="N18" s="239" t="s">
        <v>575</v>
      </c>
      <c r="O18" s="174">
        <v>32917</v>
      </c>
      <c r="P18" s="173">
        <v>100</v>
      </c>
      <c r="Q18" s="172">
        <v>227.1</v>
      </c>
      <c r="R18" s="173">
        <v>186.2</v>
      </c>
      <c r="S18" s="527"/>
      <c r="T18" s="239" t="s">
        <v>575</v>
      </c>
      <c r="U18" s="528">
        <v>27599</v>
      </c>
      <c r="V18" s="529">
        <v>100</v>
      </c>
      <c r="W18" s="172">
        <v>186.9</v>
      </c>
      <c r="X18" s="527">
        <v>164.7</v>
      </c>
      <c r="Y18" s="527"/>
      <c r="Z18" s="239" t="s">
        <v>575</v>
      </c>
      <c r="AA18" s="528">
        <v>22949</v>
      </c>
      <c r="AB18" s="529">
        <v>100</v>
      </c>
      <c r="AC18" s="172">
        <v>158.6</v>
      </c>
      <c r="AD18" s="527">
        <v>132.80000000000001</v>
      </c>
    </row>
    <row r="19" spans="1:30" ht="15" customHeight="1" x14ac:dyDescent="0.2">
      <c r="A19" s="531" t="s">
        <v>0</v>
      </c>
      <c r="B19" s="531"/>
      <c r="C19" s="163"/>
      <c r="D19" s="164"/>
      <c r="E19" s="164"/>
      <c r="F19" s="164"/>
      <c r="G19" s="163"/>
      <c r="H19" s="531"/>
      <c r="I19" s="163"/>
      <c r="J19" s="164"/>
      <c r="K19" s="164"/>
      <c r="L19" s="163"/>
      <c r="M19" s="163"/>
      <c r="N19" s="531"/>
      <c r="O19" s="163"/>
      <c r="P19" s="164"/>
      <c r="Q19" s="164"/>
      <c r="R19" s="163"/>
      <c r="S19" s="163"/>
      <c r="T19" s="531"/>
      <c r="U19" s="163"/>
      <c r="V19" s="163"/>
      <c r="W19" s="164"/>
      <c r="X19" s="163"/>
      <c r="Y19" s="163"/>
      <c r="Z19" s="531"/>
      <c r="AA19" s="163"/>
      <c r="AB19" s="163"/>
      <c r="AC19" s="164"/>
      <c r="AD19" s="163"/>
    </row>
    <row r="20" spans="1:30" ht="15" customHeight="1" x14ac:dyDescent="0.2">
      <c r="A20" s="207">
        <v>1</v>
      </c>
      <c r="B20" s="345" t="s">
        <v>581</v>
      </c>
      <c r="C20" s="514">
        <v>3531</v>
      </c>
      <c r="D20" s="515">
        <v>12</v>
      </c>
      <c r="E20" s="515">
        <v>48.8</v>
      </c>
      <c r="F20" s="515">
        <v>39.799999999999997</v>
      </c>
      <c r="G20" s="515"/>
      <c r="H20" s="345" t="s">
        <v>581</v>
      </c>
      <c r="I20" s="514">
        <v>2940</v>
      </c>
      <c r="J20" s="515">
        <v>11</v>
      </c>
      <c r="K20" s="515">
        <v>40.9</v>
      </c>
      <c r="L20" s="515">
        <v>32</v>
      </c>
      <c r="M20" s="515"/>
      <c r="N20" s="345" t="s">
        <v>581</v>
      </c>
      <c r="O20" s="514">
        <v>2188</v>
      </c>
      <c r="P20" s="515">
        <v>11</v>
      </c>
      <c r="Q20" s="515">
        <v>30.3</v>
      </c>
      <c r="R20" s="515">
        <v>24.9</v>
      </c>
      <c r="S20" s="516"/>
      <c r="T20" s="345" t="s">
        <v>581</v>
      </c>
      <c r="U20" s="517">
        <v>1845</v>
      </c>
      <c r="V20" s="516">
        <v>11</v>
      </c>
      <c r="W20" s="515">
        <v>25</v>
      </c>
      <c r="X20" s="516">
        <v>22.3</v>
      </c>
      <c r="Y20" s="516"/>
      <c r="Z20" s="345" t="s">
        <v>581</v>
      </c>
      <c r="AA20" s="517">
        <v>1431</v>
      </c>
      <c r="AB20" s="516">
        <v>10</v>
      </c>
      <c r="AC20" s="515">
        <v>20</v>
      </c>
      <c r="AD20" s="516">
        <v>16.7</v>
      </c>
    </row>
    <row r="21" spans="1:30" ht="15" customHeight="1" x14ac:dyDescent="0.2">
      <c r="A21" s="207">
        <v>2</v>
      </c>
      <c r="B21" s="518" t="s">
        <v>126</v>
      </c>
      <c r="C21" s="514">
        <v>1687</v>
      </c>
      <c r="D21" s="515">
        <v>6</v>
      </c>
      <c r="E21" s="515">
        <v>23.3</v>
      </c>
      <c r="F21" s="515">
        <v>23.6</v>
      </c>
      <c r="G21" s="515"/>
      <c r="H21" s="518" t="s">
        <v>126</v>
      </c>
      <c r="I21" s="514">
        <v>1562</v>
      </c>
      <c r="J21" s="515">
        <v>6</v>
      </c>
      <c r="K21" s="515">
        <v>21.7</v>
      </c>
      <c r="L21" s="515">
        <v>21.5</v>
      </c>
      <c r="M21" s="515"/>
      <c r="N21" s="518" t="s">
        <v>126</v>
      </c>
      <c r="O21" s="514">
        <v>1297</v>
      </c>
      <c r="P21" s="515">
        <v>6</v>
      </c>
      <c r="Q21" s="515">
        <v>17.899999999999999</v>
      </c>
      <c r="R21" s="515">
        <v>17.8</v>
      </c>
      <c r="S21" s="516"/>
      <c r="T21" s="518" t="s">
        <v>126</v>
      </c>
      <c r="U21" s="517">
        <v>1147</v>
      </c>
      <c r="V21" s="516">
        <v>7</v>
      </c>
      <c r="W21" s="515">
        <v>15.5</v>
      </c>
      <c r="X21" s="516">
        <v>15.1</v>
      </c>
      <c r="Y21" s="516"/>
      <c r="Z21" s="518" t="s">
        <v>126</v>
      </c>
      <c r="AA21" s="517">
        <v>875</v>
      </c>
      <c r="AB21" s="516">
        <v>6</v>
      </c>
      <c r="AC21" s="515">
        <v>12.2</v>
      </c>
      <c r="AD21" s="516">
        <v>11.9</v>
      </c>
    </row>
    <row r="22" spans="1:30" ht="25.5" x14ac:dyDescent="0.2">
      <c r="A22" s="207">
        <v>3</v>
      </c>
      <c r="B22" s="518" t="s">
        <v>322</v>
      </c>
      <c r="C22" s="514">
        <v>1372</v>
      </c>
      <c r="D22" s="515">
        <v>5</v>
      </c>
      <c r="E22" s="515">
        <v>18.899999999999999</v>
      </c>
      <c r="F22" s="515">
        <v>14.2</v>
      </c>
      <c r="G22" s="515"/>
      <c r="H22" s="518" t="s">
        <v>322</v>
      </c>
      <c r="I22" s="514">
        <v>1041</v>
      </c>
      <c r="J22" s="515">
        <v>4</v>
      </c>
      <c r="K22" s="515">
        <v>14.5</v>
      </c>
      <c r="L22" s="515">
        <v>10.3</v>
      </c>
      <c r="M22" s="515"/>
      <c r="N22" s="518" t="s">
        <v>115</v>
      </c>
      <c r="O22" s="514">
        <v>808</v>
      </c>
      <c r="P22" s="515">
        <v>4</v>
      </c>
      <c r="Q22" s="515">
        <v>11.2</v>
      </c>
      <c r="R22" s="515">
        <v>9.3000000000000007</v>
      </c>
      <c r="S22" s="516"/>
      <c r="T22" s="518" t="s">
        <v>115</v>
      </c>
      <c r="U22" s="517">
        <v>652</v>
      </c>
      <c r="V22" s="516">
        <v>4</v>
      </c>
      <c r="W22" s="515">
        <v>8.8000000000000007</v>
      </c>
      <c r="X22" s="516">
        <v>7.9</v>
      </c>
      <c r="Y22" s="516"/>
      <c r="Z22" s="518" t="s">
        <v>115</v>
      </c>
      <c r="AA22" s="517">
        <v>572</v>
      </c>
      <c r="AB22" s="516">
        <v>4</v>
      </c>
      <c r="AC22" s="515">
        <v>8</v>
      </c>
      <c r="AD22" s="516">
        <v>6.8</v>
      </c>
    </row>
    <row r="23" spans="1:30" ht="25.5" x14ac:dyDescent="0.2">
      <c r="A23" s="207">
        <v>4</v>
      </c>
      <c r="B23" s="518" t="s">
        <v>117</v>
      </c>
      <c r="C23" s="514">
        <v>1169</v>
      </c>
      <c r="D23" s="515">
        <v>4</v>
      </c>
      <c r="E23" s="515">
        <v>16.100000000000001</v>
      </c>
      <c r="F23" s="515">
        <v>13</v>
      </c>
      <c r="G23" s="515"/>
      <c r="H23" s="518" t="s">
        <v>115</v>
      </c>
      <c r="I23" s="514">
        <v>973</v>
      </c>
      <c r="J23" s="515">
        <v>4</v>
      </c>
      <c r="K23" s="515">
        <v>13.5</v>
      </c>
      <c r="L23" s="515">
        <v>10.4</v>
      </c>
      <c r="M23" s="515"/>
      <c r="N23" s="518" t="s">
        <v>322</v>
      </c>
      <c r="O23" s="514">
        <v>668</v>
      </c>
      <c r="P23" s="515">
        <v>3</v>
      </c>
      <c r="Q23" s="515">
        <v>9.1999999999999993</v>
      </c>
      <c r="R23" s="515">
        <v>7.1</v>
      </c>
      <c r="S23" s="516"/>
      <c r="T23" s="518" t="s">
        <v>120</v>
      </c>
      <c r="U23" s="517">
        <v>507</v>
      </c>
      <c r="V23" s="516">
        <v>3</v>
      </c>
      <c r="W23" s="515">
        <v>6.9</v>
      </c>
      <c r="X23" s="516">
        <v>6.1</v>
      </c>
      <c r="Y23" s="516"/>
      <c r="Z23" s="518" t="s">
        <v>120</v>
      </c>
      <c r="AA23" s="517">
        <v>417</v>
      </c>
      <c r="AB23" s="516">
        <v>3</v>
      </c>
      <c r="AC23" s="515">
        <v>5.8</v>
      </c>
      <c r="AD23" s="516">
        <v>4.9000000000000004</v>
      </c>
    </row>
    <row r="24" spans="1:30" ht="25.5" x14ac:dyDescent="0.2">
      <c r="A24" s="207">
        <v>5</v>
      </c>
      <c r="B24" s="518" t="s">
        <v>115</v>
      </c>
      <c r="C24" s="514">
        <v>992</v>
      </c>
      <c r="D24" s="515">
        <v>3</v>
      </c>
      <c r="E24" s="515">
        <v>13.7</v>
      </c>
      <c r="F24" s="515">
        <v>11.1</v>
      </c>
      <c r="G24" s="515"/>
      <c r="H24" s="518" t="s">
        <v>117</v>
      </c>
      <c r="I24" s="514">
        <v>891</v>
      </c>
      <c r="J24" s="515">
        <v>3</v>
      </c>
      <c r="K24" s="515">
        <v>12.4</v>
      </c>
      <c r="L24" s="515">
        <v>9.4</v>
      </c>
      <c r="M24" s="515"/>
      <c r="N24" s="518" t="s">
        <v>117</v>
      </c>
      <c r="O24" s="514">
        <v>616</v>
      </c>
      <c r="P24" s="515">
        <v>3</v>
      </c>
      <c r="Q24" s="515">
        <v>8.5</v>
      </c>
      <c r="R24" s="515">
        <v>6.9</v>
      </c>
      <c r="S24" s="516"/>
      <c r="T24" s="518" t="s">
        <v>322</v>
      </c>
      <c r="U24" s="517">
        <v>465</v>
      </c>
      <c r="V24" s="516">
        <v>3</v>
      </c>
      <c r="W24" s="515">
        <v>6.3</v>
      </c>
      <c r="X24" s="516">
        <v>5.4</v>
      </c>
      <c r="Y24" s="516"/>
      <c r="Z24" s="518" t="s">
        <v>130</v>
      </c>
      <c r="AA24" s="517">
        <v>404</v>
      </c>
      <c r="AB24" s="516">
        <v>3</v>
      </c>
      <c r="AC24" s="515">
        <v>5.6</v>
      </c>
      <c r="AD24" s="516">
        <v>5.6</v>
      </c>
    </row>
    <row r="25" spans="1:30" ht="15" customHeight="1" x14ac:dyDescent="0.2">
      <c r="A25" s="207">
        <v>6</v>
      </c>
      <c r="B25" s="518" t="s">
        <v>120</v>
      </c>
      <c r="C25" s="514">
        <v>884</v>
      </c>
      <c r="D25" s="515">
        <v>3</v>
      </c>
      <c r="E25" s="515">
        <v>12.2</v>
      </c>
      <c r="F25" s="515">
        <v>9.8000000000000007</v>
      </c>
      <c r="G25" s="515"/>
      <c r="H25" s="518" t="s">
        <v>128</v>
      </c>
      <c r="I25" s="514">
        <v>762</v>
      </c>
      <c r="J25" s="515">
        <v>3</v>
      </c>
      <c r="K25" s="515">
        <v>10.6</v>
      </c>
      <c r="L25" s="515">
        <v>10.4</v>
      </c>
      <c r="M25" s="515"/>
      <c r="N25" s="518" t="s">
        <v>128</v>
      </c>
      <c r="O25" s="514">
        <v>559</v>
      </c>
      <c r="P25" s="515">
        <v>3</v>
      </c>
      <c r="Q25" s="515">
        <v>7.7</v>
      </c>
      <c r="R25" s="515">
        <v>7.6</v>
      </c>
      <c r="S25" s="516"/>
      <c r="T25" s="518" t="s">
        <v>130</v>
      </c>
      <c r="U25" s="517">
        <v>441</v>
      </c>
      <c r="V25" s="516">
        <v>3</v>
      </c>
      <c r="W25" s="515">
        <v>6</v>
      </c>
      <c r="X25" s="516">
        <v>5.9</v>
      </c>
      <c r="Y25" s="516"/>
      <c r="Z25" s="518" t="s">
        <v>318</v>
      </c>
      <c r="AA25" s="517">
        <v>374</v>
      </c>
      <c r="AB25" s="516">
        <v>3</v>
      </c>
      <c r="AC25" s="515">
        <v>5.2</v>
      </c>
      <c r="AD25" s="516">
        <v>4.2</v>
      </c>
    </row>
    <row r="26" spans="1:30" ht="15" customHeight="1" x14ac:dyDescent="0.2">
      <c r="A26" s="207">
        <v>7</v>
      </c>
      <c r="B26" s="518" t="s">
        <v>128</v>
      </c>
      <c r="C26" s="514">
        <v>817</v>
      </c>
      <c r="D26" s="515">
        <v>3</v>
      </c>
      <c r="E26" s="515">
        <v>11.3</v>
      </c>
      <c r="F26" s="514">
        <v>11.1</v>
      </c>
      <c r="G26" s="515"/>
      <c r="H26" s="518" t="s">
        <v>120</v>
      </c>
      <c r="I26" s="514">
        <v>761</v>
      </c>
      <c r="J26" s="515">
        <v>3</v>
      </c>
      <c r="K26" s="515">
        <v>10.6</v>
      </c>
      <c r="L26" s="514">
        <v>8.1999999999999993</v>
      </c>
      <c r="M26" s="515"/>
      <c r="N26" s="518" t="s">
        <v>120</v>
      </c>
      <c r="O26" s="514">
        <v>514</v>
      </c>
      <c r="P26" s="515">
        <v>3</v>
      </c>
      <c r="Q26" s="515">
        <v>7.1</v>
      </c>
      <c r="R26" s="514">
        <v>5.8</v>
      </c>
      <c r="S26" s="516"/>
      <c r="T26" s="518" t="s">
        <v>318</v>
      </c>
      <c r="U26" s="514">
        <v>426</v>
      </c>
      <c r="V26" s="515">
        <v>3</v>
      </c>
      <c r="W26" s="515">
        <v>5.8</v>
      </c>
      <c r="X26" s="514">
        <v>5</v>
      </c>
      <c r="Y26" s="516"/>
      <c r="Z26" s="518" t="s">
        <v>117</v>
      </c>
      <c r="AA26" s="514">
        <v>306</v>
      </c>
      <c r="AB26" s="515">
        <v>2</v>
      </c>
      <c r="AC26" s="515">
        <v>4.3</v>
      </c>
      <c r="AD26" s="514">
        <v>3.5</v>
      </c>
    </row>
    <row r="27" spans="1:30" ht="15" customHeight="1" x14ac:dyDescent="0.2">
      <c r="A27" s="207">
        <v>8</v>
      </c>
      <c r="B27" s="518" t="s">
        <v>130</v>
      </c>
      <c r="C27" s="514">
        <v>740</v>
      </c>
      <c r="D27" s="515">
        <v>2</v>
      </c>
      <c r="E27" s="515">
        <v>10.199999999999999</v>
      </c>
      <c r="F27" s="515">
        <v>10.8</v>
      </c>
      <c r="G27" s="515"/>
      <c r="H27" s="518" t="s">
        <v>318</v>
      </c>
      <c r="I27" s="514">
        <v>622</v>
      </c>
      <c r="J27" s="515">
        <v>2</v>
      </c>
      <c r="K27" s="515">
        <v>8.6</v>
      </c>
      <c r="L27" s="515">
        <v>6</v>
      </c>
      <c r="M27" s="515"/>
      <c r="N27" s="518" t="s">
        <v>130</v>
      </c>
      <c r="O27" s="514">
        <v>512</v>
      </c>
      <c r="P27" s="515">
        <v>3</v>
      </c>
      <c r="Q27" s="515">
        <v>7.1</v>
      </c>
      <c r="R27" s="515">
        <v>7.2</v>
      </c>
      <c r="S27" s="516"/>
      <c r="T27" s="518" t="s">
        <v>117</v>
      </c>
      <c r="U27" s="517">
        <v>424</v>
      </c>
      <c r="V27" s="516">
        <v>3</v>
      </c>
      <c r="W27" s="515">
        <v>5.7</v>
      </c>
      <c r="X27" s="516">
        <v>5.0999999999999996</v>
      </c>
      <c r="Y27" s="516"/>
      <c r="Z27" s="518" t="s">
        <v>322</v>
      </c>
      <c r="AA27" s="517">
        <v>288</v>
      </c>
      <c r="AB27" s="516">
        <v>2</v>
      </c>
      <c r="AC27" s="515">
        <v>4</v>
      </c>
      <c r="AD27" s="516">
        <v>3.2</v>
      </c>
    </row>
    <row r="28" spans="1:30" ht="15" customHeight="1" x14ac:dyDescent="0.2">
      <c r="A28" s="207">
        <v>9</v>
      </c>
      <c r="B28" s="518" t="s">
        <v>318</v>
      </c>
      <c r="C28" s="514">
        <v>603</v>
      </c>
      <c r="D28" s="515">
        <v>2</v>
      </c>
      <c r="E28" s="515">
        <v>8.3000000000000007</v>
      </c>
      <c r="F28" s="514">
        <v>6</v>
      </c>
      <c r="G28" s="515"/>
      <c r="H28" s="518" t="s">
        <v>130</v>
      </c>
      <c r="I28" s="514">
        <v>608</v>
      </c>
      <c r="J28" s="515">
        <v>2</v>
      </c>
      <c r="K28" s="515">
        <v>8.4</v>
      </c>
      <c r="L28" s="514">
        <v>8.8000000000000007</v>
      </c>
      <c r="M28" s="515"/>
      <c r="N28" s="518" t="s">
        <v>318</v>
      </c>
      <c r="O28" s="514">
        <v>488</v>
      </c>
      <c r="P28" s="515">
        <v>2</v>
      </c>
      <c r="Q28" s="515">
        <v>6.7</v>
      </c>
      <c r="R28" s="514">
        <v>5.0999999999999996</v>
      </c>
      <c r="S28" s="516"/>
      <c r="T28" s="518" t="s">
        <v>128</v>
      </c>
      <c r="U28" s="514">
        <v>399</v>
      </c>
      <c r="V28" s="515">
        <v>2</v>
      </c>
      <c r="W28" s="515">
        <v>5.4</v>
      </c>
      <c r="X28" s="514">
        <v>5.3</v>
      </c>
      <c r="Y28" s="516"/>
      <c r="Z28" s="518" t="s">
        <v>128</v>
      </c>
      <c r="AA28" s="514">
        <v>279</v>
      </c>
      <c r="AB28" s="515">
        <v>2</v>
      </c>
      <c r="AC28" s="515">
        <v>3.9</v>
      </c>
      <c r="AD28" s="514">
        <v>3.8</v>
      </c>
    </row>
    <row r="29" spans="1:30" ht="15" customHeight="1" x14ac:dyDescent="0.2">
      <c r="A29" s="207">
        <v>10</v>
      </c>
      <c r="B29" s="518" t="s">
        <v>542</v>
      </c>
      <c r="C29" s="514">
        <v>424</v>
      </c>
      <c r="D29" s="515">
        <v>1</v>
      </c>
      <c r="E29" s="515">
        <v>5.9</v>
      </c>
      <c r="F29" s="515">
        <v>4.5999999999999996</v>
      </c>
      <c r="G29" s="515"/>
      <c r="H29" s="518" t="s">
        <v>542</v>
      </c>
      <c r="I29" s="514">
        <v>431</v>
      </c>
      <c r="J29" s="515">
        <v>2</v>
      </c>
      <c r="K29" s="515">
        <v>6</v>
      </c>
      <c r="L29" s="515">
        <v>4.5</v>
      </c>
      <c r="M29" s="515"/>
      <c r="N29" s="518" t="s">
        <v>542</v>
      </c>
      <c r="O29" s="514">
        <v>349</v>
      </c>
      <c r="P29" s="515">
        <v>2</v>
      </c>
      <c r="Q29" s="515">
        <v>4.8</v>
      </c>
      <c r="R29" s="515">
        <v>3.9</v>
      </c>
      <c r="S29" s="516"/>
      <c r="T29" s="518" t="s">
        <v>542</v>
      </c>
      <c r="U29" s="517">
        <v>304</v>
      </c>
      <c r="V29" s="516">
        <v>2</v>
      </c>
      <c r="W29" s="515">
        <v>4.0999999999999996</v>
      </c>
      <c r="X29" s="516">
        <v>3.7</v>
      </c>
      <c r="Y29" s="516"/>
      <c r="Z29" s="518" t="s">
        <v>542</v>
      </c>
      <c r="AA29" s="517">
        <v>234</v>
      </c>
      <c r="AB29" s="516">
        <v>2</v>
      </c>
      <c r="AC29" s="515">
        <v>3.3</v>
      </c>
      <c r="AD29" s="516">
        <v>2.7</v>
      </c>
    </row>
    <row r="30" spans="1:30" s="519" customFormat="1" ht="15" customHeight="1" x14ac:dyDescent="0.2">
      <c r="A30" s="166"/>
      <c r="B30" s="273" t="s">
        <v>253</v>
      </c>
      <c r="C30" s="520">
        <v>15229</v>
      </c>
      <c r="D30" s="520">
        <v>51</v>
      </c>
      <c r="E30" s="521">
        <v>210.3</v>
      </c>
      <c r="F30" s="521">
        <v>180</v>
      </c>
      <c r="G30" s="521"/>
      <c r="H30" s="273" t="s">
        <v>253</v>
      </c>
      <c r="I30" s="520">
        <v>13052</v>
      </c>
      <c r="J30" s="521">
        <v>50</v>
      </c>
      <c r="K30" s="521">
        <v>181.4</v>
      </c>
      <c r="L30" s="521">
        <v>150</v>
      </c>
      <c r="M30" s="521"/>
      <c r="N30" s="273" t="s">
        <v>253</v>
      </c>
      <c r="O30" s="520">
        <v>9908</v>
      </c>
      <c r="P30" s="521">
        <v>49</v>
      </c>
      <c r="Q30" s="521">
        <v>137</v>
      </c>
      <c r="R30" s="521">
        <v>118.5</v>
      </c>
      <c r="S30" s="522"/>
      <c r="T30" s="273" t="s">
        <v>253</v>
      </c>
      <c r="U30" s="523">
        <v>8222</v>
      </c>
      <c r="V30" s="522">
        <v>49</v>
      </c>
      <c r="W30" s="521">
        <v>111.5</v>
      </c>
      <c r="X30" s="522">
        <v>102.3</v>
      </c>
      <c r="Y30" s="522"/>
      <c r="Z30" s="273" t="s">
        <v>253</v>
      </c>
      <c r="AA30" s="523">
        <v>6528</v>
      </c>
      <c r="AB30" s="522">
        <v>48</v>
      </c>
      <c r="AC30" s="521">
        <v>91.2</v>
      </c>
      <c r="AD30" s="522">
        <v>80.2</v>
      </c>
    </row>
    <row r="31" spans="1:30" s="519" customFormat="1" ht="15" customHeight="1" x14ac:dyDescent="0.2">
      <c r="A31" s="532"/>
      <c r="B31" s="273" t="s">
        <v>574</v>
      </c>
      <c r="C31" s="167">
        <v>14926</v>
      </c>
      <c r="D31" s="168">
        <v>49</v>
      </c>
      <c r="E31" s="168">
        <v>206.1</v>
      </c>
      <c r="F31" s="169">
        <v>166.8</v>
      </c>
      <c r="G31" s="169"/>
      <c r="H31" s="273" t="s">
        <v>574</v>
      </c>
      <c r="I31" s="170">
        <v>13098</v>
      </c>
      <c r="J31" s="169">
        <v>50</v>
      </c>
      <c r="K31" s="168">
        <v>182</v>
      </c>
      <c r="L31" s="169">
        <v>141.5</v>
      </c>
      <c r="M31" s="169"/>
      <c r="N31" s="273" t="s">
        <v>574</v>
      </c>
      <c r="O31" s="170">
        <v>10254</v>
      </c>
      <c r="P31" s="169">
        <v>51</v>
      </c>
      <c r="Q31" s="168">
        <v>141.80000000000001</v>
      </c>
      <c r="R31" s="169">
        <v>116.6</v>
      </c>
      <c r="S31" s="166"/>
      <c r="T31" s="273" t="s">
        <v>574</v>
      </c>
      <c r="U31" s="524">
        <v>8618</v>
      </c>
      <c r="V31" s="525">
        <v>51</v>
      </c>
      <c r="W31" s="168">
        <v>116.8</v>
      </c>
      <c r="X31" s="166">
        <v>104.6</v>
      </c>
      <c r="Y31" s="166"/>
      <c r="Z31" s="273" t="s">
        <v>574</v>
      </c>
      <c r="AA31" s="524">
        <v>7212</v>
      </c>
      <c r="AB31" s="525">
        <v>52</v>
      </c>
      <c r="AC31" s="168">
        <v>100.8</v>
      </c>
      <c r="AD31" s="166">
        <v>84.9</v>
      </c>
    </row>
    <row r="32" spans="1:30" ht="15" customHeight="1" x14ac:dyDescent="0.2">
      <c r="A32" s="160"/>
      <c r="B32" s="239" t="s">
        <v>575</v>
      </c>
      <c r="C32" s="171">
        <v>30155</v>
      </c>
      <c r="D32" s="172">
        <v>100</v>
      </c>
      <c r="E32" s="172">
        <v>416.4</v>
      </c>
      <c r="F32" s="173">
        <v>346.8</v>
      </c>
      <c r="G32" s="173"/>
      <c r="H32" s="239" t="s">
        <v>575</v>
      </c>
      <c r="I32" s="174">
        <v>26150</v>
      </c>
      <c r="J32" s="173">
        <v>100</v>
      </c>
      <c r="K32" s="172">
        <v>363.4</v>
      </c>
      <c r="L32" s="173">
        <v>291.5</v>
      </c>
      <c r="M32" s="173"/>
      <c r="N32" s="239" t="s">
        <v>575</v>
      </c>
      <c r="O32" s="174">
        <v>20162</v>
      </c>
      <c r="P32" s="173">
        <v>100</v>
      </c>
      <c r="Q32" s="172">
        <v>278.89999999999998</v>
      </c>
      <c r="R32" s="173">
        <v>235.1</v>
      </c>
      <c r="S32" s="527"/>
      <c r="T32" s="239" t="s">
        <v>575</v>
      </c>
      <c r="U32" s="528">
        <v>16840</v>
      </c>
      <c r="V32" s="529">
        <v>100</v>
      </c>
      <c r="W32" s="172">
        <v>228.3</v>
      </c>
      <c r="X32" s="527">
        <v>207</v>
      </c>
      <c r="Y32" s="527"/>
      <c r="Z32" s="239" t="s">
        <v>575</v>
      </c>
      <c r="AA32" s="528">
        <v>13740</v>
      </c>
      <c r="AB32" s="529">
        <v>100</v>
      </c>
      <c r="AC32" s="172">
        <v>192</v>
      </c>
      <c r="AD32" s="527">
        <v>165.1</v>
      </c>
    </row>
    <row r="33" spans="1:30" ht="15" customHeight="1" x14ac:dyDescent="0.2">
      <c r="A33" s="511" t="s">
        <v>1</v>
      </c>
      <c r="B33" s="511"/>
      <c r="C33" s="512"/>
      <c r="D33" s="513"/>
      <c r="E33" s="513"/>
      <c r="F33" s="512"/>
      <c r="G33" s="512"/>
      <c r="H33" s="511"/>
      <c r="I33" s="512"/>
      <c r="J33" s="513"/>
      <c r="K33" s="513"/>
      <c r="L33" s="512"/>
      <c r="M33" s="512"/>
      <c r="N33" s="511"/>
      <c r="O33" s="512"/>
      <c r="P33" s="513"/>
      <c r="Q33" s="513"/>
      <c r="R33" s="512"/>
      <c r="S33" s="512"/>
      <c r="T33" s="511"/>
      <c r="U33" s="512"/>
      <c r="V33" s="512"/>
      <c r="W33" s="513"/>
      <c r="X33" s="512"/>
      <c r="Y33" s="512"/>
      <c r="Z33" s="511"/>
      <c r="AA33" s="512"/>
      <c r="AB33" s="512"/>
      <c r="AC33" s="513"/>
      <c r="AD33" s="512"/>
    </row>
    <row r="34" spans="1:30" ht="15" customHeight="1" x14ac:dyDescent="0.2">
      <c r="A34" s="207">
        <v>1</v>
      </c>
      <c r="B34" s="345" t="s">
        <v>581</v>
      </c>
      <c r="C34" s="514">
        <v>1194</v>
      </c>
      <c r="D34" s="515">
        <v>6</v>
      </c>
      <c r="E34" s="515">
        <v>16.8</v>
      </c>
      <c r="F34" s="515">
        <v>12.8</v>
      </c>
      <c r="G34" s="515"/>
      <c r="H34" s="518" t="s">
        <v>313</v>
      </c>
      <c r="I34" s="514">
        <v>1125</v>
      </c>
      <c r="J34" s="515">
        <v>7</v>
      </c>
      <c r="K34" s="515">
        <v>15.8</v>
      </c>
      <c r="L34" s="515">
        <v>12.2</v>
      </c>
      <c r="M34" s="515"/>
      <c r="N34" s="518" t="s">
        <v>313</v>
      </c>
      <c r="O34" s="514">
        <v>1000</v>
      </c>
      <c r="P34" s="515">
        <v>8</v>
      </c>
      <c r="Q34" s="515">
        <v>13.8</v>
      </c>
      <c r="R34" s="515">
        <v>11.2</v>
      </c>
      <c r="S34" s="516"/>
      <c r="T34" s="518" t="s">
        <v>313</v>
      </c>
      <c r="U34" s="517">
        <v>905</v>
      </c>
      <c r="V34" s="516">
        <v>8</v>
      </c>
      <c r="W34" s="515">
        <v>12.3</v>
      </c>
      <c r="X34" s="516">
        <v>10.5</v>
      </c>
      <c r="Y34" s="516"/>
      <c r="Z34" s="518" t="s">
        <v>313</v>
      </c>
      <c r="AA34" s="517">
        <v>934</v>
      </c>
      <c r="AB34" s="516">
        <v>10</v>
      </c>
      <c r="AC34" s="515">
        <v>12.8</v>
      </c>
      <c r="AD34" s="516">
        <v>10.5</v>
      </c>
    </row>
    <row r="35" spans="1:30" ht="25.5" x14ac:dyDescent="0.2">
      <c r="A35" s="207">
        <v>2</v>
      </c>
      <c r="B35" s="518" t="s">
        <v>322</v>
      </c>
      <c r="C35" s="514">
        <v>1148</v>
      </c>
      <c r="D35" s="515">
        <v>6</v>
      </c>
      <c r="E35" s="515">
        <v>16.2</v>
      </c>
      <c r="F35" s="515">
        <v>11.4</v>
      </c>
      <c r="G35" s="515"/>
      <c r="H35" s="518" t="s">
        <v>322</v>
      </c>
      <c r="I35" s="514">
        <v>912</v>
      </c>
      <c r="J35" s="515">
        <v>6</v>
      </c>
      <c r="K35" s="515">
        <v>12.8</v>
      </c>
      <c r="L35" s="515">
        <v>8.6</v>
      </c>
      <c r="M35" s="515"/>
      <c r="N35" s="345" t="s">
        <v>581</v>
      </c>
      <c r="O35" s="514">
        <v>617</v>
      </c>
      <c r="P35" s="515">
        <v>5</v>
      </c>
      <c r="Q35" s="515">
        <v>8.5</v>
      </c>
      <c r="R35" s="515">
        <v>6.4</v>
      </c>
      <c r="S35" s="516"/>
      <c r="T35" s="518" t="s">
        <v>115</v>
      </c>
      <c r="U35" s="517">
        <v>518</v>
      </c>
      <c r="V35" s="516">
        <v>5</v>
      </c>
      <c r="W35" s="515">
        <v>7</v>
      </c>
      <c r="X35" s="516">
        <v>6.1</v>
      </c>
      <c r="Y35" s="516"/>
      <c r="Z35" s="518" t="s">
        <v>115</v>
      </c>
      <c r="AA35" s="517">
        <v>436</v>
      </c>
      <c r="AB35" s="516">
        <v>5</v>
      </c>
      <c r="AC35" s="515">
        <v>6</v>
      </c>
      <c r="AD35" s="516">
        <v>4.9000000000000004</v>
      </c>
    </row>
    <row r="36" spans="1:30" ht="25.5" x14ac:dyDescent="0.2">
      <c r="A36" s="207">
        <v>3</v>
      </c>
      <c r="B36" s="518" t="s">
        <v>313</v>
      </c>
      <c r="C36" s="514">
        <v>1059</v>
      </c>
      <c r="D36" s="515">
        <v>6</v>
      </c>
      <c r="E36" s="515">
        <v>14.9</v>
      </c>
      <c r="F36" s="515">
        <v>11.7</v>
      </c>
      <c r="G36" s="515"/>
      <c r="H36" s="345" t="s">
        <v>581</v>
      </c>
      <c r="I36" s="514">
        <v>894</v>
      </c>
      <c r="J36" s="515">
        <v>6</v>
      </c>
      <c r="K36" s="515">
        <v>12.5</v>
      </c>
      <c r="L36" s="515">
        <v>9.3000000000000007</v>
      </c>
      <c r="M36" s="515"/>
      <c r="N36" s="518" t="s">
        <v>115</v>
      </c>
      <c r="O36" s="514">
        <v>595</v>
      </c>
      <c r="P36" s="515">
        <v>5</v>
      </c>
      <c r="Q36" s="515">
        <v>8.1999999999999993</v>
      </c>
      <c r="R36" s="515">
        <v>6.5</v>
      </c>
      <c r="S36" s="516"/>
      <c r="T36" s="345" t="s">
        <v>581</v>
      </c>
      <c r="U36" s="517">
        <v>452</v>
      </c>
      <c r="V36" s="516">
        <v>4</v>
      </c>
      <c r="W36" s="515">
        <v>6.1</v>
      </c>
      <c r="X36" s="516">
        <v>5.0999999999999996</v>
      </c>
      <c r="Y36" s="516"/>
      <c r="Z36" s="518" t="s">
        <v>126</v>
      </c>
      <c r="AA36" s="517">
        <v>386</v>
      </c>
      <c r="AB36" s="516">
        <v>4</v>
      </c>
      <c r="AC36" s="515">
        <v>5.3</v>
      </c>
      <c r="AD36" s="516">
        <v>5.0999999999999996</v>
      </c>
    </row>
    <row r="37" spans="1:30" ht="15" customHeight="1" x14ac:dyDescent="0.2">
      <c r="A37" s="207">
        <v>4</v>
      </c>
      <c r="B37" s="518" t="s">
        <v>120</v>
      </c>
      <c r="C37" s="514">
        <v>727</v>
      </c>
      <c r="D37" s="515">
        <v>4</v>
      </c>
      <c r="E37" s="515">
        <v>10.199999999999999</v>
      </c>
      <c r="F37" s="515">
        <v>7.9</v>
      </c>
      <c r="G37" s="515"/>
      <c r="H37" s="518" t="s">
        <v>115</v>
      </c>
      <c r="I37" s="514">
        <v>629</v>
      </c>
      <c r="J37" s="515">
        <v>4</v>
      </c>
      <c r="K37" s="515">
        <v>8.8000000000000007</v>
      </c>
      <c r="L37" s="515">
        <v>6.7</v>
      </c>
      <c r="M37" s="515"/>
      <c r="N37" s="518" t="s">
        <v>322</v>
      </c>
      <c r="O37" s="514">
        <v>555</v>
      </c>
      <c r="P37" s="515">
        <v>4</v>
      </c>
      <c r="Q37" s="515">
        <v>7.6</v>
      </c>
      <c r="R37" s="515">
        <v>5.5</v>
      </c>
      <c r="S37" s="516"/>
      <c r="T37" s="518" t="s">
        <v>126</v>
      </c>
      <c r="U37" s="517">
        <v>396</v>
      </c>
      <c r="V37" s="516">
        <v>4</v>
      </c>
      <c r="W37" s="515">
        <v>5.4</v>
      </c>
      <c r="X37" s="516">
        <v>5.2</v>
      </c>
      <c r="Y37" s="516"/>
      <c r="Z37" s="518" t="s">
        <v>120</v>
      </c>
      <c r="AA37" s="517">
        <v>337</v>
      </c>
      <c r="AB37" s="516">
        <v>4</v>
      </c>
      <c r="AC37" s="515">
        <v>4.5999999999999996</v>
      </c>
      <c r="AD37" s="516">
        <v>3.6</v>
      </c>
    </row>
    <row r="38" spans="1:30" ht="25.5" x14ac:dyDescent="0.2">
      <c r="A38" s="207">
        <v>5</v>
      </c>
      <c r="B38" s="518" t="s">
        <v>115</v>
      </c>
      <c r="C38" s="514">
        <v>706</v>
      </c>
      <c r="D38" s="515">
        <v>4</v>
      </c>
      <c r="E38" s="515">
        <v>10</v>
      </c>
      <c r="F38" s="515">
        <v>7.9</v>
      </c>
      <c r="G38" s="515"/>
      <c r="H38" s="518" t="s">
        <v>120</v>
      </c>
      <c r="I38" s="514">
        <v>542</v>
      </c>
      <c r="J38" s="515">
        <v>3</v>
      </c>
      <c r="K38" s="515">
        <v>7.6</v>
      </c>
      <c r="L38" s="515">
        <v>5.5</v>
      </c>
      <c r="M38" s="515"/>
      <c r="N38" s="518" t="s">
        <v>120</v>
      </c>
      <c r="O38" s="514">
        <v>476</v>
      </c>
      <c r="P38" s="515">
        <v>4</v>
      </c>
      <c r="Q38" s="515">
        <v>6.6</v>
      </c>
      <c r="R38" s="515">
        <v>5.0999999999999996</v>
      </c>
      <c r="S38" s="516"/>
      <c r="T38" s="518" t="s">
        <v>120</v>
      </c>
      <c r="U38" s="517">
        <v>387</v>
      </c>
      <c r="V38" s="516">
        <v>4</v>
      </c>
      <c r="W38" s="515">
        <v>5.2</v>
      </c>
      <c r="X38" s="516">
        <v>4.4000000000000004</v>
      </c>
      <c r="Y38" s="516"/>
      <c r="Z38" s="345" t="s">
        <v>581</v>
      </c>
      <c r="AA38" s="517">
        <v>319</v>
      </c>
      <c r="AB38" s="516">
        <v>3</v>
      </c>
      <c r="AC38" s="515">
        <v>4.4000000000000004</v>
      </c>
      <c r="AD38" s="516">
        <v>3.4</v>
      </c>
    </row>
    <row r="39" spans="1:30" ht="15" customHeight="1" x14ac:dyDescent="0.2">
      <c r="A39" s="207">
        <v>6</v>
      </c>
      <c r="B39" s="518" t="s">
        <v>117</v>
      </c>
      <c r="C39" s="514">
        <v>703</v>
      </c>
      <c r="D39" s="515">
        <v>4</v>
      </c>
      <c r="E39" s="515">
        <v>9.9</v>
      </c>
      <c r="F39" s="515">
        <v>7.7</v>
      </c>
      <c r="G39" s="515"/>
      <c r="H39" s="518" t="s">
        <v>117</v>
      </c>
      <c r="I39" s="514">
        <v>475</v>
      </c>
      <c r="J39" s="515">
        <v>3</v>
      </c>
      <c r="K39" s="515">
        <v>6.7</v>
      </c>
      <c r="L39" s="515">
        <v>4.8</v>
      </c>
      <c r="M39" s="515"/>
      <c r="N39" s="518" t="s">
        <v>126</v>
      </c>
      <c r="O39" s="514">
        <v>419</v>
      </c>
      <c r="P39" s="515">
        <v>3</v>
      </c>
      <c r="Q39" s="515">
        <v>5.8</v>
      </c>
      <c r="R39" s="515">
        <v>5.7</v>
      </c>
      <c r="S39" s="516"/>
      <c r="T39" s="518" t="s">
        <v>322</v>
      </c>
      <c r="U39" s="517">
        <v>365</v>
      </c>
      <c r="V39" s="516">
        <v>3</v>
      </c>
      <c r="W39" s="515">
        <v>4.9000000000000004</v>
      </c>
      <c r="X39" s="516">
        <v>4</v>
      </c>
      <c r="Y39" s="516"/>
      <c r="Z39" s="518" t="s">
        <v>322</v>
      </c>
      <c r="AA39" s="517">
        <v>229</v>
      </c>
      <c r="AB39" s="516">
        <v>2</v>
      </c>
      <c r="AC39" s="515">
        <v>3.1</v>
      </c>
      <c r="AD39" s="516">
        <v>2.2999999999999998</v>
      </c>
    </row>
    <row r="40" spans="1:30" ht="15" customHeight="1" x14ac:dyDescent="0.2">
      <c r="A40" s="207">
        <v>7</v>
      </c>
      <c r="B40" s="518" t="s">
        <v>126</v>
      </c>
      <c r="C40" s="514">
        <v>518</v>
      </c>
      <c r="D40" s="515">
        <v>3</v>
      </c>
      <c r="E40" s="515">
        <v>7.3</v>
      </c>
      <c r="F40" s="514">
        <v>7.4</v>
      </c>
      <c r="G40" s="515"/>
      <c r="H40" s="518" t="s">
        <v>126</v>
      </c>
      <c r="I40" s="514">
        <v>460</v>
      </c>
      <c r="J40" s="515">
        <v>3</v>
      </c>
      <c r="K40" s="515">
        <v>6.5</v>
      </c>
      <c r="L40" s="514">
        <v>6.5</v>
      </c>
      <c r="M40" s="515"/>
      <c r="N40" s="518" t="s">
        <v>117</v>
      </c>
      <c r="O40" s="514">
        <v>336</v>
      </c>
      <c r="P40" s="515">
        <v>3</v>
      </c>
      <c r="Q40" s="515">
        <v>4.5999999999999996</v>
      </c>
      <c r="R40" s="514">
        <v>3.5</v>
      </c>
      <c r="S40" s="516"/>
      <c r="T40" s="518" t="s">
        <v>117</v>
      </c>
      <c r="U40" s="514">
        <v>235</v>
      </c>
      <c r="V40" s="515">
        <v>2</v>
      </c>
      <c r="W40" s="515">
        <v>3.2</v>
      </c>
      <c r="X40" s="514">
        <v>2.7</v>
      </c>
      <c r="Y40" s="516"/>
      <c r="Z40" s="518" t="s">
        <v>130</v>
      </c>
      <c r="AA40" s="514">
        <v>162</v>
      </c>
      <c r="AB40" s="515">
        <v>2</v>
      </c>
      <c r="AC40" s="515">
        <v>2.2000000000000002</v>
      </c>
      <c r="AD40" s="514">
        <v>2.1</v>
      </c>
    </row>
    <row r="41" spans="1:30" ht="15" customHeight="1" x14ac:dyDescent="0.2">
      <c r="A41" s="207">
        <v>8</v>
      </c>
      <c r="B41" s="518" t="s">
        <v>130</v>
      </c>
      <c r="C41" s="514">
        <v>311</v>
      </c>
      <c r="D41" s="515">
        <v>2</v>
      </c>
      <c r="E41" s="515">
        <v>4.4000000000000004</v>
      </c>
      <c r="F41" s="515">
        <v>4.5</v>
      </c>
      <c r="G41" s="515"/>
      <c r="H41" s="518" t="s">
        <v>130</v>
      </c>
      <c r="I41" s="514">
        <v>277</v>
      </c>
      <c r="J41" s="515">
        <v>2</v>
      </c>
      <c r="K41" s="515">
        <v>3.9</v>
      </c>
      <c r="L41" s="515">
        <v>3.9</v>
      </c>
      <c r="M41" s="515"/>
      <c r="N41" s="518" t="s">
        <v>130</v>
      </c>
      <c r="O41" s="514">
        <v>220</v>
      </c>
      <c r="P41" s="515">
        <v>2</v>
      </c>
      <c r="Q41" s="515">
        <v>3</v>
      </c>
      <c r="R41" s="515">
        <v>3</v>
      </c>
      <c r="S41" s="516"/>
      <c r="T41" s="518" t="s">
        <v>130</v>
      </c>
      <c r="U41" s="517">
        <v>197</v>
      </c>
      <c r="V41" s="516">
        <v>2</v>
      </c>
      <c r="W41" s="515">
        <v>2.7</v>
      </c>
      <c r="X41" s="516">
        <v>2.6</v>
      </c>
      <c r="Y41" s="516"/>
      <c r="Z41" s="518" t="s">
        <v>117</v>
      </c>
      <c r="AA41" s="517">
        <v>158</v>
      </c>
      <c r="AB41" s="516">
        <v>2</v>
      </c>
      <c r="AC41" s="515">
        <v>2.2000000000000002</v>
      </c>
      <c r="AD41" s="516">
        <v>1.7</v>
      </c>
    </row>
    <row r="42" spans="1:30" ht="15" customHeight="1" x14ac:dyDescent="0.2">
      <c r="A42" s="207">
        <v>9</v>
      </c>
      <c r="B42" s="518" t="s">
        <v>112</v>
      </c>
      <c r="C42" s="514">
        <v>288</v>
      </c>
      <c r="D42" s="515">
        <v>2</v>
      </c>
      <c r="E42" s="515">
        <v>4.0999999999999996</v>
      </c>
      <c r="F42" s="514">
        <v>3.2</v>
      </c>
      <c r="G42" s="515"/>
      <c r="H42" s="518" t="s">
        <v>112</v>
      </c>
      <c r="I42" s="514">
        <v>223</v>
      </c>
      <c r="J42" s="515">
        <v>1</v>
      </c>
      <c r="K42" s="515">
        <v>3.1</v>
      </c>
      <c r="L42" s="514">
        <v>2.4</v>
      </c>
      <c r="M42" s="515"/>
      <c r="N42" s="518" t="s">
        <v>128</v>
      </c>
      <c r="O42" s="514">
        <v>161</v>
      </c>
      <c r="P42" s="515">
        <v>1</v>
      </c>
      <c r="Q42" s="515">
        <v>2.2000000000000002</v>
      </c>
      <c r="R42" s="514">
        <v>2.2000000000000002</v>
      </c>
      <c r="S42" s="516"/>
      <c r="T42" s="518" t="s">
        <v>132</v>
      </c>
      <c r="U42" s="514">
        <v>126</v>
      </c>
      <c r="V42" s="515">
        <v>1</v>
      </c>
      <c r="W42" s="515">
        <v>1.7</v>
      </c>
      <c r="X42" s="514">
        <v>1.9</v>
      </c>
      <c r="Y42" s="516"/>
      <c r="Z42" s="518" t="s">
        <v>542</v>
      </c>
      <c r="AA42" s="514">
        <v>94</v>
      </c>
      <c r="AB42" s="515">
        <v>1</v>
      </c>
      <c r="AC42" s="515">
        <v>1.3</v>
      </c>
      <c r="AD42" s="514">
        <v>1.1000000000000001</v>
      </c>
    </row>
    <row r="43" spans="1:30" ht="15" customHeight="1" x14ac:dyDescent="0.2">
      <c r="A43" s="207">
        <v>10</v>
      </c>
      <c r="B43" s="518" t="s">
        <v>128</v>
      </c>
      <c r="C43" s="514">
        <v>233</v>
      </c>
      <c r="D43" s="515">
        <v>1</v>
      </c>
      <c r="E43" s="515">
        <v>3.3</v>
      </c>
      <c r="F43" s="515">
        <v>3.3</v>
      </c>
      <c r="G43" s="515"/>
      <c r="H43" s="518" t="s">
        <v>128</v>
      </c>
      <c r="I43" s="514">
        <v>203</v>
      </c>
      <c r="J43" s="515">
        <v>1</v>
      </c>
      <c r="K43" s="515">
        <v>2.8</v>
      </c>
      <c r="L43" s="515">
        <v>2.8</v>
      </c>
      <c r="M43" s="515"/>
      <c r="N43" s="518" t="s">
        <v>542</v>
      </c>
      <c r="O43" s="514">
        <v>156</v>
      </c>
      <c r="P43" s="515">
        <v>1</v>
      </c>
      <c r="Q43" s="515">
        <v>2.1</v>
      </c>
      <c r="R43" s="515">
        <v>1.7</v>
      </c>
      <c r="S43" s="516"/>
      <c r="T43" s="518" t="s">
        <v>542</v>
      </c>
      <c r="U43" s="517">
        <v>122</v>
      </c>
      <c r="V43" s="516">
        <v>1</v>
      </c>
      <c r="W43" s="515">
        <v>1.7</v>
      </c>
      <c r="X43" s="516">
        <v>1.4</v>
      </c>
      <c r="Y43" s="516"/>
      <c r="Z43" s="518" t="s">
        <v>125</v>
      </c>
      <c r="AA43" s="517">
        <v>94</v>
      </c>
      <c r="AB43" s="516">
        <v>1</v>
      </c>
      <c r="AC43" s="515">
        <v>1.3</v>
      </c>
      <c r="AD43" s="516">
        <v>1</v>
      </c>
    </row>
    <row r="44" spans="1:30" s="519" customFormat="1" ht="15" customHeight="1" x14ac:dyDescent="0.2">
      <c r="A44" s="166"/>
      <c r="B44" s="273" t="s">
        <v>253</v>
      </c>
      <c r="C44" s="520">
        <v>8875</v>
      </c>
      <c r="D44" s="520">
        <v>48</v>
      </c>
      <c r="E44" s="520">
        <v>125.1</v>
      </c>
      <c r="F44" s="521">
        <v>101.3</v>
      </c>
      <c r="G44" s="521"/>
      <c r="H44" s="273" t="s">
        <v>253</v>
      </c>
      <c r="I44" s="520">
        <v>7321</v>
      </c>
      <c r="J44" s="521">
        <v>46</v>
      </c>
      <c r="K44" s="520">
        <v>102.7</v>
      </c>
      <c r="L44" s="521">
        <v>81</v>
      </c>
      <c r="M44" s="521"/>
      <c r="N44" s="273" t="s">
        <v>253</v>
      </c>
      <c r="O44" s="520">
        <v>5789</v>
      </c>
      <c r="P44" s="521">
        <v>45</v>
      </c>
      <c r="Q44" s="520">
        <v>79.7</v>
      </c>
      <c r="R44" s="521">
        <v>65.400000000000006</v>
      </c>
      <c r="S44" s="522"/>
      <c r="T44" s="273" t="s">
        <v>253</v>
      </c>
      <c r="U44" s="523">
        <v>4737</v>
      </c>
      <c r="V44" s="522">
        <v>44</v>
      </c>
      <c r="W44" s="520">
        <v>64.099999999999994</v>
      </c>
      <c r="X44" s="522">
        <v>56.2</v>
      </c>
      <c r="Y44" s="522"/>
      <c r="Z44" s="273" t="s">
        <v>253</v>
      </c>
      <c r="AA44" s="523">
        <v>3906</v>
      </c>
      <c r="AB44" s="522">
        <v>42</v>
      </c>
      <c r="AC44" s="520">
        <v>53.4</v>
      </c>
      <c r="AD44" s="522">
        <v>44.9</v>
      </c>
    </row>
    <row r="45" spans="1:30" s="519" customFormat="1" ht="15" customHeight="1" x14ac:dyDescent="0.2">
      <c r="A45" s="532"/>
      <c r="B45" s="273" t="s">
        <v>574</v>
      </c>
      <c r="C45" s="167">
        <v>9761</v>
      </c>
      <c r="D45" s="168">
        <v>52</v>
      </c>
      <c r="E45" s="168">
        <v>137.6</v>
      </c>
      <c r="F45" s="169">
        <v>106.4</v>
      </c>
      <c r="G45" s="169"/>
      <c r="H45" s="273" t="s">
        <v>574</v>
      </c>
      <c r="I45" s="170">
        <v>8758</v>
      </c>
      <c r="J45" s="169">
        <v>54</v>
      </c>
      <c r="K45" s="168">
        <v>122.9</v>
      </c>
      <c r="L45" s="169">
        <v>91.3</v>
      </c>
      <c r="M45" s="169"/>
      <c r="N45" s="273" t="s">
        <v>574</v>
      </c>
      <c r="O45" s="170">
        <v>6966</v>
      </c>
      <c r="P45" s="169">
        <v>55</v>
      </c>
      <c r="Q45" s="168">
        <v>95.9</v>
      </c>
      <c r="R45" s="169">
        <v>74.3</v>
      </c>
      <c r="S45" s="166"/>
      <c r="T45" s="273" t="s">
        <v>574</v>
      </c>
      <c r="U45" s="524">
        <v>6022</v>
      </c>
      <c r="V45" s="525">
        <v>56</v>
      </c>
      <c r="W45" s="168">
        <v>81.5</v>
      </c>
      <c r="X45" s="166">
        <v>68.7</v>
      </c>
      <c r="Y45" s="166"/>
      <c r="Z45" s="273" t="s">
        <v>574</v>
      </c>
      <c r="AA45" s="524">
        <v>5303</v>
      </c>
      <c r="AB45" s="525">
        <v>58</v>
      </c>
      <c r="AC45" s="168">
        <v>72.5</v>
      </c>
      <c r="AD45" s="166">
        <v>57.8</v>
      </c>
    </row>
    <row r="46" spans="1:30" ht="15" customHeight="1" x14ac:dyDescent="0.2">
      <c r="A46" s="160"/>
      <c r="B46" s="239" t="s">
        <v>575</v>
      </c>
      <c r="C46" s="171">
        <v>18636</v>
      </c>
      <c r="D46" s="172">
        <v>100</v>
      </c>
      <c r="E46" s="172">
        <v>262.7</v>
      </c>
      <c r="F46" s="173">
        <v>207.7</v>
      </c>
      <c r="G46" s="173"/>
      <c r="H46" s="239" t="s">
        <v>575</v>
      </c>
      <c r="I46" s="174">
        <v>16079</v>
      </c>
      <c r="J46" s="173">
        <v>100</v>
      </c>
      <c r="K46" s="172">
        <v>225.6</v>
      </c>
      <c r="L46" s="173">
        <v>172.3</v>
      </c>
      <c r="M46" s="173"/>
      <c r="N46" s="239" t="s">
        <v>575</v>
      </c>
      <c r="O46" s="174">
        <v>12755</v>
      </c>
      <c r="P46" s="173">
        <v>100</v>
      </c>
      <c r="Q46" s="172">
        <v>175.6</v>
      </c>
      <c r="R46" s="173">
        <v>139.69999999999999</v>
      </c>
      <c r="S46" s="527"/>
      <c r="T46" s="239" t="s">
        <v>575</v>
      </c>
      <c r="U46" s="528">
        <v>10759</v>
      </c>
      <c r="V46" s="529">
        <v>100</v>
      </c>
      <c r="W46" s="172">
        <v>145.6</v>
      </c>
      <c r="X46" s="527">
        <v>124.9</v>
      </c>
      <c r="Y46" s="527"/>
      <c r="Z46" s="239" t="s">
        <v>575</v>
      </c>
      <c r="AA46" s="528">
        <v>9209</v>
      </c>
      <c r="AB46" s="529">
        <v>100</v>
      </c>
      <c r="AC46" s="172">
        <v>126</v>
      </c>
      <c r="AD46" s="527">
        <v>102.7</v>
      </c>
    </row>
    <row r="47" spans="1:30" ht="15" customHeight="1" x14ac:dyDescent="0.2">
      <c r="A47" s="190" t="s">
        <v>520</v>
      </c>
      <c r="B47" s="190"/>
      <c r="H47" s="190"/>
      <c r="N47" s="190"/>
      <c r="T47" s="190"/>
      <c r="Z47" s="190"/>
    </row>
    <row r="48" spans="1:30" ht="15" customHeight="1" x14ac:dyDescent="0.2">
      <c r="A48" s="166" t="s">
        <v>4</v>
      </c>
      <c r="B48" s="165"/>
      <c r="C48" s="186"/>
      <c r="D48" s="186"/>
      <c r="E48" s="186"/>
      <c r="F48" s="177"/>
      <c r="G48" s="177"/>
      <c r="H48" s="165"/>
      <c r="I48" s="177"/>
      <c r="J48" s="177"/>
      <c r="K48" s="186"/>
      <c r="L48" s="177"/>
      <c r="N48" s="165"/>
      <c r="Q48" s="186"/>
      <c r="T48" s="165"/>
      <c r="W48" s="186"/>
      <c r="Z48" s="165"/>
      <c r="AC48" s="186"/>
    </row>
    <row r="49" spans="1:30" ht="15" customHeight="1" x14ac:dyDescent="0.2">
      <c r="A49" s="187" t="s">
        <v>517</v>
      </c>
      <c r="B49" s="175"/>
      <c r="C49" s="188"/>
      <c r="D49" s="188"/>
      <c r="E49" s="188"/>
      <c r="F49" s="189"/>
      <c r="G49" s="189"/>
      <c r="H49" s="175"/>
      <c r="I49" s="189"/>
      <c r="J49" s="189"/>
      <c r="K49" s="188"/>
      <c r="L49" s="189"/>
      <c r="N49" s="175"/>
      <c r="Q49" s="188"/>
      <c r="T49" s="175"/>
      <c r="W49" s="188"/>
      <c r="Z49" s="175"/>
      <c r="AC49" s="188"/>
    </row>
    <row r="50" spans="1:30" ht="15" customHeight="1" x14ac:dyDescent="0.2">
      <c r="A50" s="190" t="s">
        <v>518</v>
      </c>
      <c r="B50" s="190"/>
      <c r="C50" s="188"/>
      <c r="D50" s="188"/>
      <c r="E50" s="188"/>
      <c r="F50" s="189"/>
      <c r="G50" s="189"/>
      <c r="H50" s="190"/>
      <c r="I50" s="189"/>
      <c r="J50" s="189"/>
      <c r="K50" s="188"/>
      <c r="L50" s="189"/>
      <c r="N50" s="190"/>
      <c r="Q50" s="188"/>
      <c r="T50" s="190"/>
      <c r="W50" s="188"/>
      <c r="Z50" s="190"/>
      <c r="AC50" s="188"/>
    </row>
    <row r="51" spans="1:30" ht="15" customHeight="1" x14ac:dyDescent="0.2">
      <c r="A51" s="165" t="s">
        <v>73</v>
      </c>
      <c r="B51" s="165"/>
      <c r="C51" s="186"/>
      <c r="D51" s="186"/>
      <c r="E51" s="186"/>
      <c r="F51" s="177"/>
      <c r="G51" s="177"/>
      <c r="H51" s="165"/>
      <c r="I51" s="177"/>
      <c r="J51" s="177"/>
      <c r="K51" s="186"/>
      <c r="L51" s="177"/>
      <c r="N51" s="165"/>
      <c r="Q51" s="186"/>
      <c r="T51" s="165"/>
      <c r="W51" s="186"/>
      <c r="Z51" s="165"/>
      <c r="AC51" s="186"/>
    </row>
    <row r="52" spans="1:30" ht="30" customHeight="1" x14ac:dyDescent="0.2">
      <c r="A52" s="622" t="s">
        <v>133</v>
      </c>
      <c r="B52" s="600"/>
      <c r="C52" s="600"/>
      <c r="D52" s="600"/>
      <c r="E52" s="600"/>
      <c r="F52" s="600"/>
      <c r="G52" s="600"/>
      <c r="H52" s="600"/>
      <c r="I52" s="600"/>
      <c r="J52" s="600"/>
      <c r="K52" s="600"/>
      <c r="L52" s="600"/>
      <c r="M52" s="600"/>
      <c r="N52" s="600"/>
      <c r="O52" s="600"/>
      <c r="P52" s="600"/>
      <c r="Q52" s="600"/>
      <c r="R52" s="600"/>
      <c r="S52" s="600"/>
      <c r="T52" s="190"/>
      <c r="W52" s="188"/>
      <c r="Z52" s="190"/>
      <c r="AC52" s="188"/>
    </row>
    <row r="53" spans="1:30" ht="30" customHeight="1" x14ac:dyDescent="0.2">
      <c r="A53" s="623" t="s">
        <v>519</v>
      </c>
      <c r="B53" s="600"/>
      <c r="C53" s="600"/>
      <c r="D53" s="600"/>
      <c r="E53" s="600"/>
      <c r="F53" s="600"/>
      <c r="G53" s="600"/>
      <c r="H53" s="600"/>
      <c r="I53" s="600"/>
      <c r="J53" s="600"/>
      <c r="K53" s="600"/>
      <c r="L53" s="600"/>
      <c r="M53" s="600"/>
      <c r="N53" s="600"/>
      <c r="O53" s="600"/>
      <c r="P53" s="600"/>
      <c r="Q53" s="600"/>
      <c r="R53" s="600"/>
      <c r="T53" s="165"/>
      <c r="W53" s="157"/>
      <c r="X53" s="176"/>
      <c r="Z53" s="165"/>
      <c r="AC53" s="157"/>
      <c r="AD53" s="176"/>
    </row>
    <row r="54" spans="1:30" ht="15" customHeight="1" x14ac:dyDescent="0.2">
      <c r="A54" s="165" t="s">
        <v>278</v>
      </c>
      <c r="B54" s="165"/>
      <c r="C54" s="186"/>
      <c r="D54" s="186"/>
      <c r="E54" s="186"/>
      <c r="F54" s="177"/>
      <c r="G54" s="177"/>
      <c r="H54" s="165"/>
      <c r="I54" s="186"/>
      <c r="J54" s="186"/>
      <c r="K54" s="186"/>
      <c r="L54" s="177"/>
      <c r="N54" s="165"/>
      <c r="O54" s="186"/>
      <c r="P54" s="186"/>
      <c r="Q54" s="186"/>
      <c r="T54" s="165"/>
      <c r="U54" s="186"/>
      <c r="V54" s="186"/>
      <c r="W54" s="186"/>
      <c r="Z54" s="165"/>
      <c r="AA54" s="186"/>
      <c r="AB54" s="186"/>
      <c r="AC54" s="186"/>
    </row>
    <row r="55" spans="1:30" ht="15" customHeight="1" x14ac:dyDescent="0.2">
      <c r="A55" s="182"/>
      <c r="B55" s="182"/>
      <c r="C55" s="186"/>
      <c r="D55" s="186"/>
      <c r="E55" s="186"/>
      <c r="F55" s="177"/>
      <c r="G55" s="177"/>
      <c r="H55" s="182"/>
      <c r="I55" s="177"/>
      <c r="J55" s="177"/>
      <c r="K55" s="186"/>
      <c r="L55" s="177"/>
      <c r="N55" s="182"/>
      <c r="Q55" s="186"/>
      <c r="T55" s="182"/>
      <c r="W55" s="186"/>
      <c r="Z55" s="182"/>
      <c r="AC55" s="186"/>
    </row>
    <row r="56" spans="1:30" ht="15" customHeight="1" x14ac:dyDescent="0.2">
      <c r="A56" s="182"/>
      <c r="B56" s="182"/>
      <c r="C56" s="186"/>
      <c r="D56" s="186"/>
      <c r="E56" s="186"/>
      <c r="F56" s="177"/>
      <c r="G56" s="177"/>
      <c r="H56" s="182"/>
      <c r="I56" s="177"/>
      <c r="J56" s="177"/>
      <c r="K56" s="186"/>
      <c r="L56" s="177"/>
      <c r="N56" s="182"/>
      <c r="Q56" s="186"/>
      <c r="T56" s="182"/>
      <c r="W56" s="186"/>
      <c r="Z56" s="182"/>
      <c r="AC56" s="186"/>
    </row>
    <row r="57" spans="1:30" ht="15" customHeight="1" x14ac:dyDescent="0.2">
      <c r="A57" s="182"/>
      <c r="B57" s="182"/>
      <c r="C57" s="186"/>
      <c r="D57" s="186"/>
      <c r="E57" s="186"/>
      <c r="F57" s="177"/>
      <c r="G57" s="177"/>
      <c r="H57" s="182"/>
      <c r="I57" s="177"/>
      <c r="J57" s="177"/>
      <c r="K57" s="186"/>
      <c r="L57" s="177"/>
      <c r="N57" s="182"/>
      <c r="Q57" s="186"/>
      <c r="T57" s="182"/>
      <c r="W57" s="186"/>
      <c r="Z57" s="182"/>
      <c r="AC57" s="186"/>
    </row>
    <row r="58" spans="1:30" ht="15" customHeight="1" x14ac:dyDescent="0.2">
      <c r="A58" s="182"/>
      <c r="B58" s="182"/>
      <c r="C58" s="186"/>
      <c r="D58" s="186"/>
      <c r="E58" s="186"/>
      <c r="F58" s="177"/>
      <c r="G58" s="177"/>
      <c r="H58" s="182"/>
      <c r="I58" s="177"/>
      <c r="J58" s="177"/>
      <c r="K58" s="186"/>
      <c r="L58" s="177"/>
      <c r="N58" s="182"/>
      <c r="Q58" s="186"/>
      <c r="T58" s="182"/>
      <c r="W58" s="186"/>
      <c r="Z58" s="182"/>
      <c r="AC58" s="186"/>
    </row>
  </sheetData>
  <mergeCells count="7">
    <mergeCell ref="A52:S52"/>
    <mergeCell ref="A53:R53"/>
    <mergeCell ref="Z3:AD3"/>
    <mergeCell ref="T3:X3"/>
    <mergeCell ref="N3:R3"/>
    <mergeCell ref="B3:F3"/>
    <mergeCell ref="H3:L3"/>
  </mergeCells>
  <hyperlinks>
    <hyperlink ref="A2" location="Contents!A1" display="Back to contents" xr:uid="{1D41DE53-1E27-487A-B308-A89C7C0CEEBE}"/>
  </hyperlink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1F818-FE14-4849-BE6D-894C864A8CE7}">
  <dimension ref="A1:O27"/>
  <sheetViews>
    <sheetView workbookViewId="0"/>
  </sheetViews>
  <sheetFormatPr defaultColWidth="8" defaultRowHeight="15" customHeight="1" x14ac:dyDescent="0.2"/>
  <cols>
    <col min="1" max="1" width="18.125" style="319" customWidth="1"/>
    <col min="2" max="4" width="10.25" style="319" customWidth="1"/>
    <col min="5" max="5" width="2.375" style="319" customWidth="1"/>
    <col min="6" max="8" width="10.25" style="319" customWidth="1"/>
    <col min="9" max="16384" width="8" style="319"/>
  </cols>
  <sheetData>
    <row r="1" spans="1:15" ht="15" customHeight="1" x14ac:dyDescent="0.25">
      <c r="A1" s="275" t="s">
        <v>523</v>
      </c>
    </row>
    <row r="2" spans="1:15" s="199" customFormat="1" ht="15" customHeight="1" x14ac:dyDescent="0.2">
      <c r="A2" s="500" t="s">
        <v>585</v>
      </c>
    </row>
    <row r="3" spans="1:15" s="199" customFormat="1" ht="15" customHeight="1" x14ac:dyDescent="0.2">
      <c r="A3" s="382"/>
      <c r="B3" s="624" t="s">
        <v>269</v>
      </c>
      <c r="C3" s="624"/>
      <c r="D3" s="624"/>
      <c r="E3" s="382"/>
      <c r="F3" s="624" t="s">
        <v>279</v>
      </c>
      <c r="G3" s="624"/>
      <c r="H3" s="624"/>
    </row>
    <row r="4" spans="1:15" s="199" customFormat="1" ht="15" customHeight="1" x14ac:dyDescent="0.2">
      <c r="A4" s="313"/>
      <c r="B4" s="396">
        <v>2015</v>
      </c>
      <c r="C4" s="396">
        <v>2019</v>
      </c>
      <c r="D4" s="396">
        <v>2023</v>
      </c>
      <c r="E4" s="397"/>
      <c r="F4" s="396">
        <v>2015</v>
      </c>
      <c r="G4" s="396">
        <v>2019</v>
      </c>
      <c r="H4" s="396">
        <v>2023</v>
      </c>
    </row>
    <row r="5" spans="1:15" s="199" customFormat="1" ht="15" customHeight="1" x14ac:dyDescent="0.2">
      <c r="A5" s="339" t="s">
        <v>280</v>
      </c>
      <c r="B5" s="353">
        <v>33059</v>
      </c>
      <c r="C5" s="353">
        <v>31320</v>
      </c>
      <c r="D5" s="353">
        <v>37932</v>
      </c>
      <c r="F5" s="354">
        <v>19.677198449446799</v>
      </c>
      <c r="G5" s="354">
        <v>19.848102785782899</v>
      </c>
      <c r="H5" s="354">
        <v>20.713041483965</v>
      </c>
    </row>
    <row r="6" spans="1:15" s="199" customFormat="1" ht="15" customHeight="1" x14ac:dyDescent="0.2">
      <c r="A6" s="339" t="s">
        <v>281</v>
      </c>
      <c r="B6" s="353">
        <v>36860</v>
      </c>
      <c r="C6" s="353">
        <v>36556</v>
      </c>
      <c r="D6" s="353">
        <v>39287</v>
      </c>
      <c r="F6" s="354">
        <v>22.966783733013301</v>
      </c>
      <c r="G6" s="354">
        <v>22.130163304514902</v>
      </c>
      <c r="H6" s="354">
        <v>21.4529489818764</v>
      </c>
    </row>
    <row r="7" spans="1:15" s="199" customFormat="1" ht="15" customHeight="1" x14ac:dyDescent="0.2">
      <c r="A7" s="339" t="s">
        <v>282</v>
      </c>
      <c r="B7" s="353">
        <v>34022</v>
      </c>
      <c r="C7" s="353">
        <v>33932</v>
      </c>
      <c r="D7" s="353">
        <v>35352</v>
      </c>
      <c r="F7" s="354">
        <v>21.318221512983101</v>
      </c>
      <c r="G7" s="354">
        <v>20.426272814601401</v>
      </c>
      <c r="H7" s="354">
        <v>19.304213923366301</v>
      </c>
    </row>
    <row r="8" spans="1:15" s="199" customFormat="1" ht="15" customHeight="1" x14ac:dyDescent="0.2">
      <c r="A8" s="339" t="s">
        <v>283</v>
      </c>
      <c r="B8" s="353">
        <v>25141</v>
      </c>
      <c r="C8" s="353">
        <v>24751</v>
      </c>
      <c r="D8" s="353">
        <v>26736</v>
      </c>
      <c r="F8" s="354">
        <v>15.5501385320006</v>
      </c>
      <c r="G8" s="354">
        <v>15.094260326609</v>
      </c>
      <c r="H8" s="354">
        <v>14.5993851395995</v>
      </c>
    </row>
    <row r="9" spans="1:15" s="199" customFormat="1" ht="15" customHeight="1" x14ac:dyDescent="0.2">
      <c r="A9" s="339" t="s">
        <v>284</v>
      </c>
      <c r="B9" s="353">
        <v>37478</v>
      </c>
      <c r="C9" s="353">
        <v>32610</v>
      </c>
      <c r="D9" s="353">
        <v>43824</v>
      </c>
      <c r="F9" s="354">
        <v>20.487657772556201</v>
      </c>
      <c r="G9" s="354">
        <v>22.501200768491799</v>
      </c>
      <c r="H9" s="354">
        <v>23.930410471192801</v>
      </c>
    </row>
    <row r="10" spans="1:15" s="199" customFormat="1" ht="15" customHeight="1" x14ac:dyDescent="0.2">
      <c r="A10" s="239" t="s">
        <v>285</v>
      </c>
      <c r="B10" s="304">
        <v>159169</v>
      </c>
      <c r="C10" s="304">
        <v>166560</v>
      </c>
      <c r="D10" s="304">
        <v>183131</v>
      </c>
      <c r="E10" s="397"/>
      <c r="F10" s="326">
        <v>100</v>
      </c>
      <c r="G10" s="326">
        <v>100</v>
      </c>
      <c r="H10" s="326">
        <v>100</v>
      </c>
    </row>
    <row r="11" spans="1:15" s="199" customFormat="1" ht="15" customHeight="1" x14ac:dyDescent="0.2">
      <c r="A11" s="95" t="s">
        <v>4</v>
      </c>
    </row>
    <row r="12" spans="1:15" s="199" customFormat="1" ht="30" customHeight="1" x14ac:dyDescent="0.2">
      <c r="A12" s="611" t="s">
        <v>623</v>
      </c>
      <c r="B12" s="600"/>
      <c r="C12" s="600"/>
      <c r="D12" s="600"/>
      <c r="E12" s="600"/>
      <c r="F12" s="600"/>
      <c r="G12" s="600"/>
      <c r="H12" s="600"/>
      <c r="I12" s="600"/>
      <c r="J12" s="600"/>
      <c r="K12" s="600"/>
      <c r="L12" s="600"/>
      <c r="M12" s="600"/>
      <c r="N12" s="600"/>
      <c r="O12" s="600"/>
    </row>
    <row r="13" spans="1:15" s="199" customFormat="1" ht="39.950000000000003" customHeight="1" x14ac:dyDescent="0.2">
      <c r="A13" s="599" t="s">
        <v>36</v>
      </c>
      <c r="B13" s="600"/>
      <c r="C13" s="600"/>
      <c r="D13" s="600"/>
      <c r="E13" s="600"/>
      <c r="F13" s="600"/>
      <c r="G13" s="600"/>
      <c r="H13" s="600"/>
      <c r="I13" s="600"/>
      <c r="J13" s="600"/>
      <c r="K13" s="600"/>
      <c r="L13" s="600"/>
      <c r="M13" s="600"/>
      <c r="N13" s="600"/>
      <c r="O13" s="601"/>
    </row>
    <row r="14" spans="1:15" s="199" customFormat="1" ht="15" customHeight="1" x14ac:dyDescent="0.2">
      <c r="A14" s="218" t="s">
        <v>553</v>
      </c>
    </row>
    <row r="20" spans="1:1" ht="15" customHeight="1" x14ac:dyDescent="0.25">
      <c r="A20" s="275"/>
    </row>
    <row r="21" spans="1:1" ht="15" customHeight="1" x14ac:dyDescent="0.25">
      <c r="A21" s="275"/>
    </row>
    <row r="22" spans="1:1" ht="15" customHeight="1" x14ac:dyDescent="0.25">
      <c r="A22" s="275"/>
    </row>
    <row r="23" spans="1:1" ht="15" customHeight="1" x14ac:dyDescent="0.25">
      <c r="A23" s="275"/>
    </row>
    <row r="24" spans="1:1" ht="15" customHeight="1" x14ac:dyDescent="0.25">
      <c r="A24" s="275"/>
    </row>
    <row r="25" spans="1:1" ht="15" customHeight="1" x14ac:dyDescent="0.2">
      <c r="A25" s="100"/>
    </row>
    <row r="26" spans="1:1" ht="15" customHeight="1" x14ac:dyDescent="0.25">
      <c r="A26" s="275"/>
    </row>
    <row r="27" spans="1:1" ht="15" customHeight="1" x14ac:dyDescent="0.25">
      <c r="A27" s="151"/>
    </row>
  </sheetData>
  <mergeCells count="4">
    <mergeCell ref="B3:D3"/>
    <mergeCell ref="F3:H3"/>
    <mergeCell ref="A13:O13"/>
    <mergeCell ref="A12:O12"/>
  </mergeCells>
  <hyperlinks>
    <hyperlink ref="A2" location="Contents!A1" display="Back to contents" xr:uid="{5181B1E5-80CE-4C51-8DF7-21D4BD221961}"/>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E7853-3B77-40F2-A183-9E2C51A5835A}">
  <dimension ref="A1:Q45"/>
  <sheetViews>
    <sheetView workbookViewId="0"/>
  </sheetViews>
  <sheetFormatPr defaultColWidth="8" defaultRowHeight="15" customHeight="1" x14ac:dyDescent="0.2"/>
  <cols>
    <col min="1" max="1" width="8" style="199"/>
    <col min="2" max="3" width="14.625" style="199" customWidth="1"/>
    <col min="4" max="4" width="12.625" style="199" customWidth="1"/>
    <col min="5" max="5" width="2.625" style="199" customWidth="1"/>
    <col min="6" max="6" width="8" style="199"/>
    <col min="7" max="8" width="14.625" style="199" customWidth="1"/>
    <col min="9" max="9" width="12.625" style="199" customWidth="1"/>
    <col min="10" max="10" width="2.625" style="199" customWidth="1"/>
    <col min="11" max="11" width="8" style="199"/>
    <col min="12" max="13" width="14.625" style="199" customWidth="1"/>
    <col min="14" max="14" width="12.625" style="199" customWidth="1"/>
    <col min="15" max="15" width="11.125" style="199" bestFit="1" customWidth="1"/>
    <col min="16" max="16384" width="8" style="199"/>
  </cols>
  <sheetData>
    <row r="1" spans="1:14" s="319" customFormat="1" ht="15" customHeight="1" x14ac:dyDescent="0.25">
      <c r="A1" s="275" t="s">
        <v>531</v>
      </c>
      <c r="F1" s="284"/>
      <c r="K1" s="284"/>
    </row>
    <row r="2" spans="1:14" ht="15" customHeight="1" x14ac:dyDescent="0.2">
      <c r="A2" s="500" t="s">
        <v>585</v>
      </c>
    </row>
    <row r="3" spans="1:14" s="400" customFormat="1" ht="15" customHeight="1" x14ac:dyDescent="0.2">
      <c r="A3" s="398"/>
      <c r="B3" s="625">
        <v>2015</v>
      </c>
      <c r="C3" s="625"/>
      <c r="D3" s="625"/>
      <c r="E3" s="399"/>
      <c r="F3" s="398"/>
      <c r="G3" s="625">
        <v>2019</v>
      </c>
      <c r="H3" s="625"/>
      <c r="I3" s="625"/>
      <c r="J3" s="399"/>
      <c r="K3" s="398"/>
      <c r="L3" s="626">
        <v>2023</v>
      </c>
      <c r="M3" s="626"/>
      <c r="N3" s="626"/>
    </row>
    <row r="4" spans="1:14" s="400" customFormat="1" ht="51" x14ac:dyDescent="0.2">
      <c r="A4" s="291" t="s">
        <v>268</v>
      </c>
      <c r="B4" s="19" t="s">
        <v>269</v>
      </c>
      <c r="C4" s="19" t="s">
        <v>270</v>
      </c>
      <c r="D4" s="19" t="s">
        <v>271</v>
      </c>
      <c r="E4" s="19"/>
      <c r="F4" s="291" t="s">
        <v>268</v>
      </c>
      <c r="G4" s="19" t="s">
        <v>269</v>
      </c>
      <c r="H4" s="19" t="s">
        <v>270</v>
      </c>
      <c r="I4" s="19" t="s">
        <v>271</v>
      </c>
      <c r="J4" s="19"/>
      <c r="K4" s="291" t="s">
        <v>268</v>
      </c>
      <c r="L4" s="19" t="s">
        <v>269</v>
      </c>
      <c r="M4" s="19" t="s">
        <v>270</v>
      </c>
      <c r="N4" s="19" t="s">
        <v>271</v>
      </c>
    </row>
    <row r="5" spans="1:14" s="400" customFormat="1" ht="15" customHeight="1" x14ac:dyDescent="0.2">
      <c r="A5" s="362" t="s">
        <v>0</v>
      </c>
      <c r="B5" s="113"/>
      <c r="C5" s="113"/>
      <c r="D5" s="113"/>
      <c r="E5" s="113"/>
      <c r="F5" s="362" t="s">
        <v>0</v>
      </c>
      <c r="G5" s="113"/>
      <c r="H5" s="113"/>
      <c r="I5" s="113"/>
      <c r="J5" s="113"/>
      <c r="K5" s="362" t="s">
        <v>0</v>
      </c>
      <c r="L5" s="113"/>
      <c r="M5" s="113"/>
      <c r="N5" s="113"/>
    </row>
    <row r="6" spans="1:14" s="400" customFormat="1" ht="15" customHeight="1" x14ac:dyDescent="0.2">
      <c r="A6" s="401" t="s">
        <v>272</v>
      </c>
      <c r="B6" s="402">
        <v>817</v>
      </c>
      <c r="C6" s="402">
        <v>1358</v>
      </c>
      <c r="D6" s="403">
        <v>1.66217870257038</v>
      </c>
      <c r="E6" s="404"/>
      <c r="F6" s="401" t="s">
        <v>272</v>
      </c>
      <c r="G6" s="402">
        <v>814</v>
      </c>
      <c r="H6" s="402">
        <v>1344</v>
      </c>
      <c r="I6" s="403">
        <v>1.6511056511056501</v>
      </c>
      <c r="J6" s="279"/>
      <c r="K6" s="401" t="s">
        <v>272</v>
      </c>
      <c r="L6" s="402">
        <v>783</v>
      </c>
      <c r="M6" s="402">
        <v>1385</v>
      </c>
      <c r="N6" s="403">
        <v>1.7688378033205601</v>
      </c>
    </row>
    <row r="7" spans="1:14" s="400" customFormat="1" ht="15" customHeight="1" x14ac:dyDescent="0.2">
      <c r="A7" s="401" t="s">
        <v>273</v>
      </c>
      <c r="B7" s="402">
        <v>814</v>
      </c>
      <c r="C7" s="402">
        <v>2492</v>
      </c>
      <c r="D7" s="403">
        <v>3.06142506142506</v>
      </c>
      <c r="E7" s="404"/>
      <c r="F7" s="401" t="s">
        <v>273</v>
      </c>
      <c r="G7" s="402">
        <v>905</v>
      </c>
      <c r="H7" s="402">
        <v>3615</v>
      </c>
      <c r="I7" s="403">
        <v>3.9944751381215502</v>
      </c>
      <c r="J7" s="279"/>
      <c r="K7" s="401" t="s">
        <v>273</v>
      </c>
      <c r="L7" s="402">
        <v>803</v>
      </c>
      <c r="M7" s="402">
        <v>2982</v>
      </c>
      <c r="N7" s="403">
        <v>3.7135740971357398</v>
      </c>
    </row>
    <row r="8" spans="1:14" s="400" customFormat="1" ht="15" customHeight="1" x14ac:dyDescent="0.2">
      <c r="A8" s="401" t="s">
        <v>274</v>
      </c>
      <c r="B8" s="402">
        <v>3657</v>
      </c>
      <c r="C8" s="402">
        <v>11383</v>
      </c>
      <c r="D8" s="403">
        <v>3.1126606508066699</v>
      </c>
      <c r="E8" s="404"/>
      <c r="F8" s="401" t="s">
        <v>274</v>
      </c>
      <c r="G8" s="402">
        <v>3610</v>
      </c>
      <c r="H8" s="402">
        <v>14495</v>
      </c>
      <c r="I8" s="403">
        <v>4.0152354570637101</v>
      </c>
      <c r="J8" s="279"/>
      <c r="K8" s="401" t="s">
        <v>274</v>
      </c>
      <c r="L8" s="402">
        <v>3566</v>
      </c>
      <c r="M8" s="402">
        <v>14152</v>
      </c>
      <c r="N8" s="403">
        <v>3.9685922602355599</v>
      </c>
    </row>
    <row r="9" spans="1:14" s="400" customFormat="1" ht="15" customHeight="1" x14ac:dyDescent="0.2">
      <c r="A9" s="401" t="s">
        <v>275</v>
      </c>
      <c r="B9" s="402">
        <v>4511</v>
      </c>
      <c r="C9" s="402">
        <v>12697</v>
      </c>
      <c r="D9" s="403">
        <v>2.8146752383063598</v>
      </c>
      <c r="E9" s="404"/>
      <c r="F9" s="401" t="s">
        <v>275</v>
      </c>
      <c r="G9" s="402">
        <v>4412</v>
      </c>
      <c r="H9" s="402">
        <v>14839</v>
      </c>
      <c r="I9" s="403">
        <v>3.3633272892112398</v>
      </c>
      <c r="J9" s="279"/>
      <c r="K9" s="401" t="s">
        <v>275</v>
      </c>
      <c r="L9" s="402">
        <v>4473</v>
      </c>
      <c r="M9" s="402">
        <v>15207</v>
      </c>
      <c r="N9" s="403">
        <v>3.3997317236753899</v>
      </c>
    </row>
    <row r="10" spans="1:14" s="400" customFormat="1" ht="15" customHeight="1" x14ac:dyDescent="0.2">
      <c r="A10" s="401" t="s">
        <v>276</v>
      </c>
      <c r="B10" s="402">
        <v>8646</v>
      </c>
      <c r="C10" s="402">
        <v>23677</v>
      </c>
      <c r="D10" s="403">
        <v>2.7384917881101098</v>
      </c>
      <c r="E10" s="404"/>
      <c r="F10" s="401" t="s">
        <v>276</v>
      </c>
      <c r="G10" s="402">
        <v>9104</v>
      </c>
      <c r="H10" s="402">
        <v>27195</v>
      </c>
      <c r="I10" s="403">
        <v>2.98714850615114</v>
      </c>
      <c r="J10" s="279"/>
      <c r="K10" s="401" t="s">
        <v>276</v>
      </c>
      <c r="L10" s="402">
        <v>9066</v>
      </c>
      <c r="M10" s="402">
        <v>28543</v>
      </c>
      <c r="N10" s="403">
        <v>3.1483564968012399</v>
      </c>
    </row>
    <row r="11" spans="1:14" s="400" customFormat="1" ht="15" customHeight="1" x14ac:dyDescent="0.2">
      <c r="A11" s="401" t="s">
        <v>93</v>
      </c>
      <c r="B11" s="402">
        <v>15007</v>
      </c>
      <c r="C11" s="402">
        <v>44275</v>
      </c>
      <c r="D11" s="403">
        <v>2.9502898647297902</v>
      </c>
      <c r="F11" s="401" t="s">
        <v>93</v>
      </c>
      <c r="G11" s="402">
        <v>16083</v>
      </c>
      <c r="H11" s="402">
        <v>49417</v>
      </c>
      <c r="I11" s="403">
        <v>3.0726232668034599</v>
      </c>
      <c r="J11" s="279"/>
      <c r="K11" s="401" t="s">
        <v>93</v>
      </c>
      <c r="L11" s="402">
        <v>17264</v>
      </c>
      <c r="M11" s="402">
        <v>54323</v>
      </c>
      <c r="N11" s="403">
        <v>3.14660565338276</v>
      </c>
    </row>
    <row r="12" spans="1:14" s="400" customFormat="1" ht="15" customHeight="1" x14ac:dyDescent="0.2">
      <c r="A12" s="401" t="s">
        <v>94</v>
      </c>
      <c r="B12" s="402">
        <v>22547</v>
      </c>
      <c r="C12" s="402">
        <v>74115</v>
      </c>
      <c r="D12" s="403">
        <v>3.2871335432651798</v>
      </c>
      <c r="F12" s="401" t="s">
        <v>94</v>
      </c>
      <c r="G12" s="402">
        <v>23858</v>
      </c>
      <c r="H12" s="402">
        <v>78651</v>
      </c>
      <c r="I12" s="403">
        <v>3.29663006119541</v>
      </c>
      <c r="J12" s="279"/>
      <c r="K12" s="401" t="s">
        <v>94</v>
      </c>
      <c r="L12" s="402">
        <v>28489</v>
      </c>
      <c r="M12" s="402">
        <v>96487</v>
      </c>
      <c r="N12" s="403">
        <v>3.3868159640563</v>
      </c>
    </row>
    <row r="13" spans="1:14" s="400" customFormat="1" ht="15" customHeight="1" x14ac:dyDescent="0.2">
      <c r="A13" s="401" t="s">
        <v>95</v>
      </c>
      <c r="B13" s="402">
        <v>22579</v>
      </c>
      <c r="C13" s="402">
        <v>78164</v>
      </c>
      <c r="D13" s="403">
        <v>3.4618007883431501</v>
      </c>
      <c r="F13" s="401" t="s">
        <v>95</v>
      </c>
      <c r="G13" s="402">
        <v>24061</v>
      </c>
      <c r="H13" s="402">
        <v>83253</v>
      </c>
      <c r="I13" s="403">
        <v>3.4600806284028098</v>
      </c>
      <c r="J13" s="279"/>
      <c r="K13" s="401" t="s">
        <v>95</v>
      </c>
      <c r="L13" s="402">
        <v>26751</v>
      </c>
      <c r="M13" s="402">
        <v>94981</v>
      </c>
      <c r="N13" s="403">
        <v>3.5505588576128</v>
      </c>
    </row>
    <row r="14" spans="1:14" s="400" customFormat="1" ht="15" customHeight="1" x14ac:dyDescent="0.2">
      <c r="A14" s="401" t="s">
        <v>96</v>
      </c>
      <c r="B14" s="402">
        <v>2818</v>
      </c>
      <c r="C14" s="402">
        <v>9510</v>
      </c>
      <c r="D14" s="403">
        <v>3.3747338537970202</v>
      </c>
      <c r="F14" s="401" t="s">
        <v>96</v>
      </c>
      <c r="G14" s="402">
        <v>3838</v>
      </c>
      <c r="H14" s="402">
        <v>13076</v>
      </c>
      <c r="I14" s="403">
        <v>3.4069828035435101</v>
      </c>
      <c r="J14" s="279"/>
      <c r="K14" s="401" t="s">
        <v>96</v>
      </c>
      <c r="L14" s="402">
        <v>4984</v>
      </c>
      <c r="M14" s="402">
        <v>17569</v>
      </c>
      <c r="N14" s="403">
        <v>3.52508025682183</v>
      </c>
    </row>
    <row r="15" spans="1:14" s="400" customFormat="1" ht="15" customHeight="1" x14ac:dyDescent="0.2">
      <c r="A15" s="401" t="s">
        <v>277</v>
      </c>
      <c r="B15" s="402">
        <v>1</v>
      </c>
      <c r="C15" s="402">
        <v>2</v>
      </c>
      <c r="D15" s="403">
        <v>2</v>
      </c>
      <c r="F15" s="401" t="s">
        <v>277</v>
      </c>
      <c r="G15" s="402">
        <v>1</v>
      </c>
      <c r="H15" s="402">
        <v>1</v>
      </c>
      <c r="I15" s="403">
        <v>1</v>
      </c>
      <c r="J15" s="279"/>
      <c r="K15" s="401" t="s">
        <v>277</v>
      </c>
      <c r="L15" s="402">
        <v>1</v>
      </c>
      <c r="M15" s="402">
        <v>1</v>
      </c>
      <c r="N15" s="403">
        <v>1</v>
      </c>
    </row>
    <row r="16" spans="1:14" s="400" customFormat="1" ht="15" customHeight="1" x14ac:dyDescent="0.2">
      <c r="A16" s="239" t="s">
        <v>3</v>
      </c>
      <c r="B16" s="304">
        <v>81397</v>
      </c>
      <c r="C16" s="304">
        <v>257673</v>
      </c>
      <c r="D16" s="326">
        <v>3.1656326400235901</v>
      </c>
      <c r="E16" s="405"/>
      <c r="F16" s="239" t="s">
        <v>3</v>
      </c>
      <c r="G16" s="304">
        <v>86686</v>
      </c>
      <c r="H16" s="304">
        <v>285886</v>
      </c>
      <c r="I16" s="326">
        <v>3.2979489190872799</v>
      </c>
      <c r="J16" s="405"/>
      <c r="K16" s="239" t="s">
        <v>3</v>
      </c>
      <c r="L16" s="304">
        <v>96180</v>
      </c>
      <c r="M16" s="304">
        <v>325630</v>
      </c>
      <c r="N16" s="326">
        <v>3.3856311083385302</v>
      </c>
    </row>
    <row r="17" spans="1:14" s="400" customFormat="1" ht="15" customHeight="1" x14ac:dyDescent="0.2">
      <c r="A17" s="362" t="s">
        <v>1</v>
      </c>
      <c r="B17" s="113"/>
      <c r="C17" s="113"/>
      <c r="D17" s="113"/>
      <c r="E17" s="113"/>
      <c r="F17" s="362" t="s">
        <v>1</v>
      </c>
      <c r="G17" s="113"/>
      <c r="H17" s="113"/>
      <c r="I17" s="113"/>
      <c r="J17" s="113"/>
      <c r="K17" s="362" t="s">
        <v>1</v>
      </c>
      <c r="L17" s="113"/>
      <c r="M17" s="113"/>
      <c r="N17" s="113"/>
    </row>
    <row r="18" spans="1:14" s="400" customFormat="1" ht="15" customHeight="1" x14ac:dyDescent="0.2">
      <c r="A18" s="401" t="s">
        <v>272</v>
      </c>
      <c r="B18" s="402">
        <v>665</v>
      </c>
      <c r="C18" s="402">
        <v>1112</v>
      </c>
      <c r="D18" s="403">
        <v>1.67218045112782</v>
      </c>
      <c r="E18" s="404"/>
      <c r="F18" s="401" t="s">
        <v>272</v>
      </c>
      <c r="G18" s="402">
        <v>620</v>
      </c>
      <c r="H18" s="402">
        <v>1104</v>
      </c>
      <c r="I18" s="403">
        <v>1.78064516129032</v>
      </c>
      <c r="J18" s="279"/>
      <c r="K18" s="401" t="s">
        <v>272</v>
      </c>
      <c r="L18" s="402">
        <v>600</v>
      </c>
      <c r="M18" s="402">
        <v>1112</v>
      </c>
      <c r="N18" s="403">
        <v>1.8533333333333299</v>
      </c>
    </row>
    <row r="19" spans="1:14" s="400" customFormat="1" ht="15" customHeight="1" x14ac:dyDescent="0.2">
      <c r="A19" s="401" t="s">
        <v>273</v>
      </c>
      <c r="B19" s="402">
        <v>336</v>
      </c>
      <c r="C19" s="402">
        <v>1023</v>
      </c>
      <c r="D19" s="403">
        <v>3.0446428571428599</v>
      </c>
      <c r="E19" s="404"/>
      <c r="F19" s="401" t="s">
        <v>273</v>
      </c>
      <c r="G19" s="402">
        <v>359</v>
      </c>
      <c r="H19" s="402">
        <v>1390</v>
      </c>
      <c r="I19" s="403">
        <v>3.8718662952646201</v>
      </c>
      <c r="J19" s="279"/>
      <c r="K19" s="401" t="s">
        <v>273</v>
      </c>
      <c r="L19" s="402">
        <v>308</v>
      </c>
      <c r="M19" s="402">
        <v>1147</v>
      </c>
      <c r="N19" s="403">
        <v>3.72402597402598</v>
      </c>
    </row>
    <row r="20" spans="1:14" s="400" customFormat="1" ht="15" customHeight="1" x14ac:dyDescent="0.2">
      <c r="A20" s="401" t="s">
        <v>274</v>
      </c>
      <c r="B20" s="402">
        <v>1863</v>
      </c>
      <c r="C20" s="402">
        <v>5496</v>
      </c>
      <c r="D20" s="403">
        <v>2.9500805152979099</v>
      </c>
      <c r="E20" s="404"/>
      <c r="F20" s="401" t="s">
        <v>274</v>
      </c>
      <c r="G20" s="402">
        <v>1822</v>
      </c>
      <c r="H20" s="402">
        <v>6405</v>
      </c>
      <c r="I20" s="403">
        <v>3.5153677277716802</v>
      </c>
      <c r="J20" s="279"/>
      <c r="K20" s="401" t="s">
        <v>274</v>
      </c>
      <c r="L20" s="402">
        <v>1943</v>
      </c>
      <c r="M20" s="402">
        <v>6818</v>
      </c>
      <c r="N20" s="403">
        <v>3.5090066906845099</v>
      </c>
    </row>
    <row r="21" spans="1:14" s="400" customFormat="1" ht="15" customHeight="1" x14ac:dyDescent="0.2">
      <c r="A21" s="401" t="s">
        <v>275</v>
      </c>
      <c r="B21" s="402">
        <v>2814</v>
      </c>
      <c r="C21" s="402">
        <v>7443</v>
      </c>
      <c r="D21" s="403">
        <v>2.6449893390191899</v>
      </c>
      <c r="E21" s="404"/>
      <c r="F21" s="401" t="s">
        <v>275</v>
      </c>
      <c r="G21" s="402">
        <v>2633</v>
      </c>
      <c r="H21" s="402">
        <v>7890</v>
      </c>
      <c r="I21" s="403">
        <v>2.99658184580327</v>
      </c>
      <c r="J21" s="279"/>
      <c r="K21" s="401" t="s">
        <v>275</v>
      </c>
      <c r="L21" s="402">
        <v>2707</v>
      </c>
      <c r="M21" s="402">
        <v>8242</v>
      </c>
      <c r="N21" s="403">
        <v>3.0446989287033599</v>
      </c>
    </row>
    <row r="22" spans="1:14" s="400" customFormat="1" ht="15" customHeight="1" x14ac:dyDescent="0.2">
      <c r="A22" s="401" t="s">
        <v>276</v>
      </c>
      <c r="B22" s="402">
        <v>5265</v>
      </c>
      <c r="C22" s="402">
        <v>14176</v>
      </c>
      <c r="D22" s="403">
        <v>2.6924976258309599</v>
      </c>
      <c r="E22" s="404"/>
      <c r="F22" s="401" t="s">
        <v>276</v>
      </c>
      <c r="G22" s="402">
        <v>5586</v>
      </c>
      <c r="H22" s="402">
        <v>15866</v>
      </c>
      <c r="I22" s="403">
        <v>2.8403150733977802</v>
      </c>
      <c r="J22" s="279"/>
      <c r="K22" s="401" t="s">
        <v>276</v>
      </c>
      <c r="L22" s="402">
        <v>5689</v>
      </c>
      <c r="M22" s="402">
        <v>16536</v>
      </c>
      <c r="N22" s="403">
        <v>2.90666197925822</v>
      </c>
    </row>
    <row r="23" spans="1:14" s="400" customFormat="1" ht="15" customHeight="1" x14ac:dyDescent="0.2">
      <c r="A23" s="401" t="s">
        <v>93</v>
      </c>
      <c r="B23" s="402">
        <v>9527</v>
      </c>
      <c r="C23" s="402">
        <v>26991</v>
      </c>
      <c r="D23" s="403">
        <v>2.8331059095203099</v>
      </c>
      <c r="F23" s="401" t="s">
        <v>93</v>
      </c>
      <c r="G23" s="402">
        <v>10513</v>
      </c>
      <c r="H23" s="402">
        <v>30527</v>
      </c>
      <c r="I23" s="403">
        <v>2.9037382288595102</v>
      </c>
      <c r="J23" s="279"/>
      <c r="K23" s="401" t="s">
        <v>93</v>
      </c>
      <c r="L23" s="402">
        <v>11266</v>
      </c>
      <c r="M23" s="402">
        <v>33706</v>
      </c>
      <c r="N23" s="403">
        <v>2.9918338363216801</v>
      </c>
    </row>
    <row r="24" spans="1:14" s="400" customFormat="1" ht="15" customHeight="1" x14ac:dyDescent="0.2">
      <c r="A24" s="401" t="s">
        <v>94</v>
      </c>
      <c r="B24" s="402">
        <v>18447</v>
      </c>
      <c r="C24" s="402">
        <v>58605</v>
      </c>
      <c r="D24" s="403">
        <v>3.1769393397300401</v>
      </c>
      <c r="F24" s="401" t="s">
        <v>94</v>
      </c>
      <c r="G24" s="402">
        <v>18758</v>
      </c>
      <c r="H24" s="402">
        <v>59611</v>
      </c>
      <c r="I24" s="403">
        <v>3.1778974304296801</v>
      </c>
      <c r="J24" s="279"/>
      <c r="K24" s="401" t="s">
        <v>94</v>
      </c>
      <c r="L24" s="402">
        <v>22119</v>
      </c>
      <c r="M24" s="402">
        <v>71214</v>
      </c>
      <c r="N24" s="403">
        <v>3.2195849721958498</v>
      </c>
    </row>
    <row r="25" spans="1:14" s="400" customFormat="1" ht="15" customHeight="1" x14ac:dyDescent="0.2">
      <c r="A25" s="401" t="s">
        <v>95</v>
      </c>
      <c r="B25" s="402">
        <v>31056</v>
      </c>
      <c r="C25" s="402">
        <v>103383</v>
      </c>
      <c r="D25" s="403">
        <v>3.32892194744977</v>
      </c>
      <c r="F25" s="401" t="s">
        <v>95</v>
      </c>
      <c r="G25" s="402">
        <v>30252</v>
      </c>
      <c r="H25" s="402">
        <v>101014</v>
      </c>
      <c r="I25" s="403">
        <v>3.3390850191722898</v>
      </c>
      <c r="J25" s="279"/>
      <c r="K25" s="401" t="s">
        <v>95</v>
      </c>
      <c r="L25" s="402">
        <v>31406</v>
      </c>
      <c r="M25" s="402">
        <v>105777</v>
      </c>
      <c r="N25" s="403">
        <v>3.3680506909507701</v>
      </c>
    </row>
    <row r="26" spans="1:14" s="400" customFormat="1" ht="15" customHeight="1" x14ac:dyDescent="0.2">
      <c r="A26" s="401" t="s">
        <v>96</v>
      </c>
      <c r="B26" s="402">
        <v>7798</v>
      </c>
      <c r="C26" s="402">
        <v>24953</v>
      </c>
      <c r="D26" s="403">
        <v>3.1999230571941499</v>
      </c>
      <c r="F26" s="401" t="s">
        <v>96</v>
      </c>
      <c r="G26" s="402">
        <v>9331</v>
      </c>
      <c r="H26" s="402">
        <v>30037</v>
      </c>
      <c r="I26" s="403">
        <v>3.2190547636909201</v>
      </c>
      <c r="J26" s="279"/>
      <c r="K26" s="401" t="s">
        <v>96</v>
      </c>
      <c r="L26" s="402">
        <v>10913</v>
      </c>
      <c r="M26" s="402">
        <v>35696</v>
      </c>
      <c r="N26" s="403">
        <v>3.2709612388894</v>
      </c>
    </row>
    <row r="27" spans="1:14" s="400" customFormat="1" ht="15" customHeight="1" x14ac:dyDescent="0.2">
      <c r="A27" s="401" t="s">
        <v>277</v>
      </c>
      <c r="B27" s="402">
        <v>1</v>
      </c>
      <c r="C27" s="402">
        <v>1</v>
      </c>
      <c r="D27" s="403">
        <v>1</v>
      </c>
      <c r="F27" s="401" t="s">
        <v>277</v>
      </c>
      <c r="G27" s="402">
        <v>0</v>
      </c>
      <c r="H27" s="390" t="s">
        <v>70</v>
      </c>
      <c r="I27" s="390" t="s">
        <v>70</v>
      </c>
      <c r="J27" s="279"/>
      <c r="K27" s="401" t="s">
        <v>277</v>
      </c>
      <c r="L27" s="402">
        <v>0</v>
      </c>
      <c r="M27" s="390" t="s">
        <v>70</v>
      </c>
      <c r="N27" s="406" t="s">
        <v>70</v>
      </c>
    </row>
    <row r="28" spans="1:14" s="400" customFormat="1" ht="15" customHeight="1" x14ac:dyDescent="0.2">
      <c r="A28" s="239" t="s">
        <v>3</v>
      </c>
      <c r="B28" s="304">
        <v>77772</v>
      </c>
      <c r="C28" s="304">
        <v>243183</v>
      </c>
      <c r="D28" s="326">
        <v>3.12687085326339</v>
      </c>
      <c r="E28" s="405"/>
      <c r="F28" s="239" t="s">
        <v>3</v>
      </c>
      <c r="G28" s="304">
        <v>79874</v>
      </c>
      <c r="H28" s="304">
        <v>253844</v>
      </c>
      <c r="I28" s="326">
        <v>3.1780554373137702</v>
      </c>
      <c r="J28" s="405"/>
      <c r="K28" s="239" t="s">
        <v>3</v>
      </c>
      <c r="L28" s="304">
        <v>86951</v>
      </c>
      <c r="M28" s="304">
        <v>280248</v>
      </c>
      <c r="N28" s="326">
        <v>3.2230566640981699</v>
      </c>
    </row>
    <row r="29" spans="1:14" s="400" customFormat="1" ht="15" customHeight="1" x14ac:dyDescent="0.2">
      <c r="A29" s="362" t="s">
        <v>2</v>
      </c>
      <c r="B29" s="113"/>
      <c r="C29" s="113"/>
      <c r="D29" s="113"/>
      <c r="E29" s="113"/>
      <c r="F29" s="362" t="s">
        <v>2</v>
      </c>
      <c r="G29" s="113"/>
      <c r="H29" s="113"/>
      <c r="I29" s="113"/>
      <c r="J29" s="113"/>
      <c r="K29" s="362" t="s">
        <v>2</v>
      </c>
      <c r="L29" s="113"/>
      <c r="M29" s="113"/>
      <c r="N29" s="113"/>
    </row>
    <row r="30" spans="1:14" s="400" customFormat="1" ht="15" customHeight="1" x14ac:dyDescent="0.2">
      <c r="A30" s="401" t="s">
        <v>272</v>
      </c>
      <c r="B30" s="402">
        <v>1482</v>
      </c>
      <c r="C30" s="402">
        <v>2470</v>
      </c>
      <c r="D30" s="403">
        <v>1.6666666666666701</v>
      </c>
      <c r="E30" s="404"/>
      <c r="F30" s="401" t="s">
        <v>272</v>
      </c>
      <c r="G30" s="402">
        <v>1434</v>
      </c>
      <c r="H30" s="402">
        <v>2448</v>
      </c>
      <c r="I30" s="403">
        <v>1.7071129707113</v>
      </c>
      <c r="J30" s="279"/>
      <c r="K30" s="401" t="s">
        <v>272</v>
      </c>
      <c r="L30" s="402">
        <v>1383</v>
      </c>
      <c r="M30" s="402">
        <v>2497</v>
      </c>
      <c r="N30" s="403">
        <v>1.80549530007231</v>
      </c>
    </row>
    <row r="31" spans="1:14" s="400" customFormat="1" ht="15" customHeight="1" x14ac:dyDescent="0.2">
      <c r="A31" s="401" t="s">
        <v>273</v>
      </c>
      <c r="B31" s="402">
        <v>1150</v>
      </c>
      <c r="C31" s="402">
        <v>3515</v>
      </c>
      <c r="D31" s="403">
        <v>3.05652173913044</v>
      </c>
      <c r="E31" s="404"/>
      <c r="F31" s="401" t="s">
        <v>273</v>
      </c>
      <c r="G31" s="402">
        <v>1264</v>
      </c>
      <c r="H31" s="402">
        <v>5005</v>
      </c>
      <c r="I31" s="403">
        <v>3.95965189873418</v>
      </c>
      <c r="J31" s="279"/>
      <c r="K31" s="401" t="s">
        <v>273</v>
      </c>
      <c r="L31" s="402">
        <v>1111</v>
      </c>
      <c r="M31" s="402">
        <v>4129</v>
      </c>
      <c r="N31" s="403">
        <v>3.7164716471647199</v>
      </c>
    </row>
    <row r="32" spans="1:14" s="400" customFormat="1" ht="15" customHeight="1" x14ac:dyDescent="0.2">
      <c r="A32" s="401" t="s">
        <v>274</v>
      </c>
      <c r="B32" s="402">
        <v>5520</v>
      </c>
      <c r="C32" s="402">
        <v>16879</v>
      </c>
      <c r="D32" s="403">
        <v>3.05778985507246</v>
      </c>
      <c r="E32" s="404"/>
      <c r="F32" s="401" t="s">
        <v>274</v>
      </c>
      <c r="G32" s="402">
        <v>5432</v>
      </c>
      <c r="H32" s="402">
        <v>20900</v>
      </c>
      <c r="I32" s="403">
        <v>3.8475699558173799</v>
      </c>
      <c r="J32" s="279"/>
      <c r="K32" s="401" t="s">
        <v>274</v>
      </c>
      <c r="L32" s="402">
        <v>5509</v>
      </c>
      <c r="M32" s="402">
        <v>20970</v>
      </c>
      <c r="N32" s="403">
        <v>3.80649845707025</v>
      </c>
    </row>
    <row r="33" spans="1:17" s="400" customFormat="1" ht="15" customHeight="1" x14ac:dyDescent="0.2">
      <c r="A33" s="401" t="s">
        <v>275</v>
      </c>
      <c r="B33" s="402">
        <v>7325</v>
      </c>
      <c r="C33" s="402">
        <v>20140</v>
      </c>
      <c r="D33" s="403">
        <v>2.74948805460751</v>
      </c>
      <c r="E33" s="404"/>
      <c r="F33" s="401" t="s">
        <v>275</v>
      </c>
      <c r="G33" s="402">
        <v>7045</v>
      </c>
      <c r="H33" s="402">
        <v>22729</v>
      </c>
      <c r="I33" s="403">
        <v>3.22625975869411</v>
      </c>
      <c r="J33" s="279"/>
      <c r="K33" s="401" t="s">
        <v>275</v>
      </c>
      <c r="L33" s="402">
        <v>7180</v>
      </c>
      <c r="M33" s="402">
        <v>23449</v>
      </c>
      <c r="N33" s="403">
        <v>3.2658774373259098</v>
      </c>
    </row>
    <row r="34" spans="1:17" s="400" customFormat="1" ht="15" customHeight="1" x14ac:dyDescent="0.2">
      <c r="A34" s="401" t="s">
        <v>276</v>
      </c>
      <c r="B34" s="402">
        <v>13911</v>
      </c>
      <c r="C34" s="402">
        <v>37853</v>
      </c>
      <c r="D34" s="403">
        <v>2.72108403421753</v>
      </c>
      <c r="E34" s="404"/>
      <c r="F34" s="401" t="s">
        <v>276</v>
      </c>
      <c r="G34" s="402">
        <v>14690</v>
      </c>
      <c r="H34" s="402">
        <v>43061</v>
      </c>
      <c r="I34" s="403">
        <v>2.9313138189244401</v>
      </c>
      <c r="J34" s="279"/>
      <c r="K34" s="401" t="s">
        <v>276</v>
      </c>
      <c r="L34" s="402">
        <v>14755</v>
      </c>
      <c r="M34" s="402">
        <v>45079</v>
      </c>
      <c r="N34" s="403">
        <v>3.0551677397492401</v>
      </c>
    </row>
    <row r="35" spans="1:17" s="400" customFormat="1" ht="15" customHeight="1" x14ac:dyDescent="0.2">
      <c r="A35" s="401" t="s">
        <v>93</v>
      </c>
      <c r="B35" s="402">
        <v>24534</v>
      </c>
      <c r="C35" s="402">
        <v>71266</v>
      </c>
      <c r="D35" s="403">
        <v>2.9047851960544602</v>
      </c>
      <c r="F35" s="401" t="s">
        <v>93</v>
      </c>
      <c r="G35" s="402">
        <v>26596</v>
      </c>
      <c r="H35" s="402">
        <v>79944</v>
      </c>
      <c r="I35" s="403">
        <v>3.00586554369078</v>
      </c>
      <c r="J35" s="279"/>
      <c r="K35" s="401" t="s">
        <v>93</v>
      </c>
      <c r="L35" s="402">
        <v>28530</v>
      </c>
      <c r="M35" s="402">
        <v>88029</v>
      </c>
      <c r="N35" s="403">
        <v>3.0854889589905401</v>
      </c>
    </row>
    <row r="36" spans="1:17" s="400" customFormat="1" ht="15" customHeight="1" x14ac:dyDescent="0.2">
      <c r="A36" s="401" t="s">
        <v>94</v>
      </c>
      <c r="B36" s="402">
        <v>40994</v>
      </c>
      <c r="C36" s="402">
        <v>132720</v>
      </c>
      <c r="D36" s="403">
        <v>3.2375469580914298</v>
      </c>
      <c r="F36" s="401" t="s">
        <v>94</v>
      </c>
      <c r="G36" s="402">
        <v>42616</v>
      </c>
      <c r="H36" s="402">
        <v>138262</v>
      </c>
      <c r="I36" s="403">
        <v>3.2443683123709399</v>
      </c>
      <c r="J36" s="279"/>
      <c r="K36" s="401" t="s">
        <v>94</v>
      </c>
      <c r="L36" s="402">
        <v>50608</v>
      </c>
      <c r="M36" s="402">
        <v>167701</v>
      </c>
      <c r="N36" s="403">
        <v>3.3137251027505501</v>
      </c>
    </row>
    <row r="37" spans="1:17" s="400" customFormat="1" ht="15" customHeight="1" x14ac:dyDescent="0.2">
      <c r="A37" s="401" t="s">
        <v>95</v>
      </c>
      <c r="B37" s="402">
        <v>53635</v>
      </c>
      <c r="C37" s="402">
        <v>181547</v>
      </c>
      <c r="D37" s="403">
        <v>3.3848606320499699</v>
      </c>
      <c r="F37" s="401" t="s">
        <v>95</v>
      </c>
      <c r="G37" s="402">
        <v>54313</v>
      </c>
      <c r="H37" s="402">
        <v>184267</v>
      </c>
      <c r="I37" s="403">
        <v>3.39268683372305</v>
      </c>
      <c r="J37" s="279"/>
      <c r="K37" s="401" t="s">
        <v>95</v>
      </c>
      <c r="L37" s="402">
        <v>58157</v>
      </c>
      <c r="M37" s="402">
        <v>200758</v>
      </c>
      <c r="N37" s="403">
        <v>3.4520006190140502</v>
      </c>
    </row>
    <row r="38" spans="1:17" s="400" customFormat="1" ht="15" customHeight="1" x14ac:dyDescent="0.2">
      <c r="A38" s="401" t="s">
        <v>96</v>
      </c>
      <c r="B38" s="402">
        <v>10616</v>
      </c>
      <c r="C38" s="402">
        <v>34463</v>
      </c>
      <c r="D38" s="403">
        <v>3.2463262999246401</v>
      </c>
      <c r="F38" s="401" t="s">
        <v>96</v>
      </c>
      <c r="G38" s="402">
        <v>13169</v>
      </c>
      <c r="H38" s="402">
        <v>43113</v>
      </c>
      <c r="I38" s="403">
        <v>3.27382489179133</v>
      </c>
      <c r="J38" s="279"/>
      <c r="K38" s="401" t="s">
        <v>96</v>
      </c>
      <c r="L38" s="402">
        <v>15897</v>
      </c>
      <c r="M38" s="402">
        <v>53265</v>
      </c>
      <c r="N38" s="403">
        <v>3.3506321947537301</v>
      </c>
    </row>
    <row r="39" spans="1:17" s="400" customFormat="1" ht="15" customHeight="1" x14ac:dyDescent="0.2">
      <c r="A39" s="401" t="s">
        <v>277</v>
      </c>
      <c r="B39" s="402">
        <v>2</v>
      </c>
      <c r="C39" s="402">
        <v>3</v>
      </c>
      <c r="D39" s="403">
        <v>1.5</v>
      </c>
      <c r="F39" s="401" t="s">
        <v>277</v>
      </c>
      <c r="G39" s="402">
        <v>1</v>
      </c>
      <c r="H39" s="402">
        <v>1</v>
      </c>
      <c r="I39" s="403">
        <v>1</v>
      </c>
      <c r="J39" s="279"/>
      <c r="K39" s="401" t="s">
        <v>277</v>
      </c>
      <c r="L39" s="402">
        <v>1</v>
      </c>
      <c r="M39" s="402">
        <v>1</v>
      </c>
      <c r="N39" s="403">
        <v>1</v>
      </c>
    </row>
    <row r="40" spans="1:17" s="400" customFormat="1" ht="15" customHeight="1" x14ac:dyDescent="0.2">
      <c r="A40" s="239" t="s">
        <v>3</v>
      </c>
      <c r="B40" s="304">
        <v>159169</v>
      </c>
      <c r="C40" s="304">
        <v>500856</v>
      </c>
      <c r="D40" s="326">
        <v>3.1466931374828002</v>
      </c>
      <c r="E40" s="405"/>
      <c r="F40" s="239" t="s">
        <v>3</v>
      </c>
      <c r="G40" s="304">
        <v>166560</v>
      </c>
      <c r="H40" s="304">
        <v>539730</v>
      </c>
      <c r="I40" s="326">
        <v>3.2404538904899098</v>
      </c>
      <c r="J40" s="405"/>
      <c r="K40" s="239" t="s">
        <v>3</v>
      </c>
      <c r="L40" s="304">
        <v>183131</v>
      </c>
      <c r="M40" s="304">
        <v>605878</v>
      </c>
      <c r="N40" s="326">
        <v>3.3084404060481298</v>
      </c>
    </row>
    <row r="41" spans="1:17" s="20" customFormat="1" ht="15" customHeight="1" x14ac:dyDescent="0.2">
      <c r="A41" s="20" t="s">
        <v>239</v>
      </c>
      <c r="B41" s="95"/>
      <c r="C41" s="86"/>
      <c r="D41" s="87"/>
      <c r="H41" s="95"/>
      <c r="I41" s="86"/>
      <c r="J41" s="87"/>
      <c r="N41" s="245"/>
      <c r="O41" s="246"/>
      <c r="P41" s="247"/>
      <c r="Q41" s="214"/>
    </row>
    <row r="42" spans="1:17" ht="15" customHeight="1" x14ac:dyDescent="0.2">
      <c r="A42" s="95" t="s">
        <v>4</v>
      </c>
    </row>
    <row r="43" spans="1:17" ht="15" customHeight="1" x14ac:dyDescent="0.2">
      <c r="A43" s="95" t="s">
        <v>623</v>
      </c>
    </row>
    <row r="44" spans="1:17" ht="39.950000000000003" customHeight="1" x14ac:dyDescent="0.2">
      <c r="A44" s="599" t="s">
        <v>36</v>
      </c>
      <c r="B44" s="600"/>
      <c r="C44" s="600"/>
      <c r="D44" s="600"/>
      <c r="E44" s="600"/>
      <c r="F44" s="600"/>
      <c r="G44" s="600"/>
      <c r="H44" s="600"/>
      <c r="I44" s="600"/>
      <c r="J44" s="600"/>
      <c r="K44" s="600"/>
      <c r="L44" s="600"/>
      <c r="M44" s="600"/>
      <c r="N44" s="600"/>
      <c r="O44" s="601"/>
    </row>
    <row r="45" spans="1:17" s="408" customFormat="1" ht="15" customHeight="1" x14ac:dyDescent="0.2">
      <c r="A45" s="409" t="s">
        <v>553</v>
      </c>
      <c r="B45" s="404"/>
      <c r="C45" s="404"/>
      <c r="D45" s="404"/>
      <c r="E45" s="404"/>
      <c r="F45" s="407"/>
      <c r="G45" s="404"/>
      <c r="H45" s="404"/>
      <c r="I45" s="404"/>
      <c r="J45" s="404"/>
      <c r="K45" s="407"/>
      <c r="L45" s="404"/>
      <c r="M45" s="404"/>
      <c r="N45" s="404"/>
    </row>
  </sheetData>
  <mergeCells count="4">
    <mergeCell ref="B3:D3"/>
    <mergeCell ref="G3:I3"/>
    <mergeCell ref="L3:N3"/>
    <mergeCell ref="A44:O44"/>
  </mergeCells>
  <hyperlinks>
    <hyperlink ref="A2" location="Contents!A1" display="Back to contents" xr:uid="{0D80763A-1CB9-40CC-8640-D26E7E8E13D5}"/>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0DA27-DC7F-499D-AEAE-3D7491BC8BFD}">
  <dimension ref="A1:O27"/>
  <sheetViews>
    <sheetView workbookViewId="0"/>
  </sheetViews>
  <sheetFormatPr defaultColWidth="8" defaultRowHeight="15" customHeight="1" x14ac:dyDescent="0.2"/>
  <cols>
    <col min="1" max="1" width="22.625" style="276" bestFit="1" customWidth="1"/>
    <col min="2" max="2" width="8" style="276"/>
    <col min="3" max="3" width="11.125" style="277" customWidth="1"/>
    <col min="4" max="16384" width="8" style="276"/>
  </cols>
  <sheetData>
    <row r="1" spans="1:15" ht="15" customHeight="1" x14ac:dyDescent="0.25">
      <c r="A1" s="275" t="s">
        <v>524</v>
      </c>
    </row>
    <row r="2" spans="1:15" s="199" customFormat="1" ht="15" customHeight="1" x14ac:dyDescent="0.2">
      <c r="A2" s="500" t="s">
        <v>585</v>
      </c>
    </row>
    <row r="3" spans="1:15" s="218" customFormat="1" ht="38.25" x14ac:dyDescent="0.2">
      <c r="A3" s="278" t="s">
        <v>396</v>
      </c>
      <c r="B3" s="250" t="s">
        <v>269</v>
      </c>
      <c r="C3" s="250" t="s">
        <v>395</v>
      </c>
      <c r="D3" s="249"/>
      <c r="E3" s="157"/>
      <c r="F3" s="157"/>
      <c r="G3" s="157"/>
      <c r="H3" s="157"/>
      <c r="I3" s="157"/>
      <c r="J3" s="157"/>
      <c r="K3" s="157"/>
      <c r="L3" s="157"/>
      <c r="M3" s="157"/>
      <c r="N3" s="157"/>
      <c r="O3" s="157"/>
    </row>
    <row r="4" spans="1:15" s="218" customFormat="1" ht="15" customHeight="1" x14ac:dyDescent="0.2">
      <c r="A4" s="27" t="s">
        <v>397</v>
      </c>
      <c r="B4" s="28">
        <v>12523</v>
      </c>
      <c r="C4" s="279">
        <v>3.6131917272219098</v>
      </c>
      <c r="D4" s="249"/>
      <c r="E4" s="157"/>
      <c r="F4" s="157"/>
      <c r="G4" s="157"/>
      <c r="H4" s="157"/>
      <c r="I4" s="157"/>
      <c r="J4" s="157"/>
      <c r="K4" s="157"/>
      <c r="L4" s="157"/>
      <c r="M4" s="157"/>
      <c r="N4" s="157"/>
      <c r="O4" s="157"/>
    </row>
    <row r="5" spans="1:15" s="218" customFormat="1" ht="15" customHeight="1" x14ac:dyDescent="0.2">
      <c r="A5" s="27" t="s">
        <v>398</v>
      </c>
      <c r="B5" s="28">
        <v>1321</v>
      </c>
      <c r="C5" s="279">
        <v>2.35957607872824</v>
      </c>
      <c r="D5" s="249"/>
      <c r="E5" s="157"/>
      <c r="F5" s="157"/>
      <c r="G5" s="157"/>
      <c r="H5" s="157"/>
      <c r="I5" s="157"/>
      <c r="J5" s="157"/>
      <c r="K5" s="157"/>
      <c r="L5" s="157"/>
      <c r="M5" s="157"/>
      <c r="N5" s="157"/>
      <c r="O5" s="157"/>
    </row>
    <row r="6" spans="1:15" s="218" customFormat="1" ht="15" customHeight="1" x14ac:dyDescent="0.2">
      <c r="A6" s="27" t="s">
        <v>114</v>
      </c>
      <c r="B6" s="28">
        <v>52347</v>
      </c>
      <c r="C6" s="279">
        <v>2.50812845053203</v>
      </c>
      <c r="D6" s="249"/>
      <c r="E6" s="157"/>
      <c r="F6" s="157"/>
      <c r="G6" s="157"/>
      <c r="H6" s="157"/>
      <c r="I6" s="157"/>
      <c r="J6" s="157"/>
      <c r="K6" s="157"/>
      <c r="L6" s="157"/>
      <c r="M6" s="157"/>
      <c r="N6" s="157"/>
      <c r="O6" s="157"/>
    </row>
    <row r="7" spans="1:15" s="218" customFormat="1" ht="15" customHeight="1" x14ac:dyDescent="0.2">
      <c r="A7" s="27" t="s">
        <v>399</v>
      </c>
      <c r="B7" s="28">
        <v>40541</v>
      </c>
      <c r="C7" s="279">
        <v>3.5522064083273701</v>
      </c>
      <c r="D7" s="249"/>
      <c r="E7" s="157"/>
      <c r="F7" s="157"/>
      <c r="G7" s="157"/>
      <c r="H7" s="157"/>
      <c r="I7" s="157"/>
      <c r="J7" s="157"/>
      <c r="K7" s="157"/>
      <c r="L7" s="157"/>
      <c r="M7" s="157"/>
      <c r="N7" s="157"/>
      <c r="O7" s="157"/>
    </row>
    <row r="8" spans="1:15" s="218" customFormat="1" ht="15" customHeight="1" x14ac:dyDescent="0.2">
      <c r="A8" s="27" t="s">
        <v>400</v>
      </c>
      <c r="B8" s="28">
        <v>11989</v>
      </c>
      <c r="C8" s="279">
        <v>3.4469930769872401</v>
      </c>
      <c r="D8" s="249"/>
      <c r="E8" s="157"/>
      <c r="F8" s="157"/>
      <c r="G8" s="157"/>
      <c r="H8" s="157"/>
      <c r="I8" s="157"/>
      <c r="J8" s="157"/>
      <c r="K8" s="157"/>
      <c r="L8" s="157"/>
      <c r="M8" s="157"/>
      <c r="N8" s="157"/>
      <c r="O8" s="157"/>
    </row>
    <row r="9" spans="1:15" s="218" customFormat="1" ht="15" customHeight="1" x14ac:dyDescent="0.2">
      <c r="A9" s="27" t="s">
        <v>401</v>
      </c>
      <c r="B9" s="28">
        <v>7672</v>
      </c>
      <c r="C9" s="279">
        <v>3.7155891553701799</v>
      </c>
      <c r="D9" s="249"/>
      <c r="E9" s="157"/>
      <c r="F9" s="157"/>
      <c r="G9" s="157"/>
      <c r="H9" s="157"/>
      <c r="I9" s="157"/>
      <c r="J9" s="157"/>
      <c r="K9" s="157"/>
      <c r="L9" s="157"/>
      <c r="M9" s="157"/>
      <c r="N9" s="157"/>
      <c r="O9" s="157"/>
    </row>
    <row r="10" spans="1:15" s="218" customFormat="1" ht="15" customHeight="1" x14ac:dyDescent="0.2">
      <c r="A10" s="27" t="s">
        <v>402</v>
      </c>
      <c r="B10" s="28">
        <v>22658</v>
      </c>
      <c r="C10" s="279">
        <v>3.0287315738370602</v>
      </c>
      <c r="D10" s="249"/>
      <c r="E10" s="157"/>
      <c r="F10" s="157"/>
      <c r="G10" s="157"/>
      <c r="H10" s="157"/>
      <c r="I10" s="157"/>
      <c r="J10" s="157"/>
      <c r="K10" s="157"/>
      <c r="L10" s="157"/>
      <c r="M10" s="157"/>
      <c r="N10" s="157"/>
      <c r="O10" s="157"/>
    </row>
    <row r="11" spans="1:15" s="218" customFormat="1" ht="15" customHeight="1" x14ac:dyDescent="0.2">
      <c r="A11" s="27" t="s">
        <v>403</v>
      </c>
      <c r="B11" s="28">
        <v>786</v>
      </c>
      <c r="C11" s="279">
        <v>3.63358778625954</v>
      </c>
      <c r="D11" s="249"/>
      <c r="E11" s="157"/>
      <c r="F11" s="157"/>
      <c r="G11" s="157"/>
      <c r="H11" s="157"/>
      <c r="I11" s="157"/>
      <c r="J11" s="157"/>
      <c r="K11" s="157"/>
      <c r="L11" s="157"/>
      <c r="M11" s="157"/>
      <c r="N11" s="157"/>
      <c r="O11" s="157"/>
    </row>
    <row r="12" spans="1:15" s="218" customFormat="1" ht="15" customHeight="1" x14ac:dyDescent="0.2">
      <c r="A12" s="27" t="s">
        <v>404</v>
      </c>
      <c r="B12" s="28">
        <v>7276</v>
      </c>
      <c r="C12" s="279">
        <v>4.4512094557449204</v>
      </c>
      <c r="D12" s="249"/>
      <c r="E12" s="157"/>
      <c r="F12" s="157"/>
      <c r="G12" s="157"/>
      <c r="H12" s="157"/>
      <c r="I12" s="157"/>
      <c r="J12" s="157"/>
      <c r="K12" s="157"/>
      <c r="L12" s="157"/>
      <c r="M12" s="157"/>
      <c r="N12" s="157"/>
      <c r="O12" s="157"/>
    </row>
    <row r="13" spans="1:15" s="218" customFormat="1" ht="15" customHeight="1" x14ac:dyDescent="0.2">
      <c r="A13" s="27" t="s">
        <v>405</v>
      </c>
      <c r="B13" s="28">
        <v>3903</v>
      </c>
      <c r="C13" s="279">
        <v>3.4568280809633598</v>
      </c>
      <c r="D13" s="249"/>
      <c r="E13" s="157"/>
      <c r="F13" s="157"/>
      <c r="G13" s="157"/>
      <c r="H13" s="157"/>
      <c r="I13" s="157"/>
      <c r="J13" s="157"/>
      <c r="K13" s="157"/>
      <c r="L13" s="157"/>
      <c r="M13" s="157"/>
      <c r="N13" s="157"/>
      <c r="O13" s="157"/>
    </row>
    <row r="14" spans="1:15" s="218" customFormat="1" ht="15" customHeight="1" x14ac:dyDescent="0.2">
      <c r="A14" s="27" t="s">
        <v>406</v>
      </c>
      <c r="B14" s="28">
        <v>90</v>
      </c>
      <c r="C14" s="279">
        <v>4.3444444444444503</v>
      </c>
      <c r="D14" s="249"/>
      <c r="E14" s="157"/>
      <c r="F14" s="157"/>
      <c r="G14" s="157"/>
      <c r="H14" s="157"/>
      <c r="I14" s="157"/>
      <c r="J14" s="157"/>
      <c r="K14" s="157"/>
      <c r="L14" s="157"/>
      <c r="M14" s="157"/>
      <c r="N14" s="157"/>
      <c r="O14" s="157"/>
    </row>
    <row r="15" spans="1:15" s="218" customFormat="1" ht="15" customHeight="1" x14ac:dyDescent="0.2">
      <c r="A15" s="27" t="s">
        <v>407</v>
      </c>
      <c r="B15" s="28">
        <v>1692</v>
      </c>
      <c r="C15" s="279">
        <v>4.6122931442080404</v>
      </c>
      <c r="D15" s="249"/>
      <c r="E15" s="157"/>
      <c r="F15" s="157"/>
      <c r="G15" s="157"/>
      <c r="H15" s="157"/>
      <c r="I15" s="157"/>
      <c r="J15" s="157"/>
      <c r="K15" s="157"/>
      <c r="L15" s="157"/>
      <c r="M15" s="157"/>
      <c r="N15" s="157"/>
      <c r="O15" s="157"/>
    </row>
    <row r="16" spans="1:15" s="218" customFormat="1" ht="15" customHeight="1" x14ac:dyDescent="0.2">
      <c r="A16" s="27" t="s">
        <v>408</v>
      </c>
      <c r="B16" s="28">
        <v>18</v>
      </c>
      <c r="C16" s="279">
        <v>4.94444444444445</v>
      </c>
      <c r="D16" s="249"/>
      <c r="E16" s="157"/>
      <c r="F16" s="157"/>
      <c r="G16" s="157"/>
      <c r="H16" s="157"/>
      <c r="I16" s="157"/>
      <c r="J16" s="157"/>
      <c r="K16" s="157"/>
      <c r="L16" s="157"/>
      <c r="M16" s="157"/>
      <c r="N16" s="157"/>
      <c r="O16" s="157"/>
    </row>
    <row r="17" spans="1:15" s="218" customFormat="1" ht="15" customHeight="1" x14ac:dyDescent="0.2">
      <c r="A17" s="27" t="s">
        <v>116</v>
      </c>
      <c r="B17" s="28">
        <v>764</v>
      </c>
      <c r="C17" s="279">
        <v>4.3900523560209397</v>
      </c>
      <c r="D17" s="249"/>
      <c r="E17" s="157"/>
      <c r="F17" s="157"/>
      <c r="G17" s="157"/>
      <c r="H17" s="157"/>
      <c r="I17" s="157"/>
      <c r="J17" s="157"/>
      <c r="K17" s="157"/>
      <c r="L17" s="157"/>
      <c r="M17" s="157"/>
      <c r="N17" s="157"/>
      <c r="O17" s="157"/>
    </row>
    <row r="18" spans="1:15" s="218" customFormat="1" ht="15" customHeight="1" x14ac:dyDescent="0.2">
      <c r="A18" s="27" t="s">
        <v>409</v>
      </c>
      <c r="B18" s="28">
        <v>51</v>
      </c>
      <c r="C18" s="279">
        <v>4.5490196078431397</v>
      </c>
      <c r="D18" s="249"/>
      <c r="E18" s="157"/>
      <c r="F18" s="157"/>
      <c r="G18" s="157"/>
      <c r="H18" s="157"/>
      <c r="I18" s="157"/>
      <c r="J18" s="157"/>
      <c r="K18" s="157"/>
      <c r="L18" s="157"/>
      <c r="M18" s="157"/>
      <c r="N18" s="157"/>
      <c r="O18" s="157"/>
    </row>
    <row r="19" spans="1:15" s="218" customFormat="1" ht="15" customHeight="1" x14ac:dyDescent="0.2">
      <c r="A19" s="27" t="s">
        <v>410</v>
      </c>
      <c r="B19" s="28">
        <v>1697</v>
      </c>
      <c r="C19" s="279">
        <v>4.2416028285209197</v>
      </c>
      <c r="D19" s="249"/>
      <c r="E19" s="157"/>
      <c r="F19" s="157"/>
      <c r="G19" s="157"/>
      <c r="H19" s="157"/>
      <c r="I19" s="157"/>
      <c r="J19" s="157"/>
      <c r="K19" s="157"/>
      <c r="L19" s="157"/>
      <c r="M19" s="157"/>
      <c r="N19" s="157"/>
      <c r="O19" s="157"/>
    </row>
    <row r="20" spans="1:15" s="218" customFormat="1" ht="15" customHeight="1" x14ac:dyDescent="0.2">
      <c r="A20" s="27" t="s">
        <v>411</v>
      </c>
      <c r="B20" s="28">
        <v>12441</v>
      </c>
      <c r="C20" s="279">
        <v>5.3759344104171696</v>
      </c>
      <c r="D20" s="249"/>
      <c r="E20" s="157"/>
      <c r="F20" s="157"/>
      <c r="G20" s="157"/>
      <c r="H20" s="157"/>
      <c r="I20" s="157"/>
      <c r="J20" s="157"/>
      <c r="K20" s="157"/>
      <c r="L20" s="157"/>
      <c r="M20" s="157"/>
      <c r="N20" s="157"/>
      <c r="O20" s="157"/>
    </row>
    <row r="21" spans="1:15" s="218" customFormat="1" ht="15" customHeight="1" x14ac:dyDescent="0.2">
      <c r="A21" s="27" t="s">
        <v>412</v>
      </c>
      <c r="B21" s="28">
        <v>2964</v>
      </c>
      <c r="C21" s="279">
        <v>2.1457489878542502</v>
      </c>
      <c r="D21" s="249"/>
      <c r="E21" s="157"/>
      <c r="F21" s="157"/>
      <c r="G21" s="157"/>
      <c r="H21" s="157"/>
      <c r="I21" s="157"/>
      <c r="J21" s="157"/>
      <c r="K21" s="157"/>
      <c r="L21" s="157"/>
      <c r="M21" s="157"/>
      <c r="N21" s="157"/>
      <c r="O21" s="157"/>
    </row>
    <row r="22" spans="1:15" s="218" customFormat="1" ht="15" customHeight="1" x14ac:dyDescent="0.2">
      <c r="A22" s="27" t="s">
        <v>330</v>
      </c>
      <c r="B22" s="28">
        <v>2398</v>
      </c>
      <c r="C22" s="279">
        <v>1.12927439532944</v>
      </c>
      <c r="D22" s="249"/>
      <c r="E22" s="157"/>
      <c r="F22" s="157"/>
      <c r="G22" s="157"/>
      <c r="H22" s="157"/>
      <c r="I22" s="157"/>
      <c r="J22" s="157"/>
      <c r="K22" s="157"/>
      <c r="L22" s="157"/>
      <c r="M22" s="157"/>
      <c r="N22" s="157"/>
      <c r="O22" s="157"/>
    </row>
    <row r="23" spans="1:15" s="218" customFormat="1" ht="15" customHeight="1" x14ac:dyDescent="0.2">
      <c r="A23" s="68" t="s">
        <v>67</v>
      </c>
      <c r="B23" s="69">
        <v>183131</v>
      </c>
      <c r="C23" s="48">
        <v>3.3</v>
      </c>
      <c r="D23" s="249"/>
      <c r="E23" s="157"/>
      <c r="F23" s="157"/>
      <c r="G23" s="157"/>
      <c r="H23" s="157"/>
      <c r="I23" s="157"/>
      <c r="J23" s="157"/>
      <c r="K23" s="157"/>
      <c r="L23" s="157"/>
      <c r="M23" s="157"/>
      <c r="N23" s="157"/>
      <c r="O23" s="157"/>
    </row>
    <row r="24" spans="1:15" s="12" customFormat="1" ht="15" customHeight="1" x14ac:dyDescent="0.2">
      <c r="A24" s="95" t="s">
        <v>4</v>
      </c>
      <c r="B24" s="95"/>
      <c r="C24" s="87"/>
      <c r="D24" s="88"/>
      <c r="E24" s="89"/>
      <c r="F24" s="86"/>
      <c r="G24" s="84"/>
      <c r="H24" s="86"/>
      <c r="I24" s="89"/>
      <c r="J24" s="29"/>
    </row>
    <row r="25" spans="1:15" s="12" customFormat="1" ht="15" customHeight="1" x14ac:dyDescent="0.2">
      <c r="A25" s="95" t="s">
        <v>286</v>
      </c>
      <c r="B25" s="95"/>
      <c r="C25" s="95"/>
      <c r="D25" s="95"/>
      <c r="E25" s="95"/>
      <c r="F25" s="95"/>
      <c r="G25" s="95"/>
      <c r="H25" s="95"/>
      <c r="I25" s="95"/>
      <c r="J25" s="95"/>
      <c r="K25" s="95"/>
      <c r="L25" s="95"/>
    </row>
    <row r="26" spans="1:15" s="218" customFormat="1" ht="15" customHeight="1" x14ac:dyDescent="0.2">
      <c r="A26" s="95" t="s">
        <v>551</v>
      </c>
      <c r="B26" s="95"/>
      <c r="C26" s="95"/>
      <c r="D26" s="95"/>
      <c r="E26" s="95"/>
      <c r="F26" s="95"/>
      <c r="G26" s="95"/>
      <c r="H26" s="95"/>
      <c r="I26" s="95"/>
      <c r="J26" s="95"/>
      <c r="K26" s="95"/>
      <c r="L26" s="95"/>
      <c r="M26" s="95"/>
    </row>
    <row r="27" spans="1:15" s="12" customFormat="1" ht="15" customHeight="1" x14ac:dyDescent="0.2">
      <c r="A27" s="218" t="s">
        <v>553</v>
      </c>
      <c r="B27" s="95"/>
      <c r="C27" s="87"/>
      <c r="D27" s="86"/>
      <c r="E27" s="89"/>
      <c r="F27" s="96"/>
      <c r="G27" s="97"/>
      <c r="H27" s="86"/>
      <c r="I27" s="89"/>
      <c r="J27" s="29"/>
    </row>
  </sheetData>
  <hyperlinks>
    <hyperlink ref="A2" location="Contents!A1" display="Back to contents" xr:uid="{3CCF794B-7A4C-40B3-84AA-D1C69BE43A76}"/>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7FFC2-DB84-4796-8AC7-B9ED8EA4E81B}">
  <dimension ref="A1:T230"/>
  <sheetViews>
    <sheetView workbookViewId="0">
      <pane ySplit="4" topLeftCell="A5" activePane="bottomLeft" state="frozen"/>
      <selection activeCell="A2" sqref="A2"/>
      <selection pane="bottomLeft" activeCell="A5" sqref="A5"/>
    </sheetView>
  </sheetViews>
  <sheetFormatPr defaultColWidth="8" defaultRowHeight="15" customHeight="1" x14ac:dyDescent="0.2"/>
  <cols>
    <col min="1" max="1" width="32.125" style="319" customWidth="1"/>
    <col min="2" max="2" width="11.125" style="319" customWidth="1"/>
    <col min="3" max="3" width="2.625" style="319" customWidth="1"/>
    <col min="4" max="6" width="11.125" style="319" customWidth="1"/>
    <col min="7" max="16384" width="8" style="319"/>
  </cols>
  <sheetData>
    <row r="1" spans="1:9" s="288" customFormat="1" ht="15" customHeight="1" x14ac:dyDescent="0.25">
      <c r="A1" s="275" t="s">
        <v>529</v>
      </c>
      <c r="B1" s="286"/>
      <c r="C1" s="286"/>
      <c r="D1" s="287"/>
      <c r="E1" s="283"/>
      <c r="F1" s="284"/>
      <c r="G1" s="285"/>
      <c r="H1" s="286"/>
      <c r="I1" s="287"/>
    </row>
    <row r="2" spans="1:9" s="199" customFormat="1" ht="15" customHeight="1" x14ac:dyDescent="0.2">
      <c r="A2" s="500" t="s">
        <v>585</v>
      </c>
    </row>
    <row r="3" spans="1:9" s="199" customFormat="1" ht="15" customHeight="1" x14ac:dyDescent="0.2">
      <c r="A3" s="382"/>
      <c r="B3" s="627" t="s">
        <v>270</v>
      </c>
      <c r="C3" s="382"/>
      <c r="D3" s="629" t="s">
        <v>413</v>
      </c>
      <c r="E3" s="629"/>
      <c r="F3" s="629"/>
    </row>
    <row r="4" spans="1:9" s="199" customFormat="1" ht="15" customHeight="1" x14ac:dyDescent="0.2">
      <c r="A4" s="383" t="s">
        <v>414</v>
      </c>
      <c r="B4" s="628"/>
      <c r="C4" s="19"/>
      <c r="D4" s="19" t="s">
        <v>339</v>
      </c>
      <c r="E4" s="19" t="s">
        <v>325</v>
      </c>
      <c r="F4" s="19" t="s">
        <v>324</v>
      </c>
    </row>
    <row r="5" spans="1:9" s="199" customFormat="1" ht="15" customHeight="1" x14ac:dyDescent="0.2">
      <c r="A5" s="384" t="s">
        <v>397</v>
      </c>
      <c r="B5" s="385">
        <v>49165</v>
      </c>
      <c r="C5" s="385"/>
      <c r="D5" s="386">
        <v>25.4713719109122</v>
      </c>
      <c r="E5" s="386">
        <v>64.196074443201496</v>
      </c>
      <c r="F5" s="386">
        <v>10.3325536458863</v>
      </c>
      <c r="G5" s="321"/>
    </row>
    <row r="6" spans="1:9" s="199" customFormat="1" ht="15" customHeight="1" x14ac:dyDescent="0.2">
      <c r="A6" s="387" t="s">
        <v>113</v>
      </c>
      <c r="B6" s="388">
        <v>148</v>
      </c>
      <c r="C6" s="388"/>
      <c r="D6" s="389">
        <v>36.486486486486498</v>
      </c>
      <c r="E6" s="389">
        <v>8.1081081081081106</v>
      </c>
      <c r="F6" s="389">
        <v>55.405405405405403</v>
      </c>
      <c r="G6" s="321"/>
    </row>
    <row r="7" spans="1:9" s="199" customFormat="1" ht="15" customHeight="1" x14ac:dyDescent="0.2">
      <c r="A7" s="387" t="s">
        <v>415</v>
      </c>
      <c r="B7" s="388">
        <v>92</v>
      </c>
      <c r="C7" s="388"/>
      <c r="D7" s="389">
        <v>40.2173913043478</v>
      </c>
      <c r="E7" s="389">
        <v>10.869565217391299</v>
      </c>
      <c r="F7" s="389">
        <v>48.913043478260903</v>
      </c>
      <c r="G7" s="321"/>
    </row>
    <row r="8" spans="1:9" s="199" customFormat="1" ht="15" customHeight="1" x14ac:dyDescent="0.2">
      <c r="A8" s="387" t="s">
        <v>365</v>
      </c>
      <c r="B8" s="388">
        <v>1035</v>
      </c>
      <c r="C8" s="388"/>
      <c r="D8" s="389">
        <v>8.9855072463768106</v>
      </c>
      <c r="E8" s="389">
        <v>84.057971014492793</v>
      </c>
      <c r="F8" s="389">
        <v>6.9565217391304399</v>
      </c>
      <c r="G8" s="321"/>
    </row>
    <row r="9" spans="1:9" s="199" customFormat="1" ht="15" customHeight="1" x14ac:dyDescent="0.2">
      <c r="A9" s="387" t="s">
        <v>301</v>
      </c>
      <c r="B9" s="388">
        <v>17512</v>
      </c>
      <c r="C9" s="388"/>
      <c r="D9" s="389">
        <v>15.5093650068524</v>
      </c>
      <c r="E9" s="389">
        <v>78.306304248515303</v>
      </c>
      <c r="F9" s="389">
        <v>6.1843307446322502</v>
      </c>
      <c r="G9" s="321"/>
    </row>
    <row r="10" spans="1:9" s="199" customFormat="1" ht="15" customHeight="1" x14ac:dyDescent="0.2">
      <c r="A10" s="387" t="s">
        <v>360</v>
      </c>
      <c r="B10" s="388">
        <v>568</v>
      </c>
      <c r="C10" s="388"/>
      <c r="D10" s="389">
        <v>76.584507042253506</v>
      </c>
      <c r="E10" s="389">
        <v>9.8591549295774694</v>
      </c>
      <c r="F10" s="389">
        <v>13.556338028169</v>
      </c>
      <c r="G10" s="321"/>
    </row>
    <row r="11" spans="1:9" s="199" customFormat="1" ht="15" customHeight="1" x14ac:dyDescent="0.2">
      <c r="A11" s="387" t="s">
        <v>390</v>
      </c>
      <c r="B11" s="388">
        <v>4581</v>
      </c>
      <c r="C11" s="388"/>
      <c r="D11" s="389">
        <v>24.776249727133798</v>
      </c>
      <c r="E11" s="389">
        <v>56.144946518227499</v>
      </c>
      <c r="F11" s="389">
        <v>19.078803754638699</v>
      </c>
      <c r="G11" s="321"/>
    </row>
    <row r="12" spans="1:9" s="199" customFormat="1" ht="15" customHeight="1" x14ac:dyDescent="0.2">
      <c r="A12" s="387" t="s">
        <v>321</v>
      </c>
      <c r="B12" s="388">
        <v>6753</v>
      </c>
      <c r="C12" s="388"/>
      <c r="D12" s="389">
        <v>74.055975122167894</v>
      </c>
      <c r="E12" s="389">
        <v>4.3980453131941397</v>
      </c>
      <c r="F12" s="389">
        <v>21.5459795646379</v>
      </c>
      <c r="G12" s="321"/>
    </row>
    <row r="13" spans="1:9" s="199" customFormat="1" ht="15" customHeight="1" x14ac:dyDescent="0.2">
      <c r="A13" s="387" t="s">
        <v>319</v>
      </c>
      <c r="B13" s="388">
        <v>13726</v>
      </c>
      <c r="C13" s="388"/>
      <c r="D13" s="389">
        <v>12.013696634125001</v>
      </c>
      <c r="E13" s="389">
        <v>84.503861285152297</v>
      </c>
      <c r="F13" s="389">
        <v>3.4824420807227199</v>
      </c>
      <c r="G13" s="321"/>
    </row>
    <row r="14" spans="1:9" s="199" customFormat="1" ht="15" customHeight="1" x14ac:dyDescent="0.2">
      <c r="A14" s="387" t="s">
        <v>416</v>
      </c>
      <c r="B14" s="388">
        <v>51</v>
      </c>
      <c r="C14" s="388"/>
      <c r="D14" s="389">
        <v>23.529411764705898</v>
      </c>
      <c r="E14" s="389">
        <v>25.490196078431399</v>
      </c>
      <c r="F14" s="389">
        <v>50.980392156862798</v>
      </c>
      <c r="G14" s="321"/>
    </row>
    <row r="15" spans="1:9" s="199" customFormat="1" ht="15" customHeight="1" x14ac:dyDescent="0.2">
      <c r="A15" s="387" t="s">
        <v>417</v>
      </c>
      <c r="B15" s="388">
        <v>957</v>
      </c>
      <c r="C15" s="388"/>
      <c r="D15" s="389">
        <v>41.588296760710598</v>
      </c>
      <c r="E15" s="389">
        <v>40.020898641588303</v>
      </c>
      <c r="F15" s="389">
        <v>18.390804597701202</v>
      </c>
      <c r="G15" s="321"/>
    </row>
    <row r="16" spans="1:9" s="199" customFormat="1" ht="15" customHeight="1" x14ac:dyDescent="0.2">
      <c r="A16" s="387" t="s">
        <v>344</v>
      </c>
      <c r="B16" s="388">
        <v>3742</v>
      </c>
      <c r="C16" s="388"/>
      <c r="D16" s="389">
        <v>26.5366114377338</v>
      </c>
      <c r="E16" s="389">
        <v>54.436130411544603</v>
      </c>
      <c r="F16" s="389">
        <v>19.027258150721501</v>
      </c>
      <c r="G16" s="321"/>
    </row>
    <row r="17" spans="1:7" s="199" customFormat="1" ht="15" customHeight="1" x14ac:dyDescent="0.2">
      <c r="A17" s="384" t="s">
        <v>398</v>
      </c>
      <c r="B17" s="385">
        <v>1923</v>
      </c>
      <c r="C17" s="385"/>
      <c r="D17" s="386">
        <v>68.694747789911602</v>
      </c>
      <c r="E17" s="386">
        <v>6.6042641705668297</v>
      </c>
      <c r="F17" s="386">
        <v>24.700988039521601</v>
      </c>
      <c r="G17" s="321"/>
    </row>
    <row r="18" spans="1:7" s="199" customFormat="1" ht="15" customHeight="1" x14ac:dyDescent="0.2">
      <c r="A18" s="387" t="s">
        <v>340</v>
      </c>
      <c r="B18" s="388">
        <v>1910</v>
      </c>
      <c r="C18" s="388"/>
      <c r="D18" s="389">
        <v>68.481675392670198</v>
      </c>
      <c r="E18" s="389">
        <v>6.6492146596858701</v>
      </c>
      <c r="F18" s="389">
        <v>24.869109947643999</v>
      </c>
      <c r="G18" s="321"/>
    </row>
    <row r="19" spans="1:7" s="199" customFormat="1" ht="15" customHeight="1" x14ac:dyDescent="0.2">
      <c r="A19" s="387" t="s">
        <v>362</v>
      </c>
      <c r="B19" s="388">
        <v>13</v>
      </c>
      <c r="C19" s="388"/>
      <c r="D19" s="389">
        <v>100</v>
      </c>
      <c r="E19" s="390" t="s">
        <v>70</v>
      </c>
      <c r="F19" s="390" t="s">
        <v>70</v>
      </c>
      <c r="G19" s="321"/>
    </row>
    <row r="20" spans="1:7" s="199" customFormat="1" ht="15" customHeight="1" x14ac:dyDescent="0.2">
      <c r="A20" s="384" t="s">
        <v>114</v>
      </c>
      <c r="B20" s="385">
        <v>73541</v>
      </c>
      <c r="C20" s="385"/>
      <c r="D20" s="386">
        <v>71.180701921377207</v>
      </c>
      <c r="E20" s="386">
        <v>14.594579894208699</v>
      </c>
      <c r="F20" s="386">
        <v>14.224718184414099</v>
      </c>
      <c r="G20" s="321"/>
    </row>
    <row r="21" spans="1:7" s="199" customFormat="1" ht="15" customHeight="1" x14ac:dyDescent="0.2">
      <c r="A21" s="387" t="s">
        <v>418</v>
      </c>
      <c r="B21" s="388">
        <v>311</v>
      </c>
      <c r="C21" s="388"/>
      <c r="D21" s="389">
        <v>68.488745980707407</v>
      </c>
      <c r="E21" s="389">
        <v>6.1093247588424502</v>
      </c>
      <c r="F21" s="389">
        <v>25.401929260450199</v>
      </c>
      <c r="G21" s="321"/>
    </row>
    <row r="22" spans="1:7" s="199" customFormat="1" ht="15" customHeight="1" x14ac:dyDescent="0.2">
      <c r="A22" s="387" t="s">
        <v>387</v>
      </c>
      <c r="B22" s="388">
        <v>1542</v>
      </c>
      <c r="C22" s="388"/>
      <c r="D22" s="389">
        <v>90.337224383917004</v>
      </c>
      <c r="E22" s="389">
        <v>2.9182879377431901</v>
      </c>
      <c r="F22" s="389">
        <v>6.7444876783398202</v>
      </c>
      <c r="G22" s="321"/>
    </row>
    <row r="23" spans="1:7" s="199" customFormat="1" ht="15" customHeight="1" x14ac:dyDescent="0.2">
      <c r="A23" s="387" t="s">
        <v>419</v>
      </c>
      <c r="B23" s="388">
        <v>1304</v>
      </c>
      <c r="C23" s="388"/>
      <c r="D23" s="389">
        <v>91.027607361963206</v>
      </c>
      <c r="E23" s="389">
        <v>3.1441717791411001</v>
      </c>
      <c r="F23" s="389">
        <v>5.8282208588957101</v>
      </c>
      <c r="G23" s="321"/>
    </row>
    <row r="24" spans="1:7" s="199" customFormat="1" ht="15" customHeight="1" x14ac:dyDescent="0.2">
      <c r="A24" s="387" t="s">
        <v>323</v>
      </c>
      <c r="B24" s="388">
        <v>6608</v>
      </c>
      <c r="C24" s="388"/>
      <c r="D24" s="389">
        <v>81.295399515738495</v>
      </c>
      <c r="E24" s="389">
        <v>3.6773607748183998</v>
      </c>
      <c r="F24" s="389">
        <v>15.0272397094431</v>
      </c>
      <c r="G24" s="321"/>
    </row>
    <row r="25" spans="1:7" s="199" customFormat="1" ht="15" customHeight="1" x14ac:dyDescent="0.2">
      <c r="A25" s="387" t="s">
        <v>337</v>
      </c>
      <c r="B25" s="388">
        <v>2618</v>
      </c>
      <c r="C25" s="388"/>
      <c r="D25" s="389">
        <v>90.718105423987794</v>
      </c>
      <c r="E25" s="389">
        <v>3.2467532467532498</v>
      </c>
      <c r="F25" s="389">
        <v>6.0351413292589804</v>
      </c>
      <c r="G25" s="321"/>
    </row>
    <row r="26" spans="1:7" s="199" customFormat="1" ht="15" customHeight="1" x14ac:dyDescent="0.2">
      <c r="A26" s="387" t="s">
        <v>420</v>
      </c>
      <c r="B26" s="388">
        <v>367</v>
      </c>
      <c r="C26" s="388"/>
      <c r="D26" s="389">
        <v>86.103542234332394</v>
      </c>
      <c r="E26" s="389">
        <v>8.9918256130790208</v>
      </c>
      <c r="F26" s="389">
        <v>4.9046321525885599</v>
      </c>
      <c r="G26" s="321"/>
    </row>
    <row r="27" spans="1:7" s="199" customFormat="1" ht="15" customHeight="1" x14ac:dyDescent="0.2">
      <c r="A27" s="387" t="s">
        <v>316</v>
      </c>
      <c r="B27" s="388">
        <v>3908</v>
      </c>
      <c r="C27" s="388"/>
      <c r="D27" s="389">
        <v>95.291709314227205</v>
      </c>
      <c r="E27" s="389">
        <v>1.5609007164790201</v>
      </c>
      <c r="F27" s="389">
        <v>3.1473899692937599</v>
      </c>
      <c r="G27" s="321"/>
    </row>
    <row r="28" spans="1:7" s="199" customFormat="1" ht="15" customHeight="1" x14ac:dyDescent="0.2">
      <c r="A28" s="387" t="s">
        <v>306</v>
      </c>
      <c r="B28" s="388">
        <v>10135</v>
      </c>
      <c r="C28" s="388"/>
      <c r="D28" s="389">
        <v>88.564380858411496</v>
      </c>
      <c r="E28" s="389">
        <v>3.79871731623088</v>
      </c>
      <c r="F28" s="389">
        <v>7.6369018253576701</v>
      </c>
      <c r="G28" s="321"/>
    </row>
    <row r="29" spans="1:7" s="199" customFormat="1" ht="15" customHeight="1" x14ac:dyDescent="0.2">
      <c r="A29" s="387" t="s">
        <v>421</v>
      </c>
      <c r="B29" s="388">
        <v>742</v>
      </c>
      <c r="C29" s="388"/>
      <c r="D29" s="389">
        <v>92.722371967654993</v>
      </c>
      <c r="E29" s="389">
        <v>2.1563342318059302</v>
      </c>
      <c r="F29" s="389">
        <v>5.12129380053908</v>
      </c>
      <c r="G29" s="321"/>
    </row>
    <row r="30" spans="1:7" s="199" customFormat="1" ht="15" customHeight="1" x14ac:dyDescent="0.2">
      <c r="A30" s="387" t="s">
        <v>384</v>
      </c>
      <c r="B30" s="388">
        <v>2008</v>
      </c>
      <c r="C30" s="388"/>
      <c r="D30" s="389">
        <v>76.045816733067696</v>
      </c>
      <c r="E30" s="389">
        <v>6.5737051792828698</v>
      </c>
      <c r="F30" s="389">
        <v>17.380478087649401</v>
      </c>
      <c r="G30" s="321"/>
    </row>
    <row r="31" spans="1:7" s="199" customFormat="1" ht="15" customHeight="1" x14ac:dyDescent="0.2">
      <c r="A31" s="387" t="s">
        <v>422</v>
      </c>
      <c r="B31" s="388">
        <v>1247</v>
      </c>
      <c r="C31" s="388"/>
      <c r="D31" s="389">
        <v>61.186848436246997</v>
      </c>
      <c r="E31" s="389">
        <v>7.6984763432237404</v>
      </c>
      <c r="F31" s="389">
        <v>31.1146752205293</v>
      </c>
      <c r="G31" s="321"/>
    </row>
    <row r="32" spans="1:7" s="199" customFormat="1" ht="15" customHeight="1" x14ac:dyDescent="0.2">
      <c r="A32" s="387" t="s">
        <v>313</v>
      </c>
      <c r="B32" s="388">
        <v>4492</v>
      </c>
      <c r="C32" s="388"/>
      <c r="D32" s="389">
        <v>72.551202137132705</v>
      </c>
      <c r="E32" s="389">
        <v>4.5636687444345503</v>
      </c>
      <c r="F32" s="389">
        <v>22.885129118432801</v>
      </c>
      <c r="G32" s="321"/>
    </row>
    <row r="33" spans="1:7" s="199" customFormat="1" ht="15" customHeight="1" x14ac:dyDescent="0.2">
      <c r="A33" s="387" t="s">
        <v>423</v>
      </c>
      <c r="B33" s="388">
        <v>299</v>
      </c>
      <c r="C33" s="388"/>
      <c r="D33" s="389">
        <v>88.628762541805997</v>
      </c>
      <c r="E33" s="389">
        <v>4.01337792642141</v>
      </c>
      <c r="F33" s="389">
        <v>7.3578595317725801</v>
      </c>
      <c r="G33" s="321"/>
    </row>
    <row r="34" spans="1:7" s="199" customFormat="1" ht="15" customHeight="1" x14ac:dyDescent="0.2">
      <c r="A34" s="387" t="s">
        <v>424</v>
      </c>
      <c r="B34" s="388">
        <v>764</v>
      </c>
      <c r="C34" s="388"/>
      <c r="D34" s="389">
        <v>84.162303664921495</v>
      </c>
      <c r="E34" s="389">
        <v>4.45026178010471</v>
      </c>
      <c r="F34" s="389">
        <v>11.387434554973799</v>
      </c>
      <c r="G34" s="321"/>
    </row>
    <row r="35" spans="1:7" s="199" customFormat="1" ht="15" customHeight="1" x14ac:dyDescent="0.2">
      <c r="A35" s="387" t="s">
        <v>332</v>
      </c>
      <c r="B35" s="388">
        <v>1129</v>
      </c>
      <c r="C35" s="388"/>
      <c r="D35" s="389">
        <v>92.559787422497806</v>
      </c>
      <c r="E35" s="389">
        <v>2.6572187776793599</v>
      </c>
      <c r="F35" s="389">
        <v>4.78299379982285</v>
      </c>
      <c r="G35" s="321"/>
    </row>
    <row r="36" spans="1:7" s="199" customFormat="1" ht="15" customHeight="1" x14ac:dyDescent="0.2">
      <c r="A36" s="387" t="s">
        <v>318</v>
      </c>
      <c r="B36" s="388">
        <v>5840</v>
      </c>
      <c r="C36" s="388"/>
      <c r="D36" s="389">
        <v>63.801369863013697</v>
      </c>
      <c r="E36" s="389">
        <v>5.4623287671232896</v>
      </c>
      <c r="F36" s="389">
        <v>30.736301369863</v>
      </c>
      <c r="G36" s="321"/>
    </row>
    <row r="37" spans="1:7" s="199" customFormat="1" ht="15" customHeight="1" x14ac:dyDescent="0.2">
      <c r="A37" s="387" t="s">
        <v>425</v>
      </c>
      <c r="B37" s="388">
        <v>1708</v>
      </c>
      <c r="C37" s="388"/>
      <c r="D37" s="389">
        <v>69.320843091334893</v>
      </c>
      <c r="E37" s="389">
        <v>6.5573770491803298</v>
      </c>
      <c r="F37" s="389">
        <v>24.1217798594848</v>
      </c>
      <c r="G37" s="321"/>
    </row>
    <row r="38" spans="1:7" s="199" customFormat="1" ht="15" customHeight="1" x14ac:dyDescent="0.2">
      <c r="A38" s="387" t="s">
        <v>426</v>
      </c>
      <c r="B38" s="388">
        <v>1384</v>
      </c>
      <c r="C38" s="388"/>
      <c r="D38" s="389">
        <v>73.482658959537602</v>
      </c>
      <c r="E38" s="389">
        <v>5.1300578034682101</v>
      </c>
      <c r="F38" s="389">
        <v>21.3872832369942</v>
      </c>
      <c r="G38" s="321"/>
    </row>
    <row r="39" spans="1:7" s="199" customFormat="1" ht="15" customHeight="1" x14ac:dyDescent="0.2">
      <c r="A39" s="387" t="s">
        <v>342</v>
      </c>
      <c r="B39" s="388">
        <v>1700</v>
      </c>
      <c r="C39" s="388"/>
      <c r="D39" s="389">
        <v>95.588235294117695</v>
      </c>
      <c r="E39" s="389">
        <v>1.3529411764705901</v>
      </c>
      <c r="F39" s="389">
        <v>3.0588235294117698</v>
      </c>
      <c r="G39" s="321"/>
    </row>
    <row r="40" spans="1:7" s="199" customFormat="1" ht="15" customHeight="1" x14ac:dyDescent="0.2">
      <c r="A40" s="387" t="s">
        <v>427</v>
      </c>
      <c r="B40" s="388">
        <v>264</v>
      </c>
      <c r="C40" s="388"/>
      <c r="D40" s="389">
        <v>72.348484848484901</v>
      </c>
      <c r="E40" s="389">
        <v>4.5454545454545503</v>
      </c>
      <c r="F40" s="389">
        <v>23.106060606060598</v>
      </c>
      <c r="G40" s="321"/>
    </row>
    <row r="41" spans="1:7" s="199" customFormat="1" ht="15" customHeight="1" x14ac:dyDescent="0.2">
      <c r="A41" s="387" t="s">
        <v>388</v>
      </c>
      <c r="B41" s="388">
        <v>2428</v>
      </c>
      <c r="C41" s="388"/>
      <c r="D41" s="389">
        <v>71.869851729818805</v>
      </c>
      <c r="E41" s="389">
        <v>8.0313014827018101</v>
      </c>
      <c r="F41" s="389">
        <v>20.098846787479399</v>
      </c>
      <c r="G41" s="321"/>
    </row>
    <row r="42" spans="1:7" s="199" customFormat="1" ht="15" customHeight="1" x14ac:dyDescent="0.2">
      <c r="A42" s="387" t="s">
        <v>428</v>
      </c>
      <c r="B42" s="388">
        <v>129</v>
      </c>
      <c r="C42" s="388"/>
      <c r="D42" s="389">
        <v>63.565891472868202</v>
      </c>
      <c r="E42" s="389">
        <v>7.7519379844961298</v>
      </c>
      <c r="F42" s="389">
        <v>28.682170542635699</v>
      </c>
      <c r="G42" s="321"/>
    </row>
    <row r="43" spans="1:7" s="199" customFormat="1" ht="15" customHeight="1" x14ac:dyDescent="0.2">
      <c r="A43" s="387" t="s">
        <v>429</v>
      </c>
      <c r="B43" s="388">
        <v>1504</v>
      </c>
      <c r="C43" s="388"/>
      <c r="D43" s="389">
        <v>77.194148936170194</v>
      </c>
      <c r="E43" s="389">
        <v>5.6515957446808498</v>
      </c>
      <c r="F43" s="389">
        <v>17.154255319148898</v>
      </c>
      <c r="G43" s="321"/>
    </row>
    <row r="44" spans="1:7" s="199" customFormat="1" ht="15" customHeight="1" x14ac:dyDescent="0.2">
      <c r="A44" s="387" t="s">
        <v>430</v>
      </c>
      <c r="B44" s="388">
        <v>1803</v>
      </c>
      <c r="C44" s="388"/>
      <c r="D44" s="389">
        <v>45.646145313366603</v>
      </c>
      <c r="E44" s="389">
        <v>24.6810870770937</v>
      </c>
      <c r="F44" s="389">
        <v>29.672767609539701</v>
      </c>
      <c r="G44" s="321"/>
    </row>
    <row r="45" spans="1:7" s="199" customFormat="1" ht="15" customHeight="1" x14ac:dyDescent="0.2">
      <c r="A45" s="387" t="s">
        <v>305</v>
      </c>
      <c r="B45" s="388">
        <v>3488</v>
      </c>
      <c r="C45" s="388"/>
      <c r="D45" s="389">
        <v>85.263761467889907</v>
      </c>
      <c r="E45" s="389">
        <v>5.4185779816513797</v>
      </c>
      <c r="F45" s="389">
        <v>9.3176605504587204</v>
      </c>
      <c r="G45" s="321"/>
    </row>
    <row r="46" spans="1:7" s="199" customFormat="1" ht="15" customHeight="1" x14ac:dyDescent="0.2">
      <c r="A46" s="387" t="s">
        <v>431</v>
      </c>
      <c r="B46" s="388">
        <v>433</v>
      </c>
      <c r="C46" s="388"/>
      <c r="D46" s="389">
        <v>60.508083140877602</v>
      </c>
      <c r="E46" s="389">
        <v>12.009237875288701</v>
      </c>
      <c r="F46" s="389">
        <v>27.482678983833701</v>
      </c>
      <c r="G46" s="321"/>
    </row>
    <row r="47" spans="1:7" s="199" customFormat="1" ht="15" customHeight="1" x14ac:dyDescent="0.2">
      <c r="A47" s="387" t="s">
        <v>376</v>
      </c>
      <c r="B47" s="388">
        <v>1361</v>
      </c>
      <c r="C47" s="388"/>
      <c r="D47" s="389">
        <v>87.950036737692898</v>
      </c>
      <c r="E47" s="389">
        <v>7.9353416605437204</v>
      </c>
      <c r="F47" s="389">
        <v>4.1146216017634103</v>
      </c>
      <c r="G47" s="321"/>
    </row>
    <row r="48" spans="1:7" s="199" customFormat="1" ht="15" customHeight="1" x14ac:dyDescent="0.2">
      <c r="A48" s="387" t="s">
        <v>432</v>
      </c>
      <c r="B48" s="388">
        <v>178</v>
      </c>
      <c r="C48" s="388"/>
      <c r="D48" s="389">
        <v>55.056179775280903</v>
      </c>
      <c r="E48" s="389">
        <v>6.1797752808988804</v>
      </c>
      <c r="F48" s="389">
        <v>38.764044943820203</v>
      </c>
      <c r="G48" s="321"/>
    </row>
    <row r="49" spans="1:7" s="199" customFormat="1" ht="15" customHeight="1" x14ac:dyDescent="0.2">
      <c r="A49" s="387" t="s">
        <v>363</v>
      </c>
      <c r="B49" s="388">
        <v>111</v>
      </c>
      <c r="C49" s="388"/>
      <c r="D49" s="389">
        <v>86.486486486486498</v>
      </c>
      <c r="E49" s="389">
        <v>4.50450450450451</v>
      </c>
      <c r="F49" s="389">
        <v>9.0090090090090094</v>
      </c>
      <c r="G49" s="321"/>
    </row>
    <row r="50" spans="1:7" s="199" customFormat="1" ht="15" customHeight="1" x14ac:dyDescent="0.2">
      <c r="A50" s="387" t="s">
        <v>433</v>
      </c>
      <c r="B50" s="388">
        <v>689</v>
      </c>
      <c r="C50" s="388"/>
      <c r="D50" s="389">
        <v>44.557329462989799</v>
      </c>
      <c r="E50" s="389">
        <v>12.9172714078375</v>
      </c>
      <c r="F50" s="389">
        <v>42.525399129172698</v>
      </c>
      <c r="G50" s="321"/>
    </row>
    <row r="51" spans="1:7" s="199" customFormat="1" ht="15" customHeight="1" x14ac:dyDescent="0.2">
      <c r="A51" s="387" t="s">
        <v>434</v>
      </c>
      <c r="B51" s="388">
        <v>495</v>
      </c>
      <c r="C51" s="388"/>
      <c r="D51" s="389">
        <v>70.505050505050505</v>
      </c>
      <c r="E51" s="389">
        <v>11.7171717171717</v>
      </c>
      <c r="F51" s="389">
        <v>17.7777777777778</v>
      </c>
      <c r="G51" s="321"/>
    </row>
    <row r="52" spans="1:7" s="199" customFormat="1" ht="15" customHeight="1" x14ac:dyDescent="0.2">
      <c r="A52" s="387" t="s">
        <v>386</v>
      </c>
      <c r="B52" s="388">
        <v>1329</v>
      </c>
      <c r="C52" s="388"/>
      <c r="D52" s="389">
        <v>83.822422874341598</v>
      </c>
      <c r="E52" s="389">
        <v>3.6869826937546999</v>
      </c>
      <c r="F52" s="389">
        <v>12.4905944319037</v>
      </c>
      <c r="G52" s="321"/>
    </row>
    <row r="53" spans="1:7" s="199" customFormat="1" ht="15" customHeight="1" x14ac:dyDescent="0.2">
      <c r="A53" s="387" t="s">
        <v>297</v>
      </c>
      <c r="B53" s="388">
        <v>7771</v>
      </c>
      <c r="C53" s="388"/>
      <c r="D53" s="390" t="s">
        <v>70</v>
      </c>
      <c r="E53" s="389">
        <v>92.767983528503393</v>
      </c>
      <c r="F53" s="389">
        <v>7.23201647149659</v>
      </c>
      <c r="G53" s="321"/>
    </row>
    <row r="54" spans="1:7" s="199" customFormat="1" ht="15" customHeight="1" x14ac:dyDescent="0.2">
      <c r="A54" s="387" t="s">
        <v>331</v>
      </c>
      <c r="B54" s="388">
        <v>2648</v>
      </c>
      <c r="C54" s="388"/>
      <c r="D54" s="389">
        <v>86.442598187311205</v>
      </c>
      <c r="E54" s="389">
        <v>4.53172205438067</v>
      </c>
      <c r="F54" s="389">
        <v>9.0256797583081596</v>
      </c>
      <c r="G54" s="321"/>
    </row>
    <row r="55" spans="1:7" s="199" customFormat="1" ht="15" customHeight="1" x14ac:dyDescent="0.2">
      <c r="A55" s="387" t="s">
        <v>435</v>
      </c>
      <c r="B55" s="388">
        <v>804</v>
      </c>
      <c r="C55" s="388"/>
      <c r="D55" s="389">
        <v>44.900497512437802</v>
      </c>
      <c r="E55" s="389">
        <v>16.6666666666667</v>
      </c>
      <c r="F55" s="389">
        <v>38.432835820895498</v>
      </c>
      <c r="G55" s="321"/>
    </row>
    <row r="56" spans="1:7" s="199" customFormat="1" ht="15" customHeight="1" x14ac:dyDescent="0.2">
      <c r="A56" s="384" t="s">
        <v>399</v>
      </c>
      <c r="B56" s="385">
        <v>143555</v>
      </c>
      <c r="C56" s="385"/>
      <c r="D56" s="386">
        <v>28.2407439657274</v>
      </c>
      <c r="E56" s="386">
        <v>31.107937724217201</v>
      </c>
      <c r="F56" s="386">
        <v>40.651318310055402</v>
      </c>
      <c r="G56" s="321"/>
    </row>
    <row r="57" spans="1:7" s="199" customFormat="1" ht="15" customHeight="1" x14ac:dyDescent="0.2">
      <c r="A57" s="387" t="s">
        <v>315</v>
      </c>
      <c r="B57" s="388">
        <v>35106</v>
      </c>
      <c r="C57" s="388"/>
      <c r="D57" s="389">
        <v>48.202586452458299</v>
      </c>
      <c r="E57" s="389">
        <v>18.657779296986298</v>
      </c>
      <c r="F57" s="389">
        <v>33.139634250555503</v>
      </c>
      <c r="G57" s="321"/>
    </row>
    <row r="58" spans="1:7" s="199" customFormat="1" ht="15" customHeight="1" x14ac:dyDescent="0.2">
      <c r="A58" s="387" t="s">
        <v>120</v>
      </c>
      <c r="B58" s="388">
        <v>20009</v>
      </c>
      <c r="C58" s="388"/>
      <c r="D58" s="389">
        <v>46.773951721725197</v>
      </c>
      <c r="E58" s="389">
        <v>29.596681493327999</v>
      </c>
      <c r="F58" s="389">
        <v>23.6293667849468</v>
      </c>
      <c r="G58" s="321"/>
    </row>
    <row r="59" spans="1:7" s="199" customFormat="1" ht="15" customHeight="1" x14ac:dyDescent="0.2">
      <c r="A59" s="387" t="s">
        <v>436</v>
      </c>
      <c r="B59" s="388">
        <v>772</v>
      </c>
      <c r="C59" s="388"/>
      <c r="D59" s="389">
        <v>38.989637305699503</v>
      </c>
      <c r="E59" s="389">
        <v>13.6010362694301</v>
      </c>
      <c r="F59" s="389">
        <v>47.4093264248705</v>
      </c>
      <c r="G59" s="321"/>
    </row>
    <row r="60" spans="1:7" s="199" customFormat="1" ht="15" customHeight="1" x14ac:dyDescent="0.2">
      <c r="A60" s="387" t="s">
        <v>294</v>
      </c>
      <c r="B60" s="388">
        <v>5119</v>
      </c>
      <c r="C60" s="388"/>
      <c r="D60" s="389">
        <v>33.756593084586797</v>
      </c>
      <c r="E60" s="389">
        <v>23.520218792733001</v>
      </c>
      <c r="F60" s="389">
        <v>42.723188122680199</v>
      </c>
      <c r="G60" s="321"/>
    </row>
    <row r="61" spans="1:7" s="199" customFormat="1" ht="15" customHeight="1" x14ac:dyDescent="0.2">
      <c r="A61" s="387" t="s">
        <v>292</v>
      </c>
      <c r="B61" s="388">
        <v>17224</v>
      </c>
      <c r="C61" s="388"/>
      <c r="D61" s="389">
        <v>14.485601486298201</v>
      </c>
      <c r="E61" s="389">
        <v>28.024849047840199</v>
      </c>
      <c r="F61" s="389">
        <v>57.4895494658616</v>
      </c>
      <c r="G61" s="321"/>
    </row>
    <row r="62" spans="1:7" s="199" customFormat="1" ht="15" customHeight="1" x14ac:dyDescent="0.2">
      <c r="A62" s="387" t="s">
        <v>437</v>
      </c>
      <c r="B62" s="388">
        <v>1040</v>
      </c>
      <c r="C62" s="388"/>
      <c r="D62" s="389">
        <v>31.153846153846199</v>
      </c>
      <c r="E62" s="389">
        <v>58.461538461538503</v>
      </c>
      <c r="F62" s="389">
        <v>10.384615384615399</v>
      </c>
      <c r="G62" s="321"/>
    </row>
    <row r="63" spans="1:7" s="199" customFormat="1" ht="15" customHeight="1" x14ac:dyDescent="0.2">
      <c r="A63" s="387" t="s">
        <v>380</v>
      </c>
      <c r="B63" s="388">
        <v>2739</v>
      </c>
      <c r="C63" s="388"/>
      <c r="D63" s="389">
        <v>41.401971522453501</v>
      </c>
      <c r="E63" s="389">
        <v>24.461482292807599</v>
      </c>
      <c r="F63" s="389">
        <v>34.136546184738997</v>
      </c>
      <c r="G63" s="321"/>
    </row>
    <row r="64" spans="1:7" s="199" customFormat="1" ht="15" customHeight="1" x14ac:dyDescent="0.2">
      <c r="A64" s="387" t="s">
        <v>438</v>
      </c>
      <c r="B64" s="388">
        <v>1715</v>
      </c>
      <c r="C64" s="388"/>
      <c r="D64" s="389">
        <v>60.699708454810498</v>
      </c>
      <c r="E64" s="389">
        <v>8.5714285714285694</v>
      </c>
      <c r="F64" s="389">
        <v>30.728862973760901</v>
      </c>
      <c r="G64" s="321"/>
    </row>
    <row r="65" spans="1:7" s="199" customFormat="1" ht="15" customHeight="1" x14ac:dyDescent="0.2">
      <c r="A65" s="387" t="s">
        <v>290</v>
      </c>
      <c r="B65" s="388">
        <v>3961</v>
      </c>
      <c r="C65" s="388"/>
      <c r="D65" s="389">
        <v>20.121181519818201</v>
      </c>
      <c r="E65" s="389">
        <v>26.054026760919001</v>
      </c>
      <c r="F65" s="389">
        <v>53.824791719262798</v>
      </c>
      <c r="G65" s="321"/>
    </row>
    <row r="66" spans="1:7" s="199" customFormat="1" ht="15" customHeight="1" x14ac:dyDescent="0.2">
      <c r="A66" s="387" t="s">
        <v>383</v>
      </c>
      <c r="B66" s="388">
        <v>2307</v>
      </c>
      <c r="C66" s="388"/>
      <c r="D66" s="389">
        <v>9.6662332032943201</v>
      </c>
      <c r="E66" s="389">
        <v>72.605114867793702</v>
      </c>
      <c r="F66" s="389">
        <v>17.728651928912001</v>
      </c>
      <c r="G66" s="321"/>
    </row>
    <row r="67" spans="1:7" s="199" customFormat="1" ht="15" customHeight="1" x14ac:dyDescent="0.2">
      <c r="A67" s="387" t="s">
        <v>122</v>
      </c>
      <c r="B67" s="388">
        <v>3450</v>
      </c>
      <c r="C67" s="388"/>
      <c r="D67" s="389">
        <v>10.4347826086957</v>
      </c>
      <c r="E67" s="389">
        <v>51.043478260869598</v>
      </c>
      <c r="F67" s="389">
        <v>38.521739130434803</v>
      </c>
      <c r="G67" s="321"/>
    </row>
    <row r="68" spans="1:7" s="199" customFormat="1" ht="15" customHeight="1" x14ac:dyDescent="0.2">
      <c r="A68" s="387" t="s">
        <v>439</v>
      </c>
      <c r="B68" s="388">
        <v>1335</v>
      </c>
      <c r="C68" s="388"/>
      <c r="D68" s="389">
        <v>4.56928838951311</v>
      </c>
      <c r="E68" s="389">
        <v>53.558052434456897</v>
      </c>
      <c r="F68" s="389">
        <v>41.872659176029998</v>
      </c>
      <c r="G68" s="321"/>
    </row>
    <row r="69" spans="1:7" s="199" customFormat="1" ht="15" customHeight="1" x14ac:dyDescent="0.2">
      <c r="A69" s="387" t="s">
        <v>320</v>
      </c>
      <c r="B69" s="388">
        <v>22854</v>
      </c>
      <c r="C69" s="388"/>
      <c r="D69" s="389">
        <v>3.49173011289052</v>
      </c>
      <c r="E69" s="389">
        <v>31.119278900848901</v>
      </c>
      <c r="F69" s="389">
        <v>65.388990986260595</v>
      </c>
      <c r="G69" s="321"/>
    </row>
    <row r="70" spans="1:7" s="199" customFormat="1" ht="15" customHeight="1" x14ac:dyDescent="0.2">
      <c r="A70" s="387" t="s">
        <v>525</v>
      </c>
      <c r="B70" s="388">
        <v>636</v>
      </c>
      <c r="C70" s="388"/>
      <c r="D70" s="389">
        <v>69.025157232704402</v>
      </c>
      <c r="E70" s="389">
        <v>26.100628930817599</v>
      </c>
      <c r="F70" s="389">
        <v>4.8742138364779901</v>
      </c>
      <c r="G70" s="321"/>
    </row>
    <row r="71" spans="1:7" s="199" customFormat="1" ht="15" customHeight="1" x14ac:dyDescent="0.2">
      <c r="A71" s="387" t="s">
        <v>317</v>
      </c>
      <c r="B71" s="388">
        <v>13725</v>
      </c>
      <c r="C71" s="388"/>
      <c r="D71" s="389">
        <v>13.879781420764999</v>
      </c>
      <c r="E71" s="389">
        <v>53.282331511839701</v>
      </c>
      <c r="F71" s="389">
        <v>32.8378870673953</v>
      </c>
      <c r="G71" s="321"/>
    </row>
    <row r="72" spans="1:7" s="199" customFormat="1" ht="15" customHeight="1" x14ac:dyDescent="0.2">
      <c r="A72" s="387" t="s">
        <v>296</v>
      </c>
      <c r="B72" s="388">
        <v>11563</v>
      </c>
      <c r="C72" s="388"/>
      <c r="D72" s="389">
        <v>22.9525209720661</v>
      </c>
      <c r="E72" s="389">
        <v>41.944132145636999</v>
      </c>
      <c r="F72" s="389">
        <v>35.103346882296997</v>
      </c>
      <c r="G72" s="321"/>
    </row>
    <row r="73" spans="1:7" s="199" customFormat="1" ht="15" customHeight="1" x14ac:dyDescent="0.2">
      <c r="A73" s="384" t="s">
        <v>400</v>
      </c>
      <c r="B73" s="385">
        <v>46967</v>
      </c>
      <c r="C73" s="385"/>
      <c r="D73" s="386">
        <v>25.5264334532757</v>
      </c>
      <c r="E73" s="386">
        <v>47.77609811144</v>
      </c>
      <c r="F73" s="386">
        <v>26.697468435284399</v>
      </c>
      <c r="G73" s="321"/>
    </row>
    <row r="74" spans="1:7" s="199" customFormat="1" ht="15" customHeight="1" x14ac:dyDescent="0.2">
      <c r="A74" s="387" t="s">
        <v>124</v>
      </c>
      <c r="B74" s="388">
        <v>2520</v>
      </c>
      <c r="C74" s="388"/>
      <c r="D74" s="389">
        <v>18.8095238095238</v>
      </c>
      <c r="E74" s="389">
        <v>14.4047619047619</v>
      </c>
      <c r="F74" s="389">
        <v>66.785714285714306</v>
      </c>
      <c r="G74" s="321"/>
    </row>
    <row r="75" spans="1:7" s="199" customFormat="1" ht="15" customHeight="1" x14ac:dyDescent="0.2">
      <c r="A75" s="387" t="s">
        <v>322</v>
      </c>
      <c r="B75" s="388">
        <v>17882</v>
      </c>
      <c r="C75" s="388"/>
      <c r="D75" s="389">
        <v>41.460686724080098</v>
      </c>
      <c r="E75" s="389">
        <v>14.9983223353093</v>
      </c>
      <c r="F75" s="389">
        <v>43.540990940610698</v>
      </c>
      <c r="G75" s="321"/>
    </row>
    <row r="76" spans="1:7" s="199" customFormat="1" ht="15" customHeight="1" x14ac:dyDescent="0.2">
      <c r="A76" s="387" t="s">
        <v>389</v>
      </c>
      <c r="B76" s="388">
        <v>3119</v>
      </c>
      <c r="C76" s="388"/>
      <c r="D76" s="389">
        <v>53.1580634818852</v>
      </c>
      <c r="E76" s="389">
        <v>22.0583520359089</v>
      </c>
      <c r="F76" s="389">
        <v>24.7835844822058</v>
      </c>
      <c r="G76" s="321"/>
    </row>
    <row r="77" spans="1:7" s="199" customFormat="1" ht="15" customHeight="1" x14ac:dyDescent="0.2">
      <c r="A77" s="387" t="s">
        <v>440</v>
      </c>
      <c r="B77" s="388">
        <v>147</v>
      </c>
      <c r="C77" s="388"/>
      <c r="D77" s="389">
        <v>25.850340136054399</v>
      </c>
      <c r="E77" s="389">
        <v>51.700680272108897</v>
      </c>
      <c r="F77" s="389">
        <v>22.4489795918367</v>
      </c>
      <c r="G77" s="321"/>
    </row>
    <row r="78" spans="1:7" s="199" customFormat="1" ht="15" customHeight="1" x14ac:dyDescent="0.2">
      <c r="A78" s="387" t="s">
        <v>441</v>
      </c>
      <c r="B78" s="388">
        <v>388</v>
      </c>
      <c r="C78" s="388"/>
      <c r="D78" s="389">
        <v>32.731958762886599</v>
      </c>
      <c r="E78" s="389">
        <v>15.721649484536099</v>
      </c>
      <c r="F78" s="389">
        <v>51.5463917525773</v>
      </c>
      <c r="G78" s="321"/>
    </row>
    <row r="79" spans="1:7" s="199" customFormat="1" ht="15" customHeight="1" x14ac:dyDescent="0.2">
      <c r="A79" s="387" t="s">
        <v>293</v>
      </c>
      <c r="B79" s="388">
        <v>7187</v>
      </c>
      <c r="C79" s="388"/>
      <c r="D79" s="389">
        <v>1.1826909698065999</v>
      </c>
      <c r="E79" s="389">
        <v>96.451927090580199</v>
      </c>
      <c r="F79" s="389">
        <v>2.3653819396131901</v>
      </c>
      <c r="G79" s="321"/>
    </row>
    <row r="80" spans="1:7" s="199" customFormat="1" ht="15" customHeight="1" x14ac:dyDescent="0.2">
      <c r="A80" s="387" t="s">
        <v>442</v>
      </c>
      <c r="B80" s="388">
        <v>1820</v>
      </c>
      <c r="C80" s="388"/>
      <c r="D80" s="389">
        <v>2.63736263736264</v>
      </c>
      <c r="E80" s="389">
        <v>89.065934065934101</v>
      </c>
      <c r="F80" s="389">
        <v>8.2967032967032992</v>
      </c>
      <c r="G80" s="321"/>
    </row>
    <row r="81" spans="1:7" s="199" customFormat="1" ht="15" customHeight="1" x14ac:dyDescent="0.2">
      <c r="A81" s="387" t="s">
        <v>443</v>
      </c>
      <c r="B81" s="388">
        <v>1208</v>
      </c>
      <c r="C81" s="388"/>
      <c r="D81" s="389">
        <v>6.7880794701986797</v>
      </c>
      <c r="E81" s="389">
        <v>71.854304635761594</v>
      </c>
      <c r="F81" s="389">
        <v>21.3576158940397</v>
      </c>
      <c r="G81" s="321"/>
    </row>
    <row r="82" spans="1:7" s="199" customFormat="1" ht="15" customHeight="1" x14ac:dyDescent="0.2">
      <c r="A82" s="387" t="s">
        <v>302</v>
      </c>
      <c r="B82" s="388">
        <v>9588</v>
      </c>
      <c r="C82" s="388"/>
      <c r="D82" s="389">
        <v>13.089278264497301</v>
      </c>
      <c r="E82" s="389">
        <v>81.789737171464296</v>
      </c>
      <c r="F82" s="389">
        <v>5.1209845640383804</v>
      </c>
      <c r="G82" s="321"/>
    </row>
    <row r="83" spans="1:7" s="199" customFormat="1" ht="15" customHeight="1" x14ac:dyDescent="0.2">
      <c r="A83" s="387" t="s">
        <v>359</v>
      </c>
      <c r="B83" s="388">
        <v>3108</v>
      </c>
      <c r="C83" s="388"/>
      <c r="D83" s="389">
        <v>25.997425997425999</v>
      </c>
      <c r="E83" s="389">
        <v>42.020592020591998</v>
      </c>
      <c r="F83" s="389">
        <v>31.981981981981999</v>
      </c>
      <c r="G83" s="321"/>
    </row>
    <row r="84" spans="1:7" s="199" customFormat="1" ht="15" customHeight="1" x14ac:dyDescent="0.2">
      <c r="A84" s="384" t="s">
        <v>401</v>
      </c>
      <c r="B84" s="385">
        <v>23141</v>
      </c>
      <c r="C84" s="385"/>
      <c r="D84" s="386">
        <v>33.153277732163701</v>
      </c>
      <c r="E84" s="386">
        <v>39.518603344712901</v>
      </c>
      <c r="F84" s="386">
        <v>27.328118923123501</v>
      </c>
      <c r="G84" s="321"/>
    </row>
    <row r="85" spans="1:7" s="199" customFormat="1" ht="15" customHeight="1" x14ac:dyDescent="0.2">
      <c r="A85" s="387" t="s">
        <v>444</v>
      </c>
      <c r="B85" s="388">
        <v>719</v>
      </c>
      <c r="C85" s="388"/>
      <c r="D85" s="389">
        <v>45.897079276773297</v>
      </c>
      <c r="E85" s="389">
        <v>28.094575799721799</v>
      </c>
      <c r="F85" s="389">
        <v>26.0083449235049</v>
      </c>
      <c r="G85" s="321"/>
    </row>
    <row r="86" spans="1:7" s="199" customFormat="1" ht="15" customHeight="1" x14ac:dyDescent="0.2">
      <c r="A86" s="387" t="s">
        <v>445</v>
      </c>
      <c r="B86" s="388">
        <v>356</v>
      </c>
      <c r="C86" s="388"/>
      <c r="D86" s="389">
        <v>65.449438202247194</v>
      </c>
      <c r="E86" s="389">
        <v>11.235955056179799</v>
      </c>
      <c r="F86" s="389">
        <v>23.314606741573002</v>
      </c>
      <c r="G86" s="321"/>
    </row>
    <row r="87" spans="1:7" s="199" customFormat="1" ht="15" customHeight="1" x14ac:dyDescent="0.2">
      <c r="A87" s="387" t="s">
        <v>446</v>
      </c>
      <c r="B87" s="388">
        <v>1186</v>
      </c>
      <c r="C87" s="388"/>
      <c r="D87" s="389">
        <v>36.930860033726802</v>
      </c>
      <c r="E87" s="389">
        <v>54.215851602023598</v>
      </c>
      <c r="F87" s="389">
        <v>8.8532883642495808</v>
      </c>
      <c r="G87" s="321"/>
    </row>
    <row r="88" spans="1:7" s="199" customFormat="1" ht="15" customHeight="1" x14ac:dyDescent="0.2">
      <c r="A88" s="387" t="s">
        <v>526</v>
      </c>
      <c r="B88" s="388">
        <v>2813</v>
      </c>
      <c r="C88" s="388"/>
      <c r="D88" s="389">
        <v>32.705296836118002</v>
      </c>
      <c r="E88" s="389">
        <v>57.803057234269502</v>
      </c>
      <c r="F88" s="389">
        <v>9.4916459296125204</v>
      </c>
      <c r="G88" s="321"/>
    </row>
    <row r="89" spans="1:7" s="199" customFormat="1" ht="15" customHeight="1" x14ac:dyDescent="0.2">
      <c r="A89" s="387" t="s">
        <v>447</v>
      </c>
      <c r="B89" s="388">
        <v>561</v>
      </c>
      <c r="C89" s="388"/>
      <c r="D89" s="389">
        <v>19.429590017825301</v>
      </c>
      <c r="E89" s="389">
        <v>28.698752228164</v>
      </c>
      <c r="F89" s="389">
        <v>51.871657754010698</v>
      </c>
      <c r="G89" s="321"/>
    </row>
    <row r="90" spans="1:7" s="199" customFormat="1" ht="15" customHeight="1" x14ac:dyDescent="0.2">
      <c r="A90" s="387" t="s">
        <v>448</v>
      </c>
      <c r="B90" s="388">
        <v>796</v>
      </c>
      <c r="C90" s="388"/>
      <c r="D90" s="389">
        <v>39.321608040200999</v>
      </c>
      <c r="E90" s="389">
        <v>11.557788944723599</v>
      </c>
      <c r="F90" s="389">
        <v>49.120603015075403</v>
      </c>
      <c r="G90" s="321"/>
    </row>
    <row r="91" spans="1:7" s="199" customFormat="1" ht="15" customHeight="1" x14ac:dyDescent="0.2">
      <c r="A91" s="387" t="s">
        <v>287</v>
      </c>
      <c r="B91" s="388">
        <v>6822</v>
      </c>
      <c r="C91" s="388"/>
      <c r="D91" s="389">
        <v>39.211374963353897</v>
      </c>
      <c r="E91" s="389">
        <v>29.800644972148898</v>
      </c>
      <c r="F91" s="389">
        <v>30.987980064497201</v>
      </c>
      <c r="G91" s="321"/>
    </row>
    <row r="92" spans="1:7" s="199" customFormat="1" ht="15" customHeight="1" x14ac:dyDescent="0.2">
      <c r="A92" s="387" t="s">
        <v>449</v>
      </c>
      <c r="B92" s="388">
        <v>1479</v>
      </c>
      <c r="C92" s="388"/>
      <c r="D92" s="389">
        <v>47.261663286004101</v>
      </c>
      <c r="E92" s="389">
        <v>33.536173089925597</v>
      </c>
      <c r="F92" s="389">
        <v>19.202163624070302</v>
      </c>
      <c r="G92" s="321"/>
    </row>
    <row r="93" spans="1:7" s="199" customFormat="1" ht="15" customHeight="1" x14ac:dyDescent="0.2">
      <c r="A93" s="387" t="s">
        <v>450</v>
      </c>
      <c r="B93" s="388">
        <v>791</v>
      </c>
      <c r="C93" s="388"/>
      <c r="D93" s="389">
        <v>40.075853350189597</v>
      </c>
      <c r="E93" s="389">
        <v>24.652338811630901</v>
      </c>
      <c r="F93" s="389">
        <v>35.271807838179498</v>
      </c>
      <c r="G93" s="321"/>
    </row>
    <row r="94" spans="1:7" s="199" customFormat="1" ht="15" customHeight="1" x14ac:dyDescent="0.2">
      <c r="A94" s="387" t="s">
        <v>451</v>
      </c>
      <c r="B94" s="388">
        <v>1555</v>
      </c>
      <c r="C94" s="388"/>
      <c r="D94" s="389">
        <v>12.6688102893891</v>
      </c>
      <c r="E94" s="389">
        <v>9.8392282958199395</v>
      </c>
      <c r="F94" s="389">
        <v>77.491961414791007</v>
      </c>
      <c r="G94" s="321"/>
    </row>
    <row r="95" spans="1:7" s="199" customFormat="1" ht="15" customHeight="1" x14ac:dyDescent="0.2">
      <c r="A95" s="387" t="s">
        <v>385</v>
      </c>
      <c r="B95" s="388">
        <v>3552</v>
      </c>
      <c r="C95" s="388"/>
      <c r="D95" s="389">
        <v>24.099099099099099</v>
      </c>
      <c r="E95" s="389">
        <v>62.950450450450496</v>
      </c>
      <c r="F95" s="389">
        <v>12.9504504504505</v>
      </c>
      <c r="G95" s="321"/>
    </row>
    <row r="96" spans="1:7" s="199" customFormat="1" ht="15" customHeight="1" x14ac:dyDescent="0.2">
      <c r="A96" s="387" t="s">
        <v>452</v>
      </c>
      <c r="B96" s="388">
        <v>590</v>
      </c>
      <c r="C96" s="388"/>
      <c r="D96" s="389">
        <v>11.864406779661</v>
      </c>
      <c r="E96" s="389">
        <v>77.966101694915295</v>
      </c>
      <c r="F96" s="389">
        <v>10.1694915254237</v>
      </c>
      <c r="G96" s="321"/>
    </row>
    <row r="97" spans="1:7" s="199" customFormat="1" ht="15" customHeight="1" x14ac:dyDescent="0.2">
      <c r="A97" s="387" t="s">
        <v>453</v>
      </c>
      <c r="B97" s="388">
        <v>1921</v>
      </c>
      <c r="C97" s="388"/>
      <c r="D97" s="389">
        <v>26.8089536699636</v>
      </c>
      <c r="E97" s="389">
        <v>42.061426340447703</v>
      </c>
      <c r="F97" s="389">
        <v>31.1296199895888</v>
      </c>
      <c r="G97" s="321"/>
    </row>
    <row r="98" spans="1:7" s="199" customFormat="1" ht="15" customHeight="1" x14ac:dyDescent="0.2">
      <c r="A98" s="384" t="s">
        <v>402</v>
      </c>
      <c r="B98" s="385">
        <v>46248</v>
      </c>
      <c r="C98" s="385"/>
      <c r="D98" s="386">
        <v>48.992388860058803</v>
      </c>
      <c r="E98" s="386">
        <v>17.929423975090799</v>
      </c>
      <c r="F98" s="386">
        <v>33.078187164850398</v>
      </c>
      <c r="G98" s="321"/>
    </row>
    <row r="99" spans="1:7" s="199" customFormat="1" ht="15" customHeight="1" x14ac:dyDescent="0.2">
      <c r="A99" s="387" t="s">
        <v>350</v>
      </c>
      <c r="B99" s="388">
        <v>1419</v>
      </c>
      <c r="C99" s="388"/>
      <c r="D99" s="389">
        <v>21.634954193093701</v>
      </c>
      <c r="E99" s="389">
        <v>23.537702607470099</v>
      </c>
      <c r="F99" s="389">
        <v>54.8273431994362</v>
      </c>
      <c r="G99" s="321"/>
    </row>
    <row r="100" spans="1:7" s="199" customFormat="1" ht="15" customHeight="1" x14ac:dyDescent="0.2">
      <c r="A100" s="387" t="s">
        <v>304</v>
      </c>
      <c r="B100" s="388">
        <v>31209</v>
      </c>
      <c r="C100" s="388"/>
      <c r="D100" s="389">
        <v>53.462142330737898</v>
      </c>
      <c r="E100" s="389">
        <v>15.735845429203099</v>
      </c>
      <c r="F100" s="389">
        <v>30.802012240059</v>
      </c>
      <c r="G100" s="321"/>
    </row>
    <row r="101" spans="1:7" s="199" customFormat="1" ht="15" customHeight="1" x14ac:dyDescent="0.2">
      <c r="A101" s="387" t="s">
        <v>289</v>
      </c>
      <c r="B101" s="388">
        <v>4515</v>
      </c>
      <c r="C101" s="388"/>
      <c r="D101" s="389">
        <v>54.3521594684386</v>
      </c>
      <c r="E101" s="389">
        <v>10.011074197120699</v>
      </c>
      <c r="F101" s="389">
        <v>35.6367663344408</v>
      </c>
      <c r="G101" s="321"/>
    </row>
    <row r="102" spans="1:7" s="199" customFormat="1" ht="15" customHeight="1" x14ac:dyDescent="0.2">
      <c r="A102" s="387" t="s">
        <v>455</v>
      </c>
      <c r="B102" s="388">
        <v>324</v>
      </c>
      <c r="C102" s="388"/>
      <c r="D102" s="389">
        <v>53.086419753086403</v>
      </c>
      <c r="E102" s="389">
        <v>9.5679012345679002</v>
      </c>
      <c r="F102" s="389">
        <v>37.345679012345698</v>
      </c>
      <c r="G102" s="321"/>
    </row>
    <row r="103" spans="1:7" s="199" customFormat="1" ht="15" customHeight="1" x14ac:dyDescent="0.2">
      <c r="A103" s="387" t="s">
        <v>456</v>
      </c>
      <c r="B103" s="388">
        <v>866</v>
      </c>
      <c r="C103" s="388"/>
      <c r="D103" s="389">
        <v>90.184757505773703</v>
      </c>
      <c r="E103" s="389">
        <v>4.5034642032332597</v>
      </c>
      <c r="F103" s="389">
        <v>5.31177829099307</v>
      </c>
      <c r="G103" s="321"/>
    </row>
    <row r="104" spans="1:7" s="199" customFormat="1" ht="15" customHeight="1" x14ac:dyDescent="0.2">
      <c r="A104" s="387" t="s">
        <v>530</v>
      </c>
      <c r="B104" s="388">
        <v>1527</v>
      </c>
      <c r="C104" s="388"/>
      <c r="D104" s="389">
        <v>52.586771447282302</v>
      </c>
      <c r="E104" s="389">
        <v>22.265880812049801</v>
      </c>
      <c r="F104" s="389">
        <v>25.147347740668</v>
      </c>
      <c r="G104" s="321"/>
    </row>
    <row r="105" spans="1:7" s="199" customFormat="1" ht="15" customHeight="1" x14ac:dyDescent="0.2">
      <c r="A105" s="387" t="s">
        <v>303</v>
      </c>
      <c r="B105" s="388">
        <v>6388</v>
      </c>
      <c r="C105" s="388"/>
      <c r="D105" s="389">
        <v>22.792736380713801</v>
      </c>
      <c r="E105" s="389">
        <v>34.204758922980602</v>
      </c>
      <c r="F105" s="389">
        <v>43.0025046963056</v>
      </c>
      <c r="G105" s="321"/>
    </row>
    <row r="106" spans="1:7" s="199" customFormat="1" ht="15" customHeight="1" x14ac:dyDescent="0.2">
      <c r="A106" s="384" t="s">
        <v>403</v>
      </c>
      <c r="B106" s="385">
        <v>20768</v>
      </c>
      <c r="C106" s="385"/>
      <c r="D106" s="386">
        <v>3.7846687211094001</v>
      </c>
      <c r="E106" s="386">
        <v>23.940677966101699</v>
      </c>
      <c r="F106" s="386">
        <v>72.274653312788899</v>
      </c>
      <c r="G106" s="321"/>
    </row>
    <row r="107" spans="1:7" s="199" customFormat="1" ht="15" customHeight="1" x14ac:dyDescent="0.2">
      <c r="A107" s="387" t="s">
        <v>311</v>
      </c>
      <c r="B107" s="388">
        <v>3793</v>
      </c>
      <c r="C107" s="388"/>
      <c r="D107" s="389">
        <v>1.7400474558397101</v>
      </c>
      <c r="E107" s="389">
        <v>12.971262852623299</v>
      </c>
      <c r="F107" s="389">
        <v>85.288689691537101</v>
      </c>
      <c r="G107" s="321"/>
    </row>
    <row r="108" spans="1:7" s="199" customFormat="1" ht="15" customHeight="1" x14ac:dyDescent="0.2">
      <c r="A108" s="387" t="s">
        <v>361</v>
      </c>
      <c r="B108" s="388">
        <v>1863</v>
      </c>
      <c r="C108" s="388"/>
      <c r="D108" s="389">
        <v>1.0198604401503</v>
      </c>
      <c r="E108" s="389">
        <v>12.3993558776168</v>
      </c>
      <c r="F108" s="389">
        <v>86.580783682233005</v>
      </c>
      <c r="G108" s="321"/>
    </row>
    <row r="109" spans="1:7" s="199" customFormat="1" ht="15" customHeight="1" x14ac:dyDescent="0.2">
      <c r="A109" s="387" t="s">
        <v>457</v>
      </c>
      <c r="B109" s="388">
        <v>546</v>
      </c>
      <c r="C109" s="388"/>
      <c r="D109" s="389">
        <v>2.7472527472527499</v>
      </c>
      <c r="E109" s="389">
        <v>13.9194139194139</v>
      </c>
      <c r="F109" s="389">
        <v>83.3333333333334</v>
      </c>
      <c r="G109" s="321"/>
    </row>
    <row r="110" spans="1:7" s="199" customFormat="1" ht="15" customHeight="1" x14ac:dyDescent="0.2">
      <c r="A110" s="387" t="s">
        <v>300</v>
      </c>
      <c r="B110" s="388">
        <v>3966</v>
      </c>
      <c r="C110" s="388"/>
      <c r="D110" s="389">
        <v>9.7075138678769601</v>
      </c>
      <c r="E110" s="389">
        <v>25.037821482602101</v>
      </c>
      <c r="F110" s="389">
        <v>65.254664649521004</v>
      </c>
      <c r="G110" s="321"/>
    </row>
    <row r="111" spans="1:7" s="199" customFormat="1" ht="15" customHeight="1" x14ac:dyDescent="0.2">
      <c r="A111" s="387" t="s">
        <v>298</v>
      </c>
      <c r="B111" s="388">
        <v>2559</v>
      </c>
      <c r="C111" s="388"/>
      <c r="D111" s="389">
        <v>1.6021883548261</v>
      </c>
      <c r="E111" s="389">
        <v>12.426729191090301</v>
      </c>
      <c r="F111" s="389">
        <v>85.9710824540836</v>
      </c>
      <c r="G111" s="321"/>
    </row>
    <row r="112" spans="1:7" s="199" customFormat="1" ht="15" customHeight="1" x14ac:dyDescent="0.2">
      <c r="A112" s="387" t="s">
        <v>379</v>
      </c>
      <c r="B112" s="388">
        <v>1379</v>
      </c>
      <c r="C112" s="388"/>
      <c r="D112" s="389">
        <v>5.3662073966642501</v>
      </c>
      <c r="E112" s="389">
        <v>10.5148658448151</v>
      </c>
      <c r="F112" s="389">
        <v>84.118926758520701</v>
      </c>
      <c r="G112" s="321"/>
    </row>
    <row r="113" spans="1:7" s="199" customFormat="1" ht="15" customHeight="1" x14ac:dyDescent="0.2">
      <c r="A113" s="387" t="s">
        <v>458</v>
      </c>
      <c r="B113" s="388">
        <v>277</v>
      </c>
      <c r="C113" s="388"/>
      <c r="D113" s="389">
        <v>7.2202166064981999</v>
      </c>
      <c r="E113" s="389">
        <v>11.913357400721999</v>
      </c>
      <c r="F113" s="389">
        <v>80.866425992779796</v>
      </c>
      <c r="G113" s="321"/>
    </row>
    <row r="114" spans="1:7" s="199" customFormat="1" ht="15" customHeight="1" x14ac:dyDescent="0.2">
      <c r="A114" s="387" t="s">
        <v>459</v>
      </c>
      <c r="B114" s="388">
        <v>2227</v>
      </c>
      <c r="C114" s="388"/>
      <c r="D114" s="389">
        <v>5.2986079928154499</v>
      </c>
      <c r="E114" s="389">
        <v>71.621014818141006</v>
      </c>
      <c r="F114" s="389">
        <v>23.080377189043599</v>
      </c>
      <c r="G114" s="321"/>
    </row>
    <row r="115" spans="1:7" s="199" customFormat="1" ht="15" customHeight="1" x14ac:dyDescent="0.2">
      <c r="A115" s="387" t="s">
        <v>336</v>
      </c>
      <c r="B115" s="388">
        <v>3077</v>
      </c>
      <c r="C115" s="388"/>
      <c r="D115" s="389">
        <v>0.19499512512187001</v>
      </c>
      <c r="E115" s="389">
        <v>31.134221644458901</v>
      </c>
      <c r="F115" s="389">
        <v>68.670783230419303</v>
      </c>
      <c r="G115" s="321"/>
    </row>
    <row r="116" spans="1:7" s="199" customFormat="1" ht="15" customHeight="1" x14ac:dyDescent="0.2">
      <c r="A116" s="387" t="s">
        <v>343</v>
      </c>
      <c r="B116" s="388">
        <v>1081</v>
      </c>
      <c r="C116" s="388"/>
      <c r="D116" s="389">
        <v>3.8852913968547602</v>
      </c>
      <c r="E116" s="389">
        <v>12.118408880666101</v>
      </c>
      <c r="F116" s="389">
        <v>83.996299722479193</v>
      </c>
      <c r="G116" s="321"/>
    </row>
    <row r="117" spans="1:7" s="199" customFormat="1" ht="15" customHeight="1" x14ac:dyDescent="0.2">
      <c r="A117" s="384" t="s">
        <v>404</v>
      </c>
      <c r="B117" s="385">
        <v>29380</v>
      </c>
      <c r="C117" s="385"/>
      <c r="D117" s="386">
        <v>24.765146358066701</v>
      </c>
      <c r="E117" s="386">
        <v>15.755616065350599</v>
      </c>
      <c r="F117" s="386">
        <v>59.479237576582697</v>
      </c>
      <c r="G117" s="321"/>
    </row>
    <row r="118" spans="1:7" s="199" customFormat="1" ht="15" customHeight="1" x14ac:dyDescent="0.2">
      <c r="A118" s="387" t="s">
        <v>117</v>
      </c>
      <c r="B118" s="388">
        <v>20895</v>
      </c>
      <c r="C118" s="388"/>
      <c r="D118" s="389">
        <v>28.4374252213448</v>
      </c>
      <c r="E118" s="389">
        <v>8.9638669538167104</v>
      </c>
      <c r="F118" s="389">
        <v>62.598707824838499</v>
      </c>
      <c r="G118" s="321"/>
    </row>
    <row r="119" spans="1:7" s="199" customFormat="1" ht="15" customHeight="1" x14ac:dyDescent="0.2">
      <c r="A119" s="387" t="s">
        <v>382</v>
      </c>
      <c r="B119" s="388">
        <v>2594</v>
      </c>
      <c r="C119" s="388"/>
      <c r="D119" s="389">
        <v>17.463377023901302</v>
      </c>
      <c r="E119" s="389">
        <v>10.5628373168851</v>
      </c>
      <c r="F119" s="389">
        <v>71.973785659213604</v>
      </c>
      <c r="G119" s="321"/>
    </row>
    <row r="120" spans="1:7" s="199" customFormat="1" ht="15" customHeight="1" x14ac:dyDescent="0.2">
      <c r="A120" s="387" t="s">
        <v>460</v>
      </c>
      <c r="B120" s="388">
        <v>784</v>
      </c>
      <c r="C120" s="388"/>
      <c r="D120" s="389">
        <v>10.331632653061201</v>
      </c>
      <c r="E120" s="389">
        <v>82.653061224489804</v>
      </c>
      <c r="F120" s="389">
        <v>7.0153061224489797</v>
      </c>
      <c r="G120" s="321"/>
    </row>
    <row r="121" spans="1:7" s="199" customFormat="1" ht="15" customHeight="1" x14ac:dyDescent="0.2">
      <c r="A121" s="387" t="s">
        <v>461</v>
      </c>
      <c r="B121" s="388">
        <v>1351</v>
      </c>
      <c r="C121" s="388"/>
      <c r="D121" s="389">
        <v>6.14359733530718</v>
      </c>
      <c r="E121" s="389">
        <v>8.2901554404145106</v>
      </c>
      <c r="F121" s="389">
        <v>85.5662472242783</v>
      </c>
      <c r="G121" s="321"/>
    </row>
    <row r="122" spans="1:7" s="199" customFormat="1" ht="15" customHeight="1" x14ac:dyDescent="0.2">
      <c r="A122" s="387" t="s">
        <v>462</v>
      </c>
      <c r="B122" s="388">
        <v>302</v>
      </c>
      <c r="C122" s="388"/>
      <c r="D122" s="389">
        <v>14.238410596026499</v>
      </c>
      <c r="E122" s="389">
        <v>10.9271523178808</v>
      </c>
      <c r="F122" s="389">
        <v>74.834437086092706</v>
      </c>
      <c r="G122" s="321"/>
    </row>
    <row r="123" spans="1:7" s="199" customFormat="1" ht="15" customHeight="1" x14ac:dyDescent="0.2">
      <c r="A123" s="387" t="s">
        <v>463</v>
      </c>
      <c r="B123" s="388">
        <v>3454</v>
      </c>
      <c r="C123" s="388"/>
      <c r="D123" s="389">
        <v>19.513607411696601</v>
      </c>
      <c r="E123" s="389">
        <v>48.899826288361297</v>
      </c>
      <c r="F123" s="389">
        <v>31.586566299942099</v>
      </c>
      <c r="G123" s="321"/>
    </row>
    <row r="124" spans="1:7" s="199" customFormat="1" ht="15" customHeight="1" x14ac:dyDescent="0.2">
      <c r="A124" s="384" t="s">
        <v>405</v>
      </c>
      <c r="B124" s="385">
        <v>28183</v>
      </c>
      <c r="C124" s="385"/>
      <c r="D124" s="386">
        <v>13.8487740836675</v>
      </c>
      <c r="E124" s="386">
        <v>43.763971188305</v>
      </c>
      <c r="F124" s="386">
        <v>42.3872547280275</v>
      </c>
      <c r="G124" s="321"/>
    </row>
    <row r="125" spans="1:7" s="199" customFormat="1" ht="15" customHeight="1" x14ac:dyDescent="0.2">
      <c r="A125" s="387" t="s">
        <v>308</v>
      </c>
      <c r="B125" s="388">
        <v>20188</v>
      </c>
      <c r="C125" s="388"/>
      <c r="D125" s="389">
        <v>15.291262135922301</v>
      </c>
      <c r="E125" s="389">
        <v>37.205270457697701</v>
      </c>
      <c r="F125" s="389">
        <v>47.503467406379997</v>
      </c>
      <c r="G125" s="321"/>
    </row>
    <row r="126" spans="1:7" s="199" customFormat="1" ht="15" customHeight="1" x14ac:dyDescent="0.2">
      <c r="A126" s="387" t="s">
        <v>464</v>
      </c>
      <c r="B126" s="388">
        <v>510</v>
      </c>
      <c r="C126" s="388"/>
      <c r="D126" s="389">
        <v>15.098039215686301</v>
      </c>
      <c r="E126" s="389">
        <v>7.45098039215687</v>
      </c>
      <c r="F126" s="389">
        <v>77.450980392156893</v>
      </c>
      <c r="G126" s="321"/>
    </row>
    <row r="127" spans="1:7" s="199" customFormat="1" ht="15" customHeight="1" x14ac:dyDescent="0.2">
      <c r="A127" s="387" t="s">
        <v>465</v>
      </c>
      <c r="B127" s="388">
        <v>202</v>
      </c>
      <c r="C127" s="388"/>
      <c r="D127" s="389">
        <v>41.5841584158416</v>
      </c>
      <c r="E127" s="389">
        <v>24.257425742574299</v>
      </c>
      <c r="F127" s="389">
        <v>34.158415841584201</v>
      </c>
      <c r="G127" s="321"/>
    </row>
    <row r="128" spans="1:7" s="199" customFormat="1" ht="15" customHeight="1" x14ac:dyDescent="0.2">
      <c r="A128" s="387" t="s">
        <v>466</v>
      </c>
      <c r="B128" s="388">
        <v>155</v>
      </c>
      <c r="C128" s="388"/>
      <c r="D128" s="389">
        <v>30.322580645161299</v>
      </c>
      <c r="E128" s="389">
        <v>49.677419354838698</v>
      </c>
      <c r="F128" s="389">
        <v>20</v>
      </c>
      <c r="G128" s="321"/>
    </row>
    <row r="129" spans="1:7" s="199" customFormat="1" ht="15" customHeight="1" x14ac:dyDescent="0.2">
      <c r="A129" s="387" t="s">
        <v>291</v>
      </c>
      <c r="B129" s="388">
        <v>5849</v>
      </c>
      <c r="C129" s="388"/>
      <c r="D129" s="389">
        <v>6.9584544366558401</v>
      </c>
      <c r="E129" s="389">
        <v>69.721319883740804</v>
      </c>
      <c r="F129" s="389">
        <v>23.3202256796034</v>
      </c>
      <c r="G129" s="321"/>
    </row>
    <row r="130" spans="1:7" s="199" customFormat="1" ht="15" customHeight="1" x14ac:dyDescent="0.2">
      <c r="A130" s="387" t="s">
        <v>467</v>
      </c>
      <c r="B130" s="388">
        <v>1279</v>
      </c>
      <c r="C130" s="388"/>
      <c r="D130" s="389">
        <v>15.7154026583268</v>
      </c>
      <c r="E130" s="389">
        <v>45.426114151680999</v>
      </c>
      <c r="F130" s="389">
        <v>38.858483189992199</v>
      </c>
      <c r="G130" s="321"/>
    </row>
    <row r="131" spans="1:7" s="199" customFormat="1" ht="15" customHeight="1" x14ac:dyDescent="0.2">
      <c r="A131" s="384" t="s">
        <v>406</v>
      </c>
      <c r="B131" s="385">
        <v>276</v>
      </c>
      <c r="C131" s="385"/>
      <c r="D131" s="386">
        <v>32.6086956521739</v>
      </c>
      <c r="E131" s="386">
        <v>23.550724637681199</v>
      </c>
      <c r="F131" s="386">
        <v>43.840579710144901</v>
      </c>
      <c r="G131" s="321"/>
    </row>
    <row r="132" spans="1:7" s="199" customFormat="1" ht="15" customHeight="1" x14ac:dyDescent="0.2">
      <c r="A132" s="387" t="s">
        <v>527</v>
      </c>
      <c r="B132" s="388">
        <v>276</v>
      </c>
      <c r="C132" s="388"/>
      <c r="D132" s="389">
        <v>32.6086956521739</v>
      </c>
      <c r="E132" s="389">
        <v>23.550724637681199</v>
      </c>
      <c r="F132" s="389">
        <v>43.840579710144901</v>
      </c>
      <c r="G132" s="321"/>
    </row>
    <row r="133" spans="1:7" s="199" customFormat="1" ht="15" customHeight="1" x14ac:dyDescent="0.2">
      <c r="A133" s="384" t="s">
        <v>407</v>
      </c>
      <c r="B133" s="385">
        <v>11769</v>
      </c>
      <c r="C133" s="385"/>
      <c r="D133" s="386">
        <v>14.3767524853429</v>
      </c>
      <c r="E133" s="386">
        <v>14.2577959044949</v>
      </c>
      <c r="F133" s="386">
        <v>71.365451610162296</v>
      </c>
      <c r="G133" s="321"/>
    </row>
    <row r="134" spans="1:7" s="199" customFormat="1" ht="15" customHeight="1" x14ac:dyDescent="0.2">
      <c r="A134" s="387" t="s">
        <v>333</v>
      </c>
      <c r="B134" s="388">
        <v>2302</v>
      </c>
      <c r="C134" s="388"/>
      <c r="D134" s="389">
        <v>4.4743701129452704</v>
      </c>
      <c r="E134" s="389">
        <v>8.7749782797567306</v>
      </c>
      <c r="F134" s="389">
        <v>86.750651607297996</v>
      </c>
      <c r="G134" s="321"/>
    </row>
    <row r="135" spans="1:7" s="199" customFormat="1" ht="15" customHeight="1" x14ac:dyDescent="0.2">
      <c r="A135" s="387" t="s">
        <v>468</v>
      </c>
      <c r="B135" s="388">
        <v>514</v>
      </c>
      <c r="C135" s="388"/>
      <c r="D135" s="389">
        <v>4.0856031128404702</v>
      </c>
      <c r="E135" s="389">
        <v>6.6147859922179002</v>
      </c>
      <c r="F135" s="389">
        <v>89.299610894941694</v>
      </c>
      <c r="G135" s="321"/>
    </row>
    <row r="136" spans="1:7" s="199" customFormat="1" ht="15" customHeight="1" x14ac:dyDescent="0.2">
      <c r="A136" s="387" t="s">
        <v>469</v>
      </c>
      <c r="B136" s="388">
        <v>1270</v>
      </c>
      <c r="C136" s="388"/>
      <c r="D136" s="389">
        <v>21.889763779527598</v>
      </c>
      <c r="E136" s="389">
        <v>9.6850393700787407</v>
      </c>
      <c r="F136" s="389">
        <v>68.425196850393704</v>
      </c>
      <c r="G136" s="321"/>
    </row>
    <row r="137" spans="1:7" s="199" customFormat="1" ht="15" customHeight="1" x14ac:dyDescent="0.2">
      <c r="A137" s="387" t="s">
        <v>470</v>
      </c>
      <c r="B137" s="388">
        <v>1211</v>
      </c>
      <c r="C137" s="388"/>
      <c r="D137" s="389">
        <v>8.1750619322873703</v>
      </c>
      <c r="E137" s="389">
        <v>12.551610239471501</v>
      </c>
      <c r="F137" s="389">
        <v>79.273327828241094</v>
      </c>
      <c r="G137" s="321"/>
    </row>
    <row r="138" spans="1:7" s="199" customFormat="1" ht="15" customHeight="1" x14ac:dyDescent="0.2">
      <c r="A138" s="387" t="s">
        <v>334</v>
      </c>
      <c r="B138" s="388">
        <v>2502</v>
      </c>
      <c r="C138" s="388"/>
      <c r="D138" s="389">
        <v>8.1135091926458909</v>
      </c>
      <c r="E138" s="389">
        <v>8.2733812949640306</v>
      </c>
      <c r="F138" s="389">
        <v>83.613109512390096</v>
      </c>
      <c r="G138" s="321"/>
    </row>
    <row r="139" spans="1:7" s="199" customFormat="1" ht="15" customHeight="1" x14ac:dyDescent="0.2">
      <c r="A139" s="387" t="s">
        <v>471</v>
      </c>
      <c r="B139" s="388">
        <v>1045</v>
      </c>
      <c r="C139" s="388"/>
      <c r="D139" s="389">
        <v>21.626794258373199</v>
      </c>
      <c r="E139" s="389">
        <v>13.11004784689</v>
      </c>
      <c r="F139" s="389">
        <v>65.263157894736906</v>
      </c>
      <c r="G139" s="321"/>
    </row>
    <row r="140" spans="1:7" s="199" customFormat="1" ht="15" customHeight="1" x14ac:dyDescent="0.2">
      <c r="A140" s="387" t="s">
        <v>472</v>
      </c>
      <c r="B140" s="388">
        <v>965</v>
      </c>
      <c r="C140" s="388"/>
      <c r="D140" s="389">
        <v>23.834196891191699</v>
      </c>
      <c r="E140" s="389">
        <v>33.678756476683901</v>
      </c>
      <c r="F140" s="389">
        <v>42.487046632124397</v>
      </c>
      <c r="G140" s="321"/>
    </row>
    <row r="141" spans="1:7" s="199" customFormat="1" ht="15" customHeight="1" x14ac:dyDescent="0.2">
      <c r="A141" s="387" t="s">
        <v>473</v>
      </c>
      <c r="B141" s="388">
        <v>1960</v>
      </c>
      <c r="C141" s="388"/>
      <c r="D141" s="389">
        <v>27.1428571428571</v>
      </c>
      <c r="E141" s="389">
        <v>25.408163265306101</v>
      </c>
      <c r="F141" s="389">
        <v>47.448979591836697</v>
      </c>
      <c r="G141" s="321"/>
    </row>
    <row r="142" spans="1:7" s="199" customFormat="1" ht="15" customHeight="1" x14ac:dyDescent="0.2">
      <c r="A142" s="384" t="s">
        <v>408</v>
      </c>
      <c r="B142" s="385">
        <v>936</v>
      </c>
      <c r="C142" s="385"/>
      <c r="D142" s="386">
        <v>1.92307692307692</v>
      </c>
      <c r="E142" s="386">
        <v>11.1111111111111</v>
      </c>
      <c r="F142" s="386">
        <v>86.965811965811994</v>
      </c>
      <c r="G142" s="321"/>
    </row>
    <row r="143" spans="1:7" s="199" customFormat="1" ht="15" customHeight="1" x14ac:dyDescent="0.2">
      <c r="A143" s="387" t="s">
        <v>393</v>
      </c>
      <c r="B143" s="388">
        <v>936</v>
      </c>
      <c r="C143" s="388"/>
      <c r="D143" s="389">
        <v>1.92307692307692</v>
      </c>
      <c r="E143" s="389">
        <v>11.1111111111111</v>
      </c>
      <c r="F143" s="389">
        <v>86.965811965811994</v>
      </c>
      <c r="G143" s="321"/>
    </row>
    <row r="144" spans="1:7" s="199" customFormat="1" ht="15" customHeight="1" x14ac:dyDescent="0.2">
      <c r="A144" s="384" t="s">
        <v>116</v>
      </c>
      <c r="B144" s="385">
        <v>3553</v>
      </c>
      <c r="C144" s="385"/>
      <c r="D144" s="386">
        <v>21.5029552490853</v>
      </c>
      <c r="E144" s="386">
        <v>46.692935547424703</v>
      </c>
      <c r="F144" s="386">
        <v>31.80410920349</v>
      </c>
      <c r="G144" s="321"/>
    </row>
    <row r="145" spans="1:7" s="199" customFormat="1" ht="15" customHeight="1" x14ac:dyDescent="0.2">
      <c r="A145" s="387" t="s">
        <v>474</v>
      </c>
      <c r="B145" s="388">
        <v>1230</v>
      </c>
      <c r="C145" s="388"/>
      <c r="D145" s="389">
        <v>15.2032520325203</v>
      </c>
      <c r="E145" s="389">
        <v>49.512195121951201</v>
      </c>
      <c r="F145" s="389">
        <v>35.284552845528502</v>
      </c>
      <c r="G145" s="321"/>
    </row>
    <row r="146" spans="1:7" s="199" customFormat="1" ht="15" customHeight="1" x14ac:dyDescent="0.2">
      <c r="A146" s="387" t="s">
        <v>475</v>
      </c>
      <c r="B146" s="388">
        <v>1711</v>
      </c>
      <c r="C146" s="388"/>
      <c r="D146" s="389">
        <v>28.229105786089999</v>
      </c>
      <c r="E146" s="389">
        <v>51.490356516656902</v>
      </c>
      <c r="F146" s="389">
        <v>20.280537697253099</v>
      </c>
      <c r="G146" s="321"/>
    </row>
    <row r="147" spans="1:7" s="199" customFormat="1" ht="15" customHeight="1" x14ac:dyDescent="0.2">
      <c r="A147" s="387" t="s">
        <v>476</v>
      </c>
      <c r="B147" s="388">
        <v>612</v>
      </c>
      <c r="C147" s="388"/>
      <c r="D147" s="389">
        <v>15.359477124183</v>
      </c>
      <c r="E147" s="389">
        <v>27.6143790849673</v>
      </c>
      <c r="F147" s="389">
        <v>57.026143790849702</v>
      </c>
      <c r="G147" s="321"/>
    </row>
    <row r="148" spans="1:7" s="199" customFormat="1" ht="15" customHeight="1" x14ac:dyDescent="0.2">
      <c r="A148" s="384" t="s">
        <v>409</v>
      </c>
      <c r="B148" s="385">
        <v>146</v>
      </c>
      <c r="C148" s="385"/>
      <c r="D148" s="386">
        <v>34.931506849315099</v>
      </c>
      <c r="E148" s="386">
        <v>35.616438356164402</v>
      </c>
      <c r="F148" s="386">
        <v>29.452054794520599</v>
      </c>
      <c r="G148" s="321"/>
    </row>
    <row r="149" spans="1:7" s="199" customFormat="1" ht="15" customHeight="1" x14ac:dyDescent="0.2">
      <c r="A149" s="387" t="s">
        <v>477</v>
      </c>
      <c r="B149" s="388">
        <v>146</v>
      </c>
      <c r="C149" s="388"/>
      <c r="D149" s="389">
        <v>34.931506849315099</v>
      </c>
      <c r="E149" s="389">
        <v>35.616438356164402</v>
      </c>
      <c r="F149" s="389">
        <v>29.452054794520599</v>
      </c>
      <c r="G149" s="321"/>
    </row>
    <row r="150" spans="1:7" s="199" customFormat="1" ht="15" customHeight="1" x14ac:dyDescent="0.2">
      <c r="A150" s="384" t="s">
        <v>410</v>
      </c>
      <c r="B150" s="385">
        <v>12675</v>
      </c>
      <c r="C150" s="385"/>
      <c r="D150" s="386">
        <v>13.3885601577909</v>
      </c>
      <c r="E150" s="386">
        <v>32.142011834319497</v>
      </c>
      <c r="F150" s="386">
        <v>54.469428007889597</v>
      </c>
      <c r="G150" s="321"/>
    </row>
    <row r="151" spans="1:7" s="199" customFormat="1" ht="15" customHeight="1" x14ac:dyDescent="0.2">
      <c r="A151" s="387" t="s">
        <v>478</v>
      </c>
      <c r="B151" s="388">
        <v>66</v>
      </c>
      <c r="C151" s="388"/>
      <c r="D151" s="389">
        <v>25.7575757575758</v>
      </c>
      <c r="E151" s="389">
        <v>15.1515151515152</v>
      </c>
      <c r="F151" s="389">
        <v>59.090909090909101</v>
      </c>
      <c r="G151" s="321"/>
    </row>
    <row r="152" spans="1:7" s="199" customFormat="1" ht="15" customHeight="1" x14ac:dyDescent="0.2">
      <c r="A152" s="387" t="s">
        <v>479</v>
      </c>
      <c r="B152" s="388">
        <v>362</v>
      </c>
      <c r="C152" s="388"/>
      <c r="D152" s="389">
        <v>12.4309392265193</v>
      </c>
      <c r="E152" s="389">
        <v>31.491712707182302</v>
      </c>
      <c r="F152" s="389">
        <v>56.077348066298399</v>
      </c>
      <c r="G152" s="321"/>
    </row>
    <row r="153" spans="1:7" s="199" customFormat="1" ht="15" customHeight="1" x14ac:dyDescent="0.2">
      <c r="A153" s="387" t="s">
        <v>480</v>
      </c>
      <c r="B153" s="388">
        <v>1005</v>
      </c>
      <c r="C153" s="388"/>
      <c r="D153" s="389">
        <v>14.9253731343284</v>
      </c>
      <c r="E153" s="389">
        <v>44.179104477612</v>
      </c>
      <c r="F153" s="389">
        <v>40.895522388059703</v>
      </c>
      <c r="G153" s="321"/>
    </row>
    <row r="154" spans="1:7" s="199" customFormat="1" ht="15" customHeight="1" x14ac:dyDescent="0.2">
      <c r="A154" s="387" t="s">
        <v>314</v>
      </c>
      <c r="B154" s="388">
        <v>5558</v>
      </c>
      <c r="C154" s="388"/>
      <c r="D154" s="389">
        <v>13.440086362000701</v>
      </c>
      <c r="E154" s="389">
        <v>14.447643037063701</v>
      </c>
      <c r="F154" s="389">
        <v>72.112270600935602</v>
      </c>
      <c r="G154" s="321"/>
    </row>
    <row r="155" spans="1:7" s="199" customFormat="1" ht="15" customHeight="1" x14ac:dyDescent="0.2">
      <c r="A155" s="387" t="s">
        <v>481</v>
      </c>
      <c r="B155" s="388">
        <v>2343</v>
      </c>
      <c r="C155" s="388"/>
      <c r="D155" s="389">
        <v>10.6700810926163</v>
      </c>
      <c r="E155" s="389">
        <v>48.997012377294098</v>
      </c>
      <c r="F155" s="389">
        <v>40.332906530089602</v>
      </c>
      <c r="G155" s="321"/>
    </row>
    <row r="156" spans="1:7" s="199" customFormat="1" ht="15" customHeight="1" x14ac:dyDescent="0.2">
      <c r="A156" s="387" t="s">
        <v>345</v>
      </c>
      <c r="B156" s="388">
        <v>3341</v>
      </c>
      <c r="C156" s="388"/>
      <c r="D156" s="389">
        <v>14.6064052678839</v>
      </c>
      <c r="E156" s="389">
        <v>46.542951212211896</v>
      </c>
      <c r="F156" s="389">
        <v>38.850643519904203</v>
      </c>
      <c r="G156" s="321"/>
    </row>
    <row r="157" spans="1:7" s="199" customFormat="1" ht="15" customHeight="1" x14ac:dyDescent="0.2">
      <c r="A157" s="384" t="s">
        <v>411</v>
      </c>
      <c r="B157" s="385">
        <v>21982</v>
      </c>
      <c r="C157" s="385"/>
      <c r="D157" s="386">
        <v>56.596306068601599</v>
      </c>
      <c r="E157" s="386">
        <v>26.8310435811118</v>
      </c>
      <c r="F157" s="386">
        <v>16.572650350286601</v>
      </c>
      <c r="G157" s="321"/>
    </row>
    <row r="158" spans="1:7" s="199" customFormat="1" ht="15" customHeight="1" x14ac:dyDescent="0.2">
      <c r="A158" s="387" t="s">
        <v>130</v>
      </c>
      <c r="B158" s="388">
        <v>1269</v>
      </c>
      <c r="C158" s="388"/>
      <c r="D158" s="389">
        <v>94.326241134751797</v>
      </c>
      <c r="E158" s="389">
        <v>2.4428684003152101</v>
      </c>
      <c r="F158" s="389">
        <v>3.2308904649330201</v>
      </c>
      <c r="G158" s="321"/>
    </row>
    <row r="159" spans="1:7" s="199" customFormat="1" ht="15" customHeight="1" x14ac:dyDescent="0.2">
      <c r="A159" s="387" t="s">
        <v>125</v>
      </c>
      <c r="B159" s="388">
        <v>4752</v>
      </c>
      <c r="C159" s="388"/>
      <c r="D159" s="389">
        <v>86.384680134680195</v>
      </c>
      <c r="E159" s="389">
        <v>5.2609427609427604</v>
      </c>
      <c r="F159" s="389">
        <v>8.3543771043771091</v>
      </c>
      <c r="G159" s="321"/>
    </row>
    <row r="160" spans="1:7" s="199" customFormat="1" ht="15" customHeight="1" x14ac:dyDescent="0.2">
      <c r="A160" s="387" t="s">
        <v>356</v>
      </c>
      <c r="B160" s="388">
        <v>247</v>
      </c>
      <c r="C160" s="388"/>
      <c r="D160" s="389">
        <v>94.736842105263193</v>
      </c>
      <c r="E160" s="389">
        <v>3.6437246963562799</v>
      </c>
      <c r="F160" s="389">
        <v>1.6194331983805701</v>
      </c>
      <c r="G160" s="321"/>
    </row>
    <row r="161" spans="1:7" s="199" customFormat="1" ht="15" customHeight="1" x14ac:dyDescent="0.2">
      <c r="A161" s="387" t="s">
        <v>351</v>
      </c>
      <c r="B161" s="388">
        <v>699</v>
      </c>
      <c r="C161" s="388"/>
      <c r="D161" s="389">
        <v>50.929899856938498</v>
      </c>
      <c r="E161" s="389">
        <v>15.021459227467799</v>
      </c>
      <c r="F161" s="389">
        <v>34.048640915593701</v>
      </c>
      <c r="G161" s="321"/>
    </row>
    <row r="162" spans="1:7" s="199" customFormat="1" ht="15" customHeight="1" x14ac:dyDescent="0.2">
      <c r="A162" s="387" t="s">
        <v>309</v>
      </c>
      <c r="B162" s="388">
        <v>3220</v>
      </c>
      <c r="C162" s="388"/>
      <c r="D162" s="389">
        <v>99.813664596273298</v>
      </c>
      <c r="E162" s="389">
        <v>3.105590062112E-2</v>
      </c>
      <c r="F162" s="389">
        <v>0.15527950310558999</v>
      </c>
      <c r="G162" s="321"/>
    </row>
    <row r="163" spans="1:7" s="199" customFormat="1" ht="15" customHeight="1" x14ac:dyDescent="0.2">
      <c r="A163" s="387" t="s">
        <v>366</v>
      </c>
      <c r="B163" s="388">
        <v>267</v>
      </c>
      <c r="C163" s="388"/>
      <c r="D163" s="389">
        <v>88.014981273408296</v>
      </c>
      <c r="E163" s="390" t="s">
        <v>70</v>
      </c>
      <c r="F163" s="389">
        <v>11.9850187265918</v>
      </c>
      <c r="G163" s="321"/>
    </row>
    <row r="164" spans="1:7" s="199" customFormat="1" ht="15" customHeight="1" x14ac:dyDescent="0.2">
      <c r="A164" s="387" t="s">
        <v>482</v>
      </c>
      <c r="B164" s="388">
        <v>2241</v>
      </c>
      <c r="C164" s="388"/>
      <c r="D164" s="389">
        <v>46.184738955823299</v>
      </c>
      <c r="E164" s="389">
        <v>12.405176260597999</v>
      </c>
      <c r="F164" s="389">
        <v>41.410084783578803</v>
      </c>
      <c r="G164" s="321"/>
    </row>
    <row r="165" spans="1:7" s="199" customFormat="1" ht="15" customHeight="1" x14ac:dyDescent="0.2">
      <c r="A165" s="387" t="s">
        <v>483</v>
      </c>
      <c r="B165" s="388">
        <v>1383</v>
      </c>
      <c r="C165" s="388"/>
      <c r="D165" s="389">
        <v>14.6782357194505</v>
      </c>
      <c r="E165" s="389">
        <v>78.524945770065102</v>
      </c>
      <c r="F165" s="389">
        <v>6.7968185104844601</v>
      </c>
      <c r="G165" s="321"/>
    </row>
    <row r="166" spans="1:7" s="199" customFormat="1" ht="15" customHeight="1" x14ac:dyDescent="0.2">
      <c r="A166" s="387" t="s">
        <v>370</v>
      </c>
      <c r="B166" s="388">
        <v>316</v>
      </c>
      <c r="C166" s="388"/>
      <c r="D166" s="389">
        <v>99.683544303797504</v>
      </c>
      <c r="E166" s="390" t="s">
        <v>70</v>
      </c>
      <c r="F166" s="389">
        <v>0.31645569620253</v>
      </c>
      <c r="G166" s="321"/>
    </row>
    <row r="167" spans="1:7" s="199" customFormat="1" ht="15" customHeight="1" x14ac:dyDescent="0.2">
      <c r="A167" s="387" t="s">
        <v>347</v>
      </c>
      <c r="B167" s="388">
        <v>1309</v>
      </c>
      <c r="C167" s="388"/>
      <c r="D167" s="389">
        <v>92.818945760122304</v>
      </c>
      <c r="E167" s="389">
        <v>0.84033613445377997</v>
      </c>
      <c r="F167" s="389">
        <v>6.3407181054239903</v>
      </c>
      <c r="G167" s="321"/>
    </row>
    <row r="168" spans="1:7" s="199" customFormat="1" ht="15" customHeight="1" x14ac:dyDescent="0.2">
      <c r="A168" s="387" t="s">
        <v>295</v>
      </c>
      <c r="B168" s="388">
        <v>6009</v>
      </c>
      <c r="C168" s="388"/>
      <c r="D168" s="389">
        <v>1.36461973706108</v>
      </c>
      <c r="E168" s="389">
        <v>68.580462639374304</v>
      </c>
      <c r="F168" s="389">
        <v>30.054917623564702</v>
      </c>
      <c r="G168" s="321"/>
    </row>
    <row r="169" spans="1:7" s="199" customFormat="1" ht="15" customHeight="1" x14ac:dyDescent="0.2">
      <c r="A169" s="387" t="s">
        <v>127</v>
      </c>
      <c r="B169" s="388">
        <v>270</v>
      </c>
      <c r="C169" s="388"/>
      <c r="D169" s="389">
        <v>92.592592592592595</v>
      </c>
      <c r="E169" s="389">
        <v>2.2222222222222201</v>
      </c>
      <c r="F169" s="389">
        <v>5.1851851851851896</v>
      </c>
      <c r="G169" s="321"/>
    </row>
    <row r="170" spans="1:7" s="199" customFormat="1" ht="15" customHeight="1" x14ac:dyDescent="0.2">
      <c r="A170" s="384" t="s">
        <v>484</v>
      </c>
      <c r="B170" s="385">
        <v>18638</v>
      </c>
      <c r="C170" s="385"/>
      <c r="D170" s="391" t="s">
        <v>70</v>
      </c>
      <c r="E170" s="386">
        <v>88.003004614228999</v>
      </c>
      <c r="F170" s="386">
        <v>11.996995385770999</v>
      </c>
      <c r="G170" s="321"/>
    </row>
    <row r="171" spans="1:7" s="199" customFormat="1" ht="15" customHeight="1" x14ac:dyDescent="0.2">
      <c r="A171" s="387" t="s">
        <v>372</v>
      </c>
      <c r="B171" s="388">
        <v>1986</v>
      </c>
      <c r="C171" s="388"/>
      <c r="D171" s="390" t="s">
        <v>70</v>
      </c>
      <c r="E171" s="389">
        <v>87.562940584088594</v>
      </c>
      <c r="F171" s="389">
        <v>12.437059415911399</v>
      </c>
      <c r="G171" s="321"/>
    </row>
    <row r="172" spans="1:7" s="199" customFormat="1" ht="15" customHeight="1" x14ac:dyDescent="0.2">
      <c r="A172" s="387" t="s">
        <v>355</v>
      </c>
      <c r="B172" s="388">
        <v>1107</v>
      </c>
      <c r="C172" s="388"/>
      <c r="D172" s="390" t="s">
        <v>70</v>
      </c>
      <c r="E172" s="389">
        <v>93.134598012646805</v>
      </c>
      <c r="F172" s="389">
        <v>6.8654019873532102</v>
      </c>
      <c r="G172" s="321"/>
    </row>
    <row r="173" spans="1:7" s="199" customFormat="1" ht="15" customHeight="1" x14ac:dyDescent="0.2">
      <c r="A173" s="387" t="s">
        <v>381</v>
      </c>
      <c r="B173" s="388">
        <v>651</v>
      </c>
      <c r="C173" s="388"/>
      <c r="D173" s="390" t="s">
        <v>70</v>
      </c>
      <c r="E173" s="389">
        <v>90.476190476190496</v>
      </c>
      <c r="F173" s="389">
        <v>9.5238095238095308</v>
      </c>
      <c r="G173" s="321"/>
    </row>
    <row r="174" spans="1:7" s="199" customFormat="1" ht="15" customHeight="1" x14ac:dyDescent="0.2">
      <c r="A174" s="387" t="s">
        <v>364</v>
      </c>
      <c r="B174" s="388">
        <v>2173</v>
      </c>
      <c r="C174" s="388"/>
      <c r="D174" s="390" t="s">
        <v>70</v>
      </c>
      <c r="E174" s="389">
        <v>95.950299125632796</v>
      </c>
      <c r="F174" s="389">
        <v>4.0497008743672396</v>
      </c>
      <c r="G174" s="321"/>
    </row>
    <row r="175" spans="1:7" s="199" customFormat="1" ht="15" customHeight="1" x14ac:dyDescent="0.2">
      <c r="A175" s="387" t="s">
        <v>353</v>
      </c>
      <c r="B175" s="388">
        <v>355</v>
      </c>
      <c r="C175" s="388"/>
      <c r="D175" s="390" t="s">
        <v>70</v>
      </c>
      <c r="E175" s="389">
        <v>98.873239436619698</v>
      </c>
      <c r="F175" s="389">
        <v>1.12676056338028</v>
      </c>
      <c r="G175" s="321"/>
    </row>
    <row r="176" spans="1:7" s="199" customFormat="1" ht="15" customHeight="1" x14ac:dyDescent="0.2">
      <c r="A176" s="387" t="s">
        <v>392</v>
      </c>
      <c r="B176" s="388">
        <v>2636</v>
      </c>
      <c r="C176" s="388"/>
      <c r="D176" s="390" t="s">
        <v>70</v>
      </c>
      <c r="E176" s="389">
        <v>73.103186646433997</v>
      </c>
      <c r="F176" s="389">
        <v>26.896813353565999</v>
      </c>
      <c r="G176" s="321"/>
    </row>
    <row r="177" spans="1:7" s="199" customFormat="1" ht="15" customHeight="1" x14ac:dyDescent="0.2">
      <c r="A177" s="387" t="s">
        <v>485</v>
      </c>
      <c r="B177" s="388">
        <v>1669</v>
      </c>
      <c r="C177" s="388"/>
      <c r="D177" s="390" t="s">
        <v>70</v>
      </c>
      <c r="E177" s="389">
        <v>72.917914919113301</v>
      </c>
      <c r="F177" s="389">
        <v>27.082085080886799</v>
      </c>
      <c r="G177" s="321"/>
    </row>
    <row r="178" spans="1:7" s="199" customFormat="1" ht="15" customHeight="1" x14ac:dyDescent="0.2">
      <c r="A178" s="387" t="s">
        <v>378</v>
      </c>
      <c r="B178" s="388">
        <v>164</v>
      </c>
      <c r="C178" s="388"/>
      <c r="D178" s="390" t="s">
        <v>70</v>
      </c>
      <c r="E178" s="389">
        <v>95.731707317073202</v>
      </c>
      <c r="F178" s="389">
        <v>4.2682926829268304</v>
      </c>
      <c r="G178" s="321"/>
    </row>
    <row r="179" spans="1:7" s="199" customFormat="1" ht="15" customHeight="1" x14ac:dyDescent="0.2">
      <c r="A179" s="387" t="s">
        <v>348</v>
      </c>
      <c r="B179" s="388">
        <v>1332</v>
      </c>
      <c r="C179" s="388"/>
      <c r="D179" s="390" t="s">
        <v>70</v>
      </c>
      <c r="E179" s="389">
        <v>99.3993993993994</v>
      </c>
      <c r="F179" s="389">
        <v>0.60060060060060005</v>
      </c>
      <c r="G179" s="321"/>
    </row>
    <row r="180" spans="1:7" s="199" customFormat="1" ht="15" customHeight="1" x14ac:dyDescent="0.2">
      <c r="A180" s="387" t="s">
        <v>335</v>
      </c>
      <c r="B180" s="388">
        <v>2084</v>
      </c>
      <c r="C180" s="388"/>
      <c r="D180" s="390" t="s">
        <v>70</v>
      </c>
      <c r="E180" s="389">
        <v>99.808061420345496</v>
      </c>
      <c r="F180" s="389">
        <v>0.19193857965451</v>
      </c>
      <c r="G180" s="321"/>
    </row>
    <row r="181" spans="1:7" s="199" customFormat="1" ht="15" customHeight="1" x14ac:dyDescent="0.2">
      <c r="A181" s="387" t="s">
        <v>367</v>
      </c>
      <c r="B181" s="388">
        <v>1383</v>
      </c>
      <c r="C181" s="388"/>
      <c r="D181" s="390" t="s">
        <v>70</v>
      </c>
      <c r="E181" s="389">
        <v>93.130874909616793</v>
      </c>
      <c r="F181" s="389">
        <v>6.8691250903832302</v>
      </c>
      <c r="G181" s="321"/>
    </row>
    <row r="182" spans="1:7" s="199" customFormat="1" ht="15" customHeight="1" x14ac:dyDescent="0.2">
      <c r="A182" s="387" t="s">
        <v>486</v>
      </c>
      <c r="B182" s="388">
        <v>1164</v>
      </c>
      <c r="C182" s="388"/>
      <c r="D182" s="390" t="s">
        <v>70</v>
      </c>
      <c r="E182" s="389">
        <v>84.278350515463899</v>
      </c>
      <c r="F182" s="389">
        <v>15.721649484536099</v>
      </c>
      <c r="G182" s="321"/>
    </row>
    <row r="183" spans="1:7" s="199" customFormat="1" ht="15" customHeight="1" x14ac:dyDescent="0.2">
      <c r="A183" s="387" t="s">
        <v>358</v>
      </c>
      <c r="B183" s="388">
        <v>1934</v>
      </c>
      <c r="C183" s="388"/>
      <c r="D183" s="390" t="s">
        <v>70</v>
      </c>
      <c r="E183" s="389">
        <v>84.436401240951398</v>
      </c>
      <c r="F183" s="389">
        <v>15.563598759048601</v>
      </c>
      <c r="G183" s="321"/>
    </row>
    <row r="184" spans="1:7" s="199" customFormat="1" ht="15" customHeight="1" x14ac:dyDescent="0.2">
      <c r="A184" s="384" t="s">
        <v>412</v>
      </c>
      <c r="B184" s="385">
        <v>62199</v>
      </c>
      <c r="C184" s="385"/>
      <c r="D184" s="386">
        <v>4.7653499252399598</v>
      </c>
      <c r="E184" s="386">
        <v>73.764851524944206</v>
      </c>
      <c r="F184" s="386">
        <v>21.469798549815899</v>
      </c>
      <c r="G184" s="321"/>
    </row>
    <row r="185" spans="1:7" s="199" customFormat="1" ht="15" customHeight="1" x14ac:dyDescent="0.2">
      <c r="A185" s="387" t="s">
        <v>310</v>
      </c>
      <c r="B185" s="388">
        <v>11468</v>
      </c>
      <c r="C185" s="388"/>
      <c r="D185" s="389">
        <v>0.41855598186256998</v>
      </c>
      <c r="E185" s="389">
        <v>98.587373561213795</v>
      </c>
      <c r="F185" s="389">
        <v>0.99407045692360996</v>
      </c>
      <c r="G185" s="321"/>
    </row>
    <row r="186" spans="1:7" s="199" customFormat="1" ht="15" customHeight="1" x14ac:dyDescent="0.2">
      <c r="A186" s="387" t="s">
        <v>307</v>
      </c>
      <c r="B186" s="388">
        <v>11288</v>
      </c>
      <c r="C186" s="388"/>
      <c r="D186" s="389">
        <v>14.652728561304</v>
      </c>
      <c r="E186" s="389">
        <v>60.409284195605998</v>
      </c>
      <c r="F186" s="389">
        <v>24.937987243089999</v>
      </c>
      <c r="G186" s="321"/>
    </row>
    <row r="187" spans="1:7" s="199" customFormat="1" ht="15" customHeight="1" x14ac:dyDescent="0.2">
      <c r="A187" s="387" t="s">
        <v>487</v>
      </c>
      <c r="B187" s="388">
        <v>522</v>
      </c>
      <c r="C187" s="388"/>
      <c r="D187" s="389">
        <v>0.57471264367816</v>
      </c>
      <c r="E187" s="389">
        <v>84.865900383141806</v>
      </c>
      <c r="F187" s="389">
        <v>14.5593869731801</v>
      </c>
      <c r="G187" s="321"/>
    </row>
    <row r="188" spans="1:7" s="199" customFormat="1" ht="15" customHeight="1" x14ac:dyDescent="0.2">
      <c r="A188" s="387" t="s">
        <v>488</v>
      </c>
      <c r="B188" s="388">
        <v>439</v>
      </c>
      <c r="C188" s="388"/>
      <c r="D188" s="389">
        <v>0.22779043280181999</v>
      </c>
      <c r="E188" s="389">
        <v>97.722095671981805</v>
      </c>
      <c r="F188" s="389">
        <v>2.0501138952164002</v>
      </c>
      <c r="G188" s="321"/>
    </row>
    <row r="189" spans="1:7" s="199" customFormat="1" ht="15" customHeight="1" x14ac:dyDescent="0.2">
      <c r="A189" s="387" t="s">
        <v>489</v>
      </c>
      <c r="B189" s="388">
        <v>1376</v>
      </c>
      <c r="C189" s="388"/>
      <c r="D189" s="389">
        <v>0.50872093023256004</v>
      </c>
      <c r="E189" s="389">
        <v>81.177325581395394</v>
      </c>
      <c r="F189" s="389">
        <v>18.3139534883721</v>
      </c>
      <c r="G189" s="321"/>
    </row>
    <row r="190" spans="1:7" s="199" customFormat="1" ht="15" customHeight="1" x14ac:dyDescent="0.2">
      <c r="A190" s="387" t="s">
        <v>490</v>
      </c>
      <c r="B190" s="388">
        <v>143</v>
      </c>
      <c r="C190" s="388"/>
      <c r="D190" s="390" t="s">
        <v>70</v>
      </c>
      <c r="E190" s="389">
        <v>96.503496503496507</v>
      </c>
      <c r="F190" s="389">
        <v>3.4965034965034998</v>
      </c>
      <c r="G190" s="321"/>
    </row>
    <row r="191" spans="1:7" s="199" customFormat="1" ht="15" customHeight="1" x14ac:dyDescent="0.2">
      <c r="A191" s="387" t="s">
        <v>391</v>
      </c>
      <c r="B191" s="388">
        <v>2151</v>
      </c>
      <c r="C191" s="388"/>
      <c r="D191" s="389">
        <v>1.39470013947001</v>
      </c>
      <c r="E191" s="389">
        <v>36.634123663412403</v>
      </c>
      <c r="F191" s="389">
        <v>61.9711761971176</v>
      </c>
      <c r="G191" s="321"/>
    </row>
    <row r="192" spans="1:7" s="199" customFormat="1" ht="15" customHeight="1" x14ac:dyDescent="0.2">
      <c r="A192" s="387" t="s">
        <v>491</v>
      </c>
      <c r="B192" s="388">
        <v>677</v>
      </c>
      <c r="C192" s="388"/>
      <c r="D192" s="389">
        <v>0.29542097488921998</v>
      </c>
      <c r="E192" s="389">
        <v>24.224519940915801</v>
      </c>
      <c r="F192" s="389">
        <v>75.480059084195005</v>
      </c>
      <c r="G192" s="321"/>
    </row>
    <row r="193" spans="1:7" s="199" customFormat="1" ht="15" customHeight="1" x14ac:dyDescent="0.2">
      <c r="A193" s="387" t="s">
        <v>299</v>
      </c>
      <c r="B193" s="388">
        <v>9093</v>
      </c>
      <c r="C193" s="388"/>
      <c r="D193" s="389">
        <v>3.0243044099856999</v>
      </c>
      <c r="E193" s="389">
        <v>63.774331903662201</v>
      </c>
      <c r="F193" s="389">
        <v>33.201363686352103</v>
      </c>
      <c r="G193" s="321"/>
    </row>
    <row r="194" spans="1:7" s="199" customFormat="1" ht="15" customHeight="1" x14ac:dyDescent="0.2">
      <c r="A194" s="387" t="s">
        <v>288</v>
      </c>
      <c r="B194" s="388">
        <v>5268</v>
      </c>
      <c r="C194" s="388"/>
      <c r="D194" s="389">
        <v>9.6431283219438093</v>
      </c>
      <c r="E194" s="389">
        <v>64.009111617312101</v>
      </c>
      <c r="F194" s="389">
        <v>26.3477600607441</v>
      </c>
      <c r="G194" s="321"/>
    </row>
    <row r="195" spans="1:7" s="199" customFormat="1" ht="15" customHeight="1" x14ac:dyDescent="0.2">
      <c r="A195" s="387" t="s">
        <v>368</v>
      </c>
      <c r="B195" s="388">
        <v>780</v>
      </c>
      <c r="C195" s="388"/>
      <c r="D195" s="389">
        <v>0.76923076923077005</v>
      </c>
      <c r="E195" s="389">
        <v>51.025641025641001</v>
      </c>
      <c r="F195" s="389">
        <v>48.205128205128197</v>
      </c>
      <c r="G195" s="321"/>
    </row>
    <row r="196" spans="1:7" s="199" customFormat="1" ht="15" customHeight="1" x14ac:dyDescent="0.2">
      <c r="A196" s="387" t="s">
        <v>492</v>
      </c>
      <c r="B196" s="388">
        <v>1704</v>
      </c>
      <c r="C196" s="388"/>
      <c r="D196" s="390" t="s">
        <v>70</v>
      </c>
      <c r="E196" s="389">
        <v>99.119718309859195</v>
      </c>
      <c r="F196" s="389">
        <v>0.88028169014085</v>
      </c>
      <c r="G196" s="321"/>
    </row>
    <row r="197" spans="1:7" s="199" customFormat="1" ht="15" customHeight="1" x14ac:dyDescent="0.2">
      <c r="A197" s="387" t="s">
        <v>493</v>
      </c>
      <c r="B197" s="388">
        <v>674</v>
      </c>
      <c r="C197" s="388"/>
      <c r="D197" s="389">
        <v>0.89020771513353003</v>
      </c>
      <c r="E197" s="389">
        <v>91.691394658753694</v>
      </c>
      <c r="F197" s="389">
        <v>7.4183976261127604</v>
      </c>
      <c r="G197" s="321"/>
    </row>
    <row r="198" spans="1:7" s="199" customFormat="1" ht="15" customHeight="1" x14ac:dyDescent="0.2">
      <c r="A198" s="387" t="s">
        <v>494</v>
      </c>
      <c r="B198" s="388">
        <v>1546</v>
      </c>
      <c r="C198" s="388"/>
      <c r="D198" s="389">
        <v>1.8111254851228999</v>
      </c>
      <c r="E198" s="389">
        <v>81.630012936610598</v>
      </c>
      <c r="F198" s="389">
        <v>16.558861578266502</v>
      </c>
      <c r="G198" s="321"/>
    </row>
    <row r="199" spans="1:7" s="199" customFormat="1" ht="15" customHeight="1" x14ac:dyDescent="0.2">
      <c r="A199" s="387" t="s">
        <v>495</v>
      </c>
      <c r="B199" s="388">
        <v>1220</v>
      </c>
      <c r="C199" s="388"/>
      <c r="D199" s="389">
        <v>0.98360655737705005</v>
      </c>
      <c r="E199" s="389">
        <v>89.754098360655803</v>
      </c>
      <c r="F199" s="389">
        <v>9.2622950819672205</v>
      </c>
      <c r="G199" s="321"/>
    </row>
    <row r="200" spans="1:7" s="199" customFormat="1" ht="15" customHeight="1" x14ac:dyDescent="0.2">
      <c r="A200" s="387" t="s">
        <v>312</v>
      </c>
      <c r="B200" s="388">
        <v>6358</v>
      </c>
      <c r="C200" s="388"/>
      <c r="D200" s="389">
        <v>5.12739855300409</v>
      </c>
      <c r="E200" s="389">
        <v>93.692985215476597</v>
      </c>
      <c r="F200" s="389">
        <v>1.1796162315193499</v>
      </c>
      <c r="G200" s="321"/>
    </row>
    <row r="201" spans="1:7" s="199" customFormat="1" ht="15" customHeight="1" x14ac:dyDescent="0.2">
      <c r="A201" s="387" t="s">
        <v>496</v>
      </c>
      <c r="B201" s="388">
        <v>924</v>
      </c>
      <c r="C201" s="388"/>
      <c r="D201" s="389">
        <v>0.21645021645022</v>
      </c>
      <c r="E201" s="389">
        <v>51.7316017316017</v>
      </c>
      <c r="F201" s="389">
        <v>48.051948051948102</v>
      </c>
      <c r="G201" s="321"/>
    </row>
    <row r="202" spans="1:7" s="199" customFormat="1" ht="15" customHeight="1" x14ac:dyDescent="0.2">
      <c r="A202" s="387" t="s">
        <v>497</v>
      </c>
      <c r="B202" s="388">
        <v>1413</v>
      </c>
      <c r="C202" s="388"/>
      <c r="D202" s="389">
        <v>0.14154281670204999</v>
      </c>
      <c r="E202" s="389">
        <v>23.637650389242701</v>
      </c>
      <c r="F202" s="389">
        <v>76.220806794055207</v>
      </c>
      <c r="G202" s="321"/>
    </row>
    <row r="203" spans="1:7" s="199" customFormat="1" ht="15" customHeight="1" x14ac:dyDescent="0.2">
      <c r="A203" s="387" t="s">
        <v>498</v>
      </c>
      <c r="B203" s="388">
        <v>641</v>
      </c>
      <c r="C203" s="388"/>
      <c r="D203" s="390" t="s">
        <v>70</v>
      </c>
      <c r="E203" s="389">
        <v>62.558502340093597</v>
      </c>
      <c r="F203" s="389">
        <v>37.441497659906403</v>
      </c>
      <c r="G203" s="321"/>
    </row>
    <row r="204" spans="1:7" s="199" customFormat="1" ht="15" customHeight="1" x14ac:dyDescent="0.2">
      <c r="A204" s="387" t="s">
        <v>499</v>
      </c>
      <c r="B204" s="388">
        <v>1085</v>
      </c>
      <c r="C204" s="388"/>
      <c r="D204" s="389">
        <v>1.5668202764976999</v>
      </c>
      <c r="E204" s="389">
        <v>97.327188940092199</v>
      </c>
      <c r="F204" s="389">
        <v>1.1059907834101399</v>
      </c>
      <c r="G204" s="321"/>
    </row>
    <row r="205" spans="1:7" s="199" customFormat="1" ht="15" customHeight="1" x14ac:dyDescent="0.2">
      <c r="A205" s="387" t="s">
        <v>349</v>
      </c>
      <c r="B205" s="388">
        <v>3429</v>
      </c>
      <c r="C205" s="388"/>
      <c r="D205" s="389">
        <v>1.0790317876932101</v>
      </c>
      <c r="E205" s="389">
        <v>64.6835812190143</v>
      </c>
      <c r="F205" s="389">
        <v>34.237386993292503</v>
      </c>
      <c r="G205" s="321"/>
    </row>
    <row r="206" spans="1:7" s="199" customFormat="1" ht="15" customHeight="1" x14ac:dyDescent="0.2">
      <c r="A206" s="384" t="s">
        <v>330</v>
      </c>
      <c r="B206" s="385">
        <v>2399</v>
      </c>
      <c r="C206" s="385"/>
      <c r="D206" s="386">
        <v>99.958315964985502</v>
      </c>
      <c r="E206" s="386">
        <v>4.1684035014589997E-2</v>
      </c>
      <c r="F206" s="391" t="s">
        <v>70</v>
      </c>
      <c r="G206" s="321"/>
    </row>
    <row r="207" spans="1:7" s="199" customFormat="1" ht="15" customHeight="1" x14ac:dyDescent="0.2">
      <c r="A207" s="387" t="s">
        <v>330</v>
      </c>
      <c r="B207" s="388">
        <v>2399</v>
      </c>
      <c r="C207" s="388"/>
      <c r="D207" s="389">
        <v>99.958315964985502</v>
      </c>
      <c r="E207" s="389">
        <v>4.1684035014589997E-2</v>
      </c>
      <c r="F207" s="390" t="s">
        <v>70</v>
      </c>
      <c r="G207" s="321"/>
    </row>
    <row r="208" spans="1:7" s="199" customFormat="1" ht="15" customHeight="1" x14ac:dyDescent="0.2">
      <c r="A208" s="384" t="s">
        <v>500</v>
      </c>
      <c r="B208" s="385">
        <v>8434</v>
      </c>
      <c r="C208" s="385"/>
      <c r="D208" s="391" t="s">
        <v>70</v>
      </c>
      <c r="E208" s="386">
        <v>2.7507706900640301</v>
      </c>
      <c r="F208" s="386">
        <v>97.249229309935998</v>
      </c>
      <c r="G208" s="321"/>
    </row>
    <row r="209" spans="1:20" s="199" customFormat="1" ht="15" customHeight="1" x14ac:dyDescent="0.2">
      <c r="A209" s="387" t="s">
        <v>346</v>
      </c>
      <c r="B209" s="388">
        <v>1080</v>
      </c>
      <c r="C209" s="388"/>
      <c r="D209" s="390" t="s">
        <v>70</v>
      </c>
      <c r="E209" s="389">
        <v>0.27777777777778001</v>
      </c>
      <c r="F209" s="389">
        <v>99.7222222222223</v>
      </c>
      <c r="G209" s="321"/>
    </row>
    <row r="210" spans="1:20" s="199" customFormat="1" ht="15" customHeight="1" x14ac:dyDescent="0.2">
      <c r="A210" s="387" t="s">
        <v>341</v>
      </c>
      <c r="B210" s="388">
        <v>157</v>
      </c>
      <c r="C210" s="388"/>
      <c r="D210" s="390" t="s">
        <v>70</v>
      </c>
      <c r="E210" s="389">
        <v>0.63694267515923997</v>
      </c>
      <c r="F210" s="389">
        <v>99.363057324840796</v>
      </c>
      <c r="G210" s="321"/>
    </row>
    <row r="211" spans="1:20" s="199" customFormat="1" ht="15" customHeight="1" x14ac:dyDescent="0.2">
      <c r="A211" s="387" t="s">
        <v>501</v>
      </c>
      <c r="B211" s="388">
        <v>116</v>
      </c>
      <c r="C211" s="388"/>
      <c r="D211" s="390" t="s">
        <v>70</v>
      </c>
      <c r="E211" s="390" t="s">
        <v>70</v>
      </c>
      <c r="F211" s="389">
        <v>100</v>
      </c>
      <c r="G211" s="321"/>
    </row>
    <row r="212" spans="1:20" s="199" customFormat="1" ht="15" customHeight="1" x14ac:dyDescent="0.2">
      <c r="A212" s="387" t="s">
        <v>371</v>
      </c>
      <c r="B212" s="388">
        <v>949</v>
      </c>
      <c r="C212" s="388"/>
      <c r="D212" s="390" t="s">
        <v>70</v>
      </c>
      <c r="E212" s="389">
        <v>0.21074815595363999</v>
      </c>
      <c r="F212" s="389">
        <v>99.789251844046404</v>
      </c>
      <c r="G212" s="321"/>
    </row>
    <row r="213" spans="1:20" s="199" customFormat="1" ht="15" customHeight="1" x14ac:dyDescent="0.2">
      <c r="A213" s="387" t="s">
        <v>373</v>
      </c>
      <c r="B213" s="388">
        <v>676</v>
      </c>
      <c r="C213" s="388"/>
      <c r="D213" s="390" t="s">
        <v>70</v>
      </c>
      <c r="E213" s="389">
        <v>0.44378698224851998</v>
      </c>
      <c r="F213" s="389">
        <v>99.556213017751503</v>
      </c>
      <c r="G213" s="321"/>
    </row>
    <row r="214" spans="1:20" s="199" customFormat="1" ht="15" customHeight="1" x14ac:dyDescent="0.2">
      <c r="A214" s="387" t="s">
        <v>375</v>
      </c>
      <c r="B214" s="388">
        <v>302</v>
      </c>
      <c r="C214" s="388"/>
      <c r="D214" s="390" t="s">
        <v>70</v>
      </c>
      <c r="E214" s="390" t="s">
        <v>70</v>
      </c>
      <c r="F214" s="389">
        <v>100</v>
      </c>
      <c r="G214" s="321"/>
    </row>
    <row r="215" spans="1:20" s="199" customFormat="1" ht="15" customHeight="1" x14ac:dyDescent="0.2">
      <c r="A215" s="387" t="s">
        <v>374</v>
      </c>
      <c r="B215" s="388">
        <v>499</v>
      </c>
      <c r="C215" s="388"/>
      <c r="D215" s="390" t="s">
        <v>70</v>
      </c>
      <c r="E215" s="389">
        <v>0.20040080160321</v>
      </c>
      <c r="F215" s="389">
        <v>99.799599198396805</v>
      </c>
      <c r="G215" s="321"/>
    </row>
    <row r="216" spans="1:20" s="199" customFormat="1" ht="15" customHeight="1" x14ac:dyDescent="0.2">
      <c r="A216" s="387" t="s">
        <v>369</v>
      </c>
      <c r="B216" s="388">
        <v>305</v>
      </c>
      <c r="C216" s="388"/>
      <c r="D216" s="390" t="s">
        <v>70</v>
      </c>
      <c r="E216" s="389">
        <v>0.32786885245901998</v>
      </c>
      <c r="F216" s="389">
        <v>99.672131147540995</v>
      </c>
      <c r="G216" s="321"/>
    </row>
    <row r="217" spans="1:20" s="199" customFormat="1" ht="15" customHeight="1" x14ac:dyDescent="0.2">
      <c r="A217" s="387" t="s">
        <v>502</v>
      </c>
      <c r="B217" s="388">
        <v>75</v>
      </c>
      <c r="C217" s="388"/>
      <c r="D217" s="390" t="s">
        <v>70</v>
      </c>
      <c r="E217" s="390" t="s">
        <v>70</v>
      </c>
      <c r="F217" s="389">
        <v>100</v>
      </c>
      <c r="G217" s="321"/>
    </row>
    <row r="218" spans="1:20" s="199" customFormat="1" ht="15" customHeight="1" x14ac:dyDescent="0.2">
      <c r="A218" s="387" t="s">
        <v>503</v>
      </c>
      <c r="B218" s="388">
        <v>794</v>
      </c>
      <c r="C218" s="388"/>
      <c r="D218" s="390" t="s">
        <v>70</v>
      </c>
      <c r="E218" s="389">
        <v>14.357682619647401</v>
      </c>
      <c r="F218" s="389">
        <v>85.642317380352694</v>
      </c>
      <c r="G218" s="321"/>
    </row>
    <row r="219" spans="1:20" s="199" customFormat="1" ht="15" customHeight="1" x14ac:dyDescent="0.2">
      <c r="A219" s="387" t="s">
        <v>504</v>
      </c>
      <c r="B219" s="388">
        <v>144</v>
      </c>
      <c r="C219" s="388"/>
      <c r="D219" s="390" t="s">
        <v>70</v>
      </c>
      <c r="E219" s="389">
        <v>1.3888888888888899</v>
      </c>
      <c r="F219" s="389">
        <v>98.6111111111111</v>
      </c>
      <c r="G219" s="321"/>
    </row>
    <row r="220" spans="1:20" s="199" customFormat="1" ht="15" customHeight="1" x14ac:dyDescent="0.2">
      <c r="A220" s="387" t="s">
        <v>352</v>
      </c>
      <c r="B220" s="388">
        <v>1236</v>
      </c>
      <c r="C220" s="388"/>
      <c r="D220" s="390" t="s">
        <v>70</v>
      </c>
      <c r="E220" s="389">
        <v>1.2944983818770199</v>
      </c>
      <c r="F220" s="389">
        <v>98.705501618122995</v>
      </c>
      <c r="G220" s="321"/>
    </row>
    <row r="221" spans="1:20" s="199" customFormat="1" ht="15" customHeight="1" x14ac:dyDescent="0.2">
      <c r="A221" s="387" t="s">
        <v>357</v>
      </c>
      <c r="B221" s="388">
        <v>1103</v>
      </c>
      <c r="C221" s="388"/>
      <c r="D221" s="390" t="s">
        <v>70</v>
      </c>
      <c r="E221" s="389">
        <v>7.8875793291024499</v>
      </c>
      <c r="F221" s="389">
        <v>92.112420670897606</v>
      </c>
      <c r="G221" s="321"/>
    </row>
    <row r="222" spans="1:20" s="199" customFormat="1" ht="15" customHeight="1" x14ac:dyDescent="0.2">
      <c r="A222" s="387" t="s">
        <v>377</v>
      </c>
      <c r="B222" s="388">
        <v>171</v>
      </c>
      <c r="C222" s="388"/>
      <c r="D222" s="390" t="s">
        <v>70</v>
      </c>
      <c r="E222" s="390" t="s">
        <v>70</v>
      </c>
      <c r="F222" s="389">
        <v>100</v>
      </c>
      <c r="G222" s="321"/>
    </row>
    <row r="223" spans="1:20" s="199" customFormat="1" ht="15" customHeight="1" x14ac:dyDescent="0.2">
      <c r="A223" s="392" t="s">
        <v>354</v>
      </c>
      <c r="B223" s="393">
        <v>827</v>
      </c>
      <c r="C223" s="393"/>
      <c r="D223" s="394" t="s">
        <v>70</v>
      </c>
      <c r="E223" s="395">
        <v>0.24183796856105999</v>
      </c>
      <c r="F223" s="395">
        <v>99.758162031438999</v>
      </c>
      <c r="G223" s="321"/>
    </row>
    <row r="224" spans="1:20" s="165" customFormat="1" ht="15" customHeight="1" x14ac:dyDescent="0.2">
      <c r="A224" s="207" t="s">
        <v>615</v>
      </c>
      <c r="B224" s="207"/>
      <c r="C224" s="242"/>
      <c r="D224" s="439"/>
      <c r="E224" s="439"/>
      <c r="F224" s="548"/>
      <c r="G224" s="242"/>
      <c r="H224" s="439"/>
      <c r="I224" s="439"/>
      <c r="J224" s="548"/>
      <c r="K224" s="242"/>
      <c r="L224" s="439"/>
      <c r="M224" s="549"/>
      <c r="N224" s="548"/>
      <c r="O224" s="550"/>
      <c r="P224" s="439"/>
      <c r="Q224" s="549"/>
      <c r="R224" s="548"/>
      <c r="S224" s="550"/>
      <c r="T224" s="439"/>
    </row>
    <row r="225" spans="1:17" s="20" customFormat="1" ht="15" customHeight="1" x14ac:dyDescent="0.2">
      <c r="A225" s="20" t="s">
        <v>622</v>
      </c>
      <c r="B225" s="95"/>
      <c r="C225" s="86"/>
      <c r="D225" s="87"/>
      <c r="H225" s="95"/>
      <c r="I225" s="86"/>
      <c r="J225" s="87"/>
      <c r="N225" s="245"/>
      <c r="O225" s="246"/>
      <c r="P225" s="247"/>
      <c r="Q225" s="214"/>
    </row>
    <row r="226" spans="1:17" s="199" customFormat="1" ht="15" customHeight="1" x14ac:dyDescent="0.2">
      <c r="A226" s="20" t="s">
        <v>4</v>
      </c>
      <c r="B226" s="95"/>
      <c r="C226" s="86"/>
      <c r="D226" s="87"/>
      <c r="E226" s="20"/>
      <c r="F226" s="212"/>
      <c r="G226" s="95"/>
      <c r="H226" s="86"/>
      <c r="I226" s="87"/>
      <c r="J226" s="20"/>
      <c r="K226" s="212"/>
      <c r="L226" s="95"/>
      <c r="M226" s="86"/>
      <c r="N226" s="87"/>
      <c r="O226" s="20"/>
      <c r="P226" s="20"/>
    </row>
    <row r="227" spans="1:17" s="199" customFormat="1" ht="15" customHeight="1" x14ac:dyDescent="0.2">
      <c r="A227" s="95" t="s">
        <v>286</v>
      </c>
      <c r="B227" s="95"/>
      <c r="C227" s="95"/>
      <c r="D227" s="95"/>
      <c r="E227" s="95"/>
      <c r="F227" s="95"/>
      <c r="G227" s="95"/>
      <c r="H227" s="95"/>
      <c r="I227" s="95"/>
      <c r="J227" s="95"/>
      <c r="K227" s="95"/>
      <c r="L227" s="95"/>
      <c r="M227" s="95"/>
      <c r="N227" s="95"/>
      <c r="O227" s="95"/>
      <c r="P227" s="95"/>
    </row>
    <row r="228" spans="1:17" s="199" customFormat="1" ht="15" customHeight="1" x14ac:dyDescent="0.2">
      <c r="A228" s="95" t="s">
        <v>551</v>
      </c>
      <c r="B228" s="95"/>
      <c r="C228" s="95"/>
      <c r="D228" s="95"/>
      <c r="E228" s="95"/>
      <c r="F228" s="95"/>
      <c r="G228" s="95"/>
      <c r="H228" s="95"/>
      <c r="I228" s="95"/>
      <c r="J228" s="95"/>
      <c r="K228" s="95"/>
      <c r="L228" s="95"/>
      <c r="M228" s="95"/>
      <c r="N228" s="95"/>
      <c r="O228" s="95"/>
      <c r="P228" s="95"/>
    </row>
    <row r="229" spans="1:17" s="199" customFormat="1" ht="15" customHeight="1" x14ac:dyDescent="0.2">
      <c r="A229" s="95" t="s">
        <v>528</v>
      </c>
      <c r="B229" s="95"/>
      <c r="C229" s="95"/>
      <c r="D229" s="95"/>
      <c r="E229" s="95"/>
      <c r="F229" s="95"/>
      <c r="G229" s="95"/>
      <c r="H229" s="95"/>
      <c r="I229" s="95"/>
      <c r="J229" s="95"/>
      <c r="K229" s="95"/>
      <c r="L229" s="95"/>
      <c r="M229" s="95"/>
      <c r="N229" s="95"/>
      <c r="O229" s="95"/>
      <c r="P229" s="95"/>
    </row>
    <row r="230" spans="1:17" s="199" customFormat="1" ht="15" customHeight="1" x14ac:dyDescent="0.2">
      <c r="A230" s="218" t="s">
        <v>553</v>
      </c>
      <c r="B230" s="95"/>
      <c r="C230" s="86"/>
      <c r="D230" s="89"/>
      <c r="E230" s="96"/>
      <c r="F230" s="97"/>
      <c r="G230" s="95"/>
      <c r="H230" s="86"/>
      <c r="I230" s="89"/>
      <c r="J230" s="96"/>
      <c r="K230" s="97"/>
      <c r="L230" s="86"/>
      <c r="M230" s="89"/>
      <c r="N230" s="89"/>
      <c r="O230" s="20"/>
      <c r="P230" s="20"/>
    </row>
  </sheetData>
  <mergeCells count="2">
    <mergeCell ref="B3:B4"/>
    <mergeCell ref="D3:F3"/>
  </mergeCells>
  <hyperlinks>
    <hyperlink ref="A2" location="Contents!A1" display="Back to contents" xr:uid="{34CFEFDE-7A22-4BC8-B82B-5BDE24DE48D0}"/>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A0B93-CB14-439F-B4E0-E810E7B171C9}">
  <dimension ref="A1:T77"/>
  <sheetViews>
    <sheetView workbookViewId="0">
      <pane ySplit="4" topLeftCell="A5" activePane="bottomLeft" state="frozen"/>
      <selection activeCell="A2" sqref="A2"/>
      <selection pane="bottomLeft" activeCell="A5" sqref="A5"/>
    </sheetView>
  </sheetViews>
  <sheetFormatPr defaultColWidth="7.75" defaultRowHeight="15" customHeight="1" x14ac:dyDescent="0.2"/>
  <cols>
    <col min="1" max="1" width="7.625" style="288" customWidth="1"/>
    <col min="2" max="2" width="26.875" style="309" customWidth="1"/>
    <col min="3" max="3" width="8.25" style="310" customWidth="1"/>
    <col min="4" max="4" width="6.75" style="311" customWidth="1"/>
    <col min="5" max="5" width="2.625" style="288" customWidth="1"/>
    <col min="6" max="6" width="7.625" style="288" customWidth="1"/>
    <col min="7" max="7" width="26.875" style="309" customWidth="1"/>
    <col min="8" max="8" width="8.25" style="310" customWidth="1"/>
    <col min="9" max="9" width="6.75" style="311" customWidth="1"/>
    <col min="10" max="10" width="2.625" style="288" customWidth="1"/>
    <col min="11" max="11" width="7.625" style="288" customWidth="1"/>
    <col min="12" max="12" width="26.875" style="309" customWidth="1"/>
    <col min="13" max="13" width="8.25" style="310" customWidth="1"/>
    <col min="14" max="14" width="6.75" style="311" customWidth="1"/>
    <col min="15" max="15" width="2.625" style="288" customWidth="1"/>
    <col min="16" max="16" width="7.625" style="288" customWidth="1"/>
    <col min="17" max="17" width="26.875" style="288" customWidth="1"/>
    <col min="18" max="18" width="8.25" style="288" customWidth="1"/>
    <col min="19" max="19" width="6.75" style="288" customWidth="1"/>
    <col min="20" max="246" width="7.75" style="288"/>
    <col min="247" max="247" width="5" style="288" customWidth="1"/>
    <col min="248" max="248" width="44.375" style="288" customWidth="1"/>
    <col min="249" max="249" width="8.375" style="288" bestFit="1" customWidth="1"/>
    <col min="250" max="250" width="6.75" style="288" bestFit="1" customWidth="1"/>
    <col min="251" max="251" width="4.25" style="288" bestFit="1" customWidth="1"/>
    <col min="252" max="252" width="5.375" style="288" bestFit="1" customWidth="1"/>
    <col min="253" max="253" width="5" style="288" customWidth="1"/>
    <col min="254" max="254" width="44.375" style="288" customWidth="1"/>
    <col min="255" max="255" width="6.375" style="288" bestFit="1" customWidth="1"/>
    <col min="256" max="256" width="6.625" style="288" bestFit="1" customWidth="1"/>
    <col min="257" max="257" width="4.25" style="288" bestFit="1" customWidth="1"/>
    <col min="258" max="258" width="4.125" style="288" customWidth="1"/>
    <col min="259" max="259" width="5" style="288" customWidth="1"/>
    <col min="260" max="260" width="44.375" style="288" customWidth="1"/>
    <col min="261" max="261" width="6.375" style="288" bestFit="1" customWidth="1"/>
    <col min="262" max="262" width="6.625" style="288" bestFit="1" customWidth="1"/>
    <col min="263" max="263" width="4.25" style="288" bestFit="1" customWidth="1"/>
    <col min="264" max="502" width="7.75" style="288"/>
    <col min="503" max="503" width="5" style="288" customWidth="1"/>
    <col min="504" max="504" width="44.375" style="288" customWidth="1"/>
    <col min="505" max="505" width="8.375" style="288" bestFit="1" customWidth="1"/>
    <col min="506" max="506" width="6.75" style="288" bestFit="1" customWidth="1"/>
    <col min="507" max="507" width="4.25" style="288" bestFit="1" customWidth="1"/>
    <col min="508" max="508" width="5.375" style="288" bestFit="1" customWidth="1"/>
    <col min="509" max="509" width="5" style="288" customWidth="1"/>
    <col min="510" max="510" width="44.375" style="288" customWidth="1"/>
    <col min="511" max="511" width="6.375" style="288" bestFit="1" customWidth="1"/>
    <col min="512" max="512" width="6.625" style="288" bestFit="1" customWidth="1"/>
    <col min="513" max="513" width="4.25" style="288" bestFit="1" customWidth="1"/>
    <col min="514" max="514" width="4.125" style="288" customWidth="1"/>
    <col min="515" max="515" width="5" style="288" customWidth="1"/>
    <col min="516" max="516" width="44.375" style="288" customWidth="1"/>
    <col min="517" max="517" width="6.375" style="288" bestFit="1" customWidth="1"/>
    <col min="518" max="518" width="6.625" style="288" bestFit="1" customWidth="1"/>
    <col min="519" max="519" width="4.25" style="288" bestFit="1" customWidth="1"/>
    <col min="520" max="758" width="7.75" style="288"/>
    <col min="759" max="759" width="5" style="288" customWidth="1"/>
    <col min="760" max="760" width="44.375" style="288" customWidth="1"/>
    <col min="761" max="761" width="8.375" style="288" bestFit="1" customWidth="1"/>
    <col min="762" max="762" width="6.75" style="288" bestFit="1" customWidth="1"/>
    <col min="763" max="763" width="4.25" style="288" bestFit="1" customWidth="1"/>
    <col min="764" max="764" width="5.375" style="288" bestFit="1" customWidth="1"/>
    <col min="765" max="765" width="5" style="288" customWidth="1"/>
    <col min="766" max="766" width="44.375" style="288" customWidth="1"/>
    <col min="767" max="767" width="6.375" style="288" bestFit="1" customWidth="1"/>
    <col min="768" max="768" width="6.625" style="288" bestFit="1" customWidth="1"/>
    <col min="769" max="769" width="4.25" style="288" bestFit="1" customWidth="1"/>
    <col min="770" max="770" width="4.125" style="288" customWidth="1"/>
    <col min="771" max="771" width="5" style="288" customWidth="1"/>
    <col min="772" max="772" width="44.375" style="288" customWidth="1"/>
    <col min="773" max="773" width="6.375" style="288" bestFit="1" customWidth="1"/>
    <col min="774" max="774" width="6.625" style="288" bestFit="1" customWidth="1"/>
    <col min="775" max="775" width="4.25" style="288" bestFit="1" customWidth="1"/>
    <col min="776" max="1014" width="7.75" style="288"/>
    <col min="1015" max="1015" width="5" style="288" customWidth="1"/>
    <col min="1016" max="1016" width="44.375" style="288" customWidth="1"/>
    <col min="1017" max="1017" width="8.375" style="288" bestFit="1" customWidth="1"/>
    <col min="1018" max="1018" width="6.75" style="288" bestFit="1" customWidth="1"/>
    <col min="1019" max="1019" width="4.25" style="288" bestFit="1" customWidth="1"/>
    <col min="1020" max="1020" width="5.375" style="288" bestFit="1" customWidth="1"/>
    <col min="1021" max="1021" width="5" style="288" customWidth="1"/>
    <col min="1022" max="1022" width="44.375" style="288" customWidth="1"/>
    <col min="1023" max="1023" width="6.375" style="288" bestFit="1" customWidth="1"/>
    <col min="1024" max="1024" width="6.625" style="288" bestFit="1" customWidth="1"/>
    <col min="1025" max="1025" width="4.25" style="288" bestFit="1" customWidth="1"/>
    <col min="1026" max="1026" width="4.125" style="288" customWidth="1"/>
    <col min="1027" max="1027" width="5" style="288" customWidth="1"/>
    <col min="1028" max="1028" width="44.375" style="288" customWidth="1"/>
    <col min="1029" max="1029" width="6.375" style="288" bestFit="1" customWidth="1"/>
    <col min="1030" max="1030" width="6.625" style="288" bestFit="1" customWidth="1"/>
    <col min="1031" max="1031" width="4.25" style="288" bestFit="1" customWidth="1"/>
    <col min="1032" max="1270" width="7.75" style="288"/>
    <col min="1271" max="1271" width="5" style="288" customWidth="1"/>
    <col min="1272" max="1272" width="44.375" style="288" customWidth="1"/>
    <col min="1273" max="1273" width="8.375" style="288" bestFit="1" customWidth="1"/>
    <col min="1274" max="1274" width="6.75" style="288" bestFit="1" customWidth="1"/>
    <col min="1275" max="1275" width="4.25" style="288" bestFit="1" customWidth="1"/>
    <col min="1276" max="1276" width="5.375" style="288" bestFit="1" customWidth="1"/>
    <col min="1277" max="1277" width="5" style="288" customWidth="1"/>
    <col min="1278" max="1278" width="44.375" style="288" customWidth="1"/>
    <col min="1279" max="1279" width="6.375" style="288" bestFit="1" customWidth="1"/>
    <col min="1280" max="1280" width="6.625" style="288" bestFit="1" customWidth="1"/>
    <col min="1281" max="1281" width="4.25" style="288" bestFit="1" customWidth="1"/>
    <col min="1282" max="1282" width="4.125" style="288" customWidth="1"/>
    <col min="1283" max="1283" width="5" style="288" customWidth="1"/>
    <col min="1284" max="1284" width="44.375" style="288" customWidth="1"/>
    <col min="1285" max="1285" width="6.375" style="288" bestFit="1" customWidth="1"/>
    <col min="1286" max="1286" width="6.625" style="288" bestFit="1" customWidth="1"/>
    <col min="1287" max="1287" width="4.25" style="288" bestFit="1" customWidth="1"/>
    <col min="1288" max="1526" width="7.75" style="288"/>
    <col min="1527" max="1527" width="5" style="288" customWidth="1"/>
    <col min="1528" max="1528" width="44.375" style="288" customWidth="1"/>
    <col min="1529" max="1529" width="8.375" style="288" bestFit="1" customWidth="1"/>
    <col min="1530" max="1530" width="6.75" style="288" bestFit="1" customWidth="1"/>
    <col min="1531" max="1531" width="4.25" style="288" bestFit="1" customWidth="1"/>
    <col min="1532" max="1532" width="5.375" style="288" bestFit="1" customWidth="1"/>
    <col min="1533" max="1533" width="5" style="288" customWidth="1"/>
    <col min="1534" max="1534" width="44.375" style="288" customWidth="1"/>
    <col min="1535" max="1535" width="6.375" style="288" bestFit="1" customWidth="1"/>
    <col min="1536" max="1536" width="6.625" style="288" bestFit="1" customWidth="1"/>
    <col min="1537" max="1537" width="4.25" style="288" bestFit="1" customWidth="1"/>
    <col min="1538" max="1538" width="4.125" style="288" customWidth="1"/>
    <col min="1539" max="1539" width="5" style="288" customWidth="1"/>
    <col min="1540" max="1540" width="44.375" style="288" customWidth="1"/>
    <col min="1541" max="1541" width="6.375" style="288" bestFit="1" customWidth="1"/>
    <col min="1542" max="1542" width="6.625" style="288" bestFit="1" customWidth="1"/>
    <col min="1543" max="1543" width="4.25" style="288" bestFit="1" customWidth="1"/>
    <col min="1544" max="1782" width="7.75" style="288"/>
    <col min="1783" max="1783" width="5" style="288" customWidth="1"/>
    <col min="1784" max="1784" width="44.375" style="288" customWidth="1"/>
    <col min="1785" max="1785" width="8.375" style="288" bestFit="1" customWidth="1"/>
    <col min="1786" max="1786" width="6.75" style="288" bestFit="1" customWidth="1"/>
    <col min="1787" max="1787" width="4.25" style="288" bestFit="1" customWidth="1"/>
    <col min="1788" max="1788" width="5.375" style="288" bestFit="1" customWidth="1"/>
    <col min="1789" max="1789" width="5" style="288" customWidth="1"/>
    <col min="1790" max="1790" width="44.375" style="288" customWidth="1"/>
    <col min="1791" max="1791" width="6.375" style="288" bestFit="1" customWidth="1"/>
    <col min="1792" max="1792" width="6.625" style="288" bestFit="1" customWidth="1"/>
    <col min="1793" max="1793" width="4.25" style="288" bestFit="1" customWidth="1"/>
    <col min="1794" max="1794" width="4.125" style="288" customWidth="1"/>
    <col min="1795" max="1795" width="5" style="288" customWidth="1"/>
    <col min="1796" max="1796" width="44.375" style="288" customWidth="1"/>
    <col min="1797" max="1797" width="6.375" style="288" bestFit="1" customWidth="1"/>
    <col min="1798" max="1798" width="6.625" style="288" bestFit="1" customWidth="1"/>
    <col min="1799" max="1799" width="4.25" style="288" bestFit="1" customWidth="1"/>
    <col min="1800" max="2038" width="7.75" style="288"/>
    <col min="2039" max="2039" width="5" style="288" customWidth="1"/>
    <col min="2040" max="2040" width="44.375" style="288" customWidth="1"/>
    <col min="2041" max="2041" width="8.375" style="288" bestFit="1" customWidth="1"/>
    <col min="2042" max="2042" width="6.75" style="288" bestFit="1" customWidth="1"/>
    <col min="2043" max="2043" width="4.25" style="288" bestFit="1" customWidth="1"/>
    <col min="2044" max="2044" width="5.375" style="288" bestFit="1" customWidth="1"/>
    <col min="2045" max="2045" width="5" style="288" customWidth="1"/>
    <col min="2046" max="2046" width="44.375" style="288" customWidth="1"/>
    <col min="2047" max="2047" width="6.375" style="288" bestFit="1" customWidth="1"/>
    <col min="2048" max="2048" width="6.625" style="288" bestFit="1" customWidth="1"/>
    <col min="2049" max="2049" width="4.25" style="288" bestFit="1" customWidth="1"/>
    <col min="2050" max="2050" width="4.125" style="288" customWidth="1"/>
    <col min="2051" max="2051" width="5" style="288" customWidth="1"/>
    <col min="2052" max="2052" width="44.375" style="288" customWidth="1"/>
    <col min="2053" max="2053" width="6.375" style="288" bestFit="1" customWidth="1"/>
    <col min="2054" max="2054" width="6.625" style="288" bestFit="1" customWidth="1"/>
    <col min="2055" max="2055" width="4.25" style="288" bestFit="1" customWidth="1"/>
    <col min="2056" max="2294" width="7.75" style="288"/>
    <col min="2295" max="2295" width="5" style="288" customWidth="1"/>
    <col min="2296" max="2296" width="44.375" style="288" customWidth="1"/>
    <col min="2297" max="2297" width="8.375" style="288" bestFit="1" customWidth="1"/>
    <col min="2298" max="2298" width="6.75" style="288" bestFit="1" customWidth="1"/>
    <col min="2299" max="2299" width="4.25" style="288" bestFit="1" customWidth="1"/>
    <col min="2300" max="2300" width="5.375" style="288" bestFit="1" customWidth="1"/>
    <col min="2301" max="2301" width="5" style="288" customWidth="1"/>
    <col min="2302" max="2302" width="44.375" style="288" customWidth="1"/>
    <col min="2303" max="2303" width="6.375" style="288" bestFit="1" customWidth="1"/>
    <col min="2304" max="2304" width="6.625" style="288" bestFit="1" customWidth="1"/>
    <col min="2305" max="2305" width="4.25" style="288" bestFit="1" customWidth="1"/>
    <col min="2306" max="2306" width="4.125" style="288" customWidth="1"/>
    <col min="2307" max="2307" width="5" style="288" customWidth="1"/>
    <col min="2308" max="2308" width="44.375" style="288" customWidth="1"/>
    <col min="2309" max="2309" width="6.375" style="288" bestFit="1" customWidth="1"/>
    <col min="2310" max="2310" width="6.625" style="288" bestFit="1" customWidth="1"/>
    <col min="2311" max="2311" width="4.25" style="288" bestFit="1" customWidth="1"/>
    <col min="2312" max="2550" width="7.75" style="288"/>
    <col min="2551" max="2551" width="5" style="288" customWidth="1"/>
    <col min="2552" max="2552" width="44.375" style="288" customWidth="1"/>
    <col min="2553" max="2553" width="8.375" style="288" bestFit="1" customWidth="1"/>
    <col min="2554" max="2554" width="6.75" style="288" bestFit="1" customWidth="1"/>
    <col min="2555" max="2555" width="4.25" style="288" bestFit="1" customWidth="1"/>
    <col min="2556" max="2556" width="5.375" style="288" bestFit="1" customWidth="1"/>
    <col min="2557" max="2557" width="5" style="288" customWidth="1"/>
    <col min="2558" max="2558" width="44.375" style="288" customWidth="1"/>
    <col min="2559" max="2559" width="6.375" style="288" bestFit="1" customWidth="1"/>
    <col min="2560" max="2560" width="6.625" style="288" bestFit="1" customWidth="1"/>
    <col min="2561" max="2561" width="4.25" style="288" bestFit="1" customWidth="1"/>
    <col min="2562" max="2562" width="4.125" style="288" customWidth="1"/>
    <col min="2563" max="2563" width="5" style="288" customWidth="1"/>
    <col min="2564" max="2564" width="44.375" style="288" customWidth="1"/>
    <col min="2565" max="2565" width="6.375" style="288" bestFit="1" customWidth="1"/>
    <col min="2566" max="2566" width="6.625" style="288" bestFit="1" customWidth="1"/>
    <col min="2567" max="2567" width="4.25" style="288" bestFit="1" customWidth="1"/>
    <col min="2568" max="2806" width="7.75" style="288"/>
    <col min="2807" max="2807" width="5" style="288" customWidth="1"/>
    <col min="2808" max="2808" width="44.375" style="288" customWidth="1"/>
    <col min="2809" max="2809" width="8.375" style="288" bestFit="1" customWidth="1"/>
    <col min="2810" max="2810" width="6.75" style="288" bestFit="1" customWidth="1"/>
    <col min="2811" max="2811" width="4.25" style="288" bestFit="1" customWidth="1"/>
    <col min="2812" max="2812" width="5.375" style="288" bestFit="1" customWidth="1"/>
    <col min="2813" max="2813" width="5" style="288" customWidth="1"/>
    <col min="2814" max="2814" width="44.375" style="288" customWidth="1"/>
    <col min="2815" max="2815" width="6.375" style="288" bestFit="1" customWidth="1"/>
    <col min="2816" max="2816" width="6.625" style="288" bestFit="1" customWidth="1"/>
    <col min="2817" max="2817" width="4.25" style="288" bestFit="1" customWidth="1"/>
    <col min="2818" max="2818" width="4.125" style="288" customWidth="1"/>
    <col min="2819" max="2819" width="5" style="288" customWidth="1"/>
    <col min="2820" max="2820" width="44.375" style="288" customWidth="1"/>
    <col min="2821" max="2821" width="6.375" style="288" bestFit="1" customWidth="1"/>
    <col min="2822" max="2822" width="6.625" style="288" bestFit="1" customWidth="1"/>
    <col min="2823" max="2823" width="4.25" style="288" bestFit="1" customWidth="1"/>
    <col min="2824" max="3062" width="7.75" style="288"/>
    <col min="3063" max="3063" width="5" style="288" customWidth="1"/>
    <col min="3064" max="3064" width="44.375" style="288" customWidth="1"/>
    <col min="3065" max="3065" width="8.375" style="288" bestFit="1" customWidth="1"/>
    <col min="3066" max="3066" width="6.75" style="288" bestFit="1" customWidth="1"/>
    <col min="3067" max="3067" width="4.25" style="288" bestFit="1" customWidth="1"/>
    <col min="3068" max="3068" width="5.375" style="288" bestFit="1" customWidth="1"/>
    <col min="3069" max="3069" width="5" style="288" customWidth="1"/>
    <col min="3070" max="3070" width="44.375" style="288" customWidth="1"/>
    <col min="3071" max="3071" width="6.375" style="288" bestFit="1" customWidth="1"/>
    <col min="3072" max="3072" width="6.625" style="288" bestFit="1" customWidth="1"/>
    <col min="3073" max="3073" width="4.25" style="288" bestFit="1" customWidth="1"/>
    <col min="3074" max="3074" width="4.125" style="288" customWidth="1"/>
    <col min="3075" max="3075" width="5" style="288" customWidth="1"/>
    <col min="3076" max="3076" width="44.375" style="288" customWidth="1"/>
    <col min="3077" max="3077" width="6.375" style="288" bestFit="1" customWidth="1"/>
    <col min="3078" max="3078" width="6.625" style="288" bestFit="1" customWidth="1"/>
    <col min="3079" max="3079" width="4.25" style="288" bestFit="1" customWidth="1"/>
    <col min="3080" max="3318" width="7.75" style="288"/>
    <col min="3319" max="3319" width="5" style="288" customWidth="1"/>
    <col min="3320" max="3320" width="44.375" style="288" customWidth="1"/>
    <col min="3321" max="3321" width="8.375" style="288" bestFit="1" customWidth="1"/>
    <col min="3322" max="3322" width="6.75" style="288" bestFit="1" customWidth="1"/>
    <col min="3323" max="3323" width="4.25" style="288" bestFit="1" customWidth="1"/>
    <col min="3324" max="3324" width="5.375" style="288" bestFit="1" customWidth="1"/>
    <col min="3325" max="3325" width="5" style="288" customWidth="1"/>
    <col min="3326" max="3326" width="44.375" style="288" customWidth="1"/>
    <col min="3327" max="3327" width="6.375" style="288" bestFit="1" customWidth="1"/>
    <col min="3328" max="3328" width="6.625" style="288" bestFit="1" customWidth="1"/>
    <col min="3329" max="3329" width="4.25" style="288" bestFit="1" customWidth="1"/>
    <col min="3330" max="3330" width="4.125" style="288" customWidth="1"/>
    <col min="3331" max="3331" width="5" style="288" customWidth="1"/>
    <col min="3332" max="3332" width="44.375" style="288" customWidth="1"/>
    <col min="3333" max="3333" width="6.375" style="288" bestFit="1" customWidth="1"/>
    <col min="3334" max="3334" width="6.625" style="288" bestFit="1" customWidth="1"/>
    <col min="3335" max="3335" width="4.25" style="288" bestFit="1" customWidth="1"/>
    <col min="3336" max="3574" width="7.75" style="288"/>
    <col min="3575" max="3575" width="5" style="288" customWidth="1"/>
    <col min="3576" max="3576" width="44.375" style="288" customWidth="1"/>
    <col min="3577" max="3577" width="8.375" style="288" bestFit="1" customWidth="1"/>
    <col min="3578" max="3578" width="6.75" style="288" bestFit="1" customWidth="1"/>
    <col min="3579" max="3579" width="4.25" style="288" bestFit="1" customWidth="1"/>
    <col min="3580" max="3580" width="5.375" style="288" bestFit="1" customWidth="1"/>
    <col min="3581" max="3581" width="5" style="288" customWidth="1"/>
    <col min="3582" max="3582" width="44.375" style="288" customWidth="1"/>
    <col min="3583" max="3583" width="6.375" style="288" bestFit="1" customWidth="1"/>
    <col min="3584" max="3584" width="6.625" style="288" bestFit="1" customWidth="1"/>
    <col min="3585" max="3585" width="4.25" style="288" bestFit="1" customWidth="1"/>
    <col min="3586" max="3586" width="4.125" style="288" customWidth="1"/>
    <col min="3587" max="3587" width="5" style="288" customWidth="1"/>
    <col min="3588" max="3588" width="44.375" style="288" customWidth="1"/>
    <col min="3589" max="3589" width="6.375" style="288" bestFit="1" customWidth="1"/>
    <col min="3590" max="3590" width="6.625" style="288" bestFit="1" customWidth="1"/>
    <col min="3591" max="3591" width="4.25" style="288" bestFit="1" customWidth="1"/>
    <col min="3592" max="3830" width="7.75" style="288"/>
    <col min="3831" max="3831" width="5" style="288" customWidth="1"/>
    <col min="3832" max="3832" width="44.375" style="288" customWidth="1"/>
    <col min="3833" max="3833" width="8.375" style="288" bestFit="1" customWidth="1"/>
    <col min="3834" max="3834" width="6.75" style="288" bestFit="1" customWidth="1"/>
    <col min="3835" max="3835" width="4.25" style="288" bestFit="1" customWidth="1"/>
    <col min="3836" max="3836" width="5.375" style="288" bestFit="1" customWidth="1"/>
    <col min="3837" max="3837" width="5" style="288" customWidth="1"/>
    <col min="3838" max="3838" width="44.375" style="288" customWidth="1"/>
    <col min="3839" max="3839" width="6.375" style="288" bestFit="1" customWidth="1"/>
    <col min="3840" max="3840" width="6.625" style="288" bestFit="1" customWidth="1"/>
    <col min="3841" max="3841" width="4.25" style="288" bestFit="1" customWidth="1"/>
    <col min="3842" max="3842" width="4.125" style="288" customWidth="1"/>
    <col min="3843" max="3843" width="5" style="288" customWidth="1"/>
    <col min="3844" max="3844" width="44.375" style="288" customWidth="1"/>
    <col min="3845" max="3845" width="6.375" style="288" bestFit="1" customWidth="1"/>
    <col min="3846" max="3846" width="6.625" style="288" bestFit="1" customWidth="1"/>
    <col min="3847" max="3847" width="4.25" style="288" bestFit="1" customWidth="1"/>
    <col min="3848" max="4086" width="7.75" style="288"/>
    <col min="4087" max="4087" width="5" style="288" customWidth="1"/>
    <col min="4088" max="4088" width="44.375" style="288" customWidth="1"/>
    <col min="4089" max="4089" width="8.375" style="288" bestFit="1" customWidth="1"/>
    <col min="4090" max="4090" width="6.75" style="288" bestFit="1" customWidth="1"/>
    <col min="4091" max="4091" width="4.25" style="288" bestFit="1" customWidth="1"/>
    <col min="4092" max="4092" width="5.375" style="288" bestFit="1" customWidth="1"/>
    <col min="4093" max="4093" width="5" style="288" customWidth="1"/>
    <col min="4094" max="4094" width="44.375" style="288" customWidth="1"/>
    <col min="4095" max="4095" width="6.375" style="288" bestFit="1" customWidth="1"/>
    <col min="4096" max="4096" width="6.625" style="288" bestFit="1" customWidth="1"/>
    <col min="4097" max="4097" width="4.25" style="288" bestFit="1" customWidth="1"/>
    <col min="4098" max="4098" width="4.125" style="288" customWidth="1"/>
    <col min="4099" max="4099" width="5" style="288" customWidth="1"/>
    <col min="4100" max="4100" width="44.375" style="288" customWidth="1"/>
    <col min="4101" max="4101" width="6.375" style="288" bestFit="1" customWidth="1"/>
    <col min="4102" max="4102" width="6.625" style="288" bestFit="1" customWidth="1"/>
    <col min="4103" max="4103" width="4.25" style="288" bestFit="1" customWidth="1"/>
    <col min="4104" max="4342" width="7.75" style="288"/>
    <col min="4343" max="4343" width="5" style="288" customWidth="1"/>
    <col min="4344" max="4344" width="44.375" style="288" customWidth="1"/>
    <col min="4345" max="4345" width="8.375" style="288" bestFit="1" customWidth="1"/>
    <col min="4346" max="4346" width="6.75" style="288" bestFit="1" customWidth="1"/>
    <col min="4347" max="4347" width="4.25" style="288" bestFit="1" customWidth="1"/>
    <col min="4348" max="4348" width="5.375" style="288" bestFit="1" customWidth="1"/>
    <col min="4349" max="4349" width="5" style="288" customWidth="1"/>
    <col min="4350" max="4350" width="44.375" style="288" customWidth="1"/>
    <col min="4351" max="4351" width="6.375" style="288" bestFit="1" customWidth="1"/>
    <col min="4352" max="4352" width="6.625" style="288" bestFit="1" customWidth="1"/>
    <col min="4353" max="4353" width="4.25" style="288" bestFit="1" customWidth="1"/>
    <col min="4354" max="4354" width="4.125" style="288" customWidth="1"/>
    <col min="4355" max="4355" width="5" style="288" customWidth="1"/>
    <col min="4356" max="4356" width="44.375" style="288" customWidth="1"/>
    <col min="4357" max="4357" width="6.375" style="288" bestFit="1" customWidth="1"/>
    <col min="4358" max="4358" width="6.625" style="288" bestFit="1" customWidth="1"/>
    <col min="4359" max="4359" width="4.25" style="288" bestFit="1" customWidth="1"/>
    <col min="4360" max="4598" width="7.75" style="288"/>
    <col min="4599" max="4599" width="5" style="288" customWidth="1"/>
    <col min="4600" max="4600" width="44.375" style="288" customWidth="1"/>
    <col min="4601" max="4601" width="8.375" style="288" bestFit="1" customWidth="1"/>
    <col min="4602" max="4602" width="6.75" style="288" bestFit="1" customWidth="1"/>
    <col min="4603" max="4603" width="4.25" style="288" bestFit="1" customWidth="1"/>
    <col min="4604" max="4604" width="5.375" style="288" bestFit="1" customWidth="1"/>
    <col min="4605" max="4605" width="5" style="288" customWidth="1"/>
    <col min="4606" max="4606" width="44.375" style="288" customWidth="1"/>
    <col min="4607" max="4607" width="6.375" style="288" bestFit="1" customWidth="1"/>
    <col min="4608" max="4608" width="6.625" style="288" bestFit="1" customWidth="1"/>
    <col min="4609" max="4609" width="4.25" style="288" bestFit="1" customWidth="1"/>
    <col min="4610" max="4610" width="4.125" style="288" customWidth="1"/>
    <col min="4611" max="4611" width="5" style="288" customWidth="1"/>
    <col min="4612" max="4612" width="44.375" style="288" customWidth="1"/>
    <col min="4613" max="4613" width="6.375" style="288" bestFit="1" customWidth="1"/>
    <col min="4614" max="4614" width="6.625" style="288" bestFit="1" customWidth="1"/>
    <col min="4615" max="4615" width="4.25" style="288" bestFit="1" customWidth="1"/>
    <col min="4616" max="4854" width="7.75" style="288"/>
    <col min="4855" max="4855" width="5" style="288" customWidth="1"/>
    <col min="4856" max="4856" width="44.375" style="288" customWidth="1"/>
    <col min="4857" max="4857" width="8.375" style="288" bestFit="1" customWidth="1"/>
    <col min="4858" max="4858" width="6.75" style="288" bestFit="1" customWidth="1"/>
    <col min="4859" max="4859" width="4.25" style="288" bestFit="1" customWidth="1"/>
    <col min="4860" max="4860" width="5.375" style="288" bestFit="1" customWidth="1"/>
    <col min="4861" max="4861" width="5" style="288" customWidth="1"/>
    <col min="4862" max="4862" width="44.375" style="288" customWidth="1"/>
    <col min="4863" max="4863" width="6.375" style="288" bestFit="1" customWidth="1"/>
    <col min="4864" max="4864" width="6.625" style="288" bestFit="1" customWidth="1"/>
    <col min="4865" max="4865" width="4.25" style="288" bestFit="1" customWidth="1"/>
    <col min="4866" max="4866" width="4.125" style="288" customWidth="1"/>
    <col min="4867" max="4867" width="5" style="288" customWidth="1"/>
    <col min="4868" max="4868" width="44.375" style="288" customWidth="1"/>
    <col min="4869" max="4869" width="6.375" style="288" bestFit="1" customWidth="1"/>
    <col min="4870" max="4870" width="6.625" style="288" bestFit="1" customWidth="1"/>
    <col min="4871" max="4871" width="4.25" style="288" bestFit="1" customWidth="1"/>
    <col min="4872" max="5110" width="7.75" style="288"/>
    <col min="5111" max="5111" width="5" style="288" customWidth="1"/>
    <col min="5112" max="5112" width="44.375" style="288" customWidth="1"/>
    <col min="5113" max="5113" width="8.375" style="288" bestFit="1" customWidth="1"/>
    <col min="5114" max="5114" width="6.75" style="288" bestFit="1" customWidth="1"/>
    <col min="5115" max="5115" width="4.25" style="288" bestFit="1" customWidth="1"/>
    <col min="5116" max="5116" width="5.375" style="288" bestFit="1" customWidth="1"/>
    <col min="5117" max="5117" width="5" style="288" customWidth="1"/>
    <col min="5118" max="5118" width="44.375" style="288" customWidth="1"/>
    <col min="5119" max="5119" width="6.375" style="288" bestFit="1" customWidth="1"/>
    <col min="5120" max="5120" width="6.625" style="288" bestFit="1" customWidth="1"/>
    <col min="5121" max="5121" width="4.25" style="288" bestFit="1" customWidth="1"/>
    <col min="5122" max="5122" width="4.125" style="288" customWidth="1"/>
    <col min="5123" max="5123" width="5" style="288" customWidth="1"/>
    <col min="5124" max="5124" width="44.375" style="288" customWidth="1"/>
    <col min="5125" max="5125" width="6.375" style="288" bestFit="1" customWidth="1"/>
    <col min="5126" max="5126" width="6.625" style="288" bestFit="1" customWidth="1"/>
    <col min="5127" max="5127" width="4.25" style="288" bestFit="1" customWidth="1"/>
    <col min="5128" max="5366" width="7.75" style="288"/>
    <col min="5367" max="5367" width="5" style="288" customWidth="1"/>
    <col min="5368" max="5368" width="44.375" style="288" customWidth="1"/>
    <col min="5369" max="5369" width="8.375" style="288" bestFit="1" customWidth="1"/>
    <col min="5370" max="5370" width="6.75" style="288" bestFit="1" customWidth="1"/>
    <col min="5371" max="5371" width="4.25" style="288" bestFit="1" customWidth="1"/>
    <col min="5372" max="5372" width="5.375" style="288" bestFit="1" customWidth="1"/>
    <col min="5373" max="5373" width="5" style="288" customWidth="1"/>
    <col min="5374" max="5374" width="44.375" style="288" customWidth="1"/>
    <col min="5375" max="5375" width="6.375" style="288" bestFit="1" customWidth="1"/>
    <col min="5376" max="5376" width="6.625" style="288" bestFit="1" customWidth="1"/>
    <col min="5377" max="5377" width="4.25" style="288" bestFit="1" customWidth="1"/>
    <col min="5378" max="5378" width="4.125" style="288" customWidth="1"/>
    <col min="5379" max="5379" width="5" style="288" customWidth="1"/>
    <col min="5380" max="5380" width="44.375" style="288" customWidth="1"/>
    <col min="5381" max="5381" width="6.375" style="288" bestFit="1" customWidth="1"/>
    <col min="5382" max="5382" width="6.625" style="288" bestFit="1" customWidth="1"/>
    <col min="5383" max="5383" width="4.25" style="288" bestFit="1" customWidth="1"/>
    <col min="5384" max="5622" width="7.75" style="288"/>
    <col min="5623" max="5623" width="5" style="288" customWidth="1"/>
    <col min="5624" max="5624" width="44.375" style="288" customWidth="1"/>
    <col min="5625" max="5625" width="8.375" style="288" bestFit="1" customWidth="1"/>
    <col min="5626" max="5626" width="6.75" style="288" bestFit="1" customWidth="1"/>
    <col min="5627" max="5627" width="4.25" style="288" bestFit="1" customWidth="1"/>
    <col min="5628" max="5628" width="5.375" style="288" bestFit="1" customWidth="1"/>
    <col min="5629" max="5629" width="5" style="288" customWidth="1"/>
    <col min="5630" max="5630" width="44.375" style="288" customWidth="1"/>
    <col min="5631" max="5631" width="6.375" style="288" bestFit="1" customWidth="1"/>
    <col min="5632" max="5632" width="6.625" style="288" bestFit="1" customWidth="1"/>
    <col min="5633" max="5633" width="4.25" style="288" bestFit="1" customWidth="1"/>
    <col min="5634" max="5634" width="4.125" style="288" customWidth="1"/>
    <col min="5635" max="5635" width="5" style="288" customWidth="1"/>
    <col min="5636" max="5636" width="44.375" style="288" customWidth="1"/>
    <col min="5637" max="5637" width="6.375" style="288" bestFit="1" customWidth="1"/>
    <col min="5638" max="5638" width="6.625" style="288" bestFit="1" customWidth="1"/>
    <col min="5639" max="5639" width="4.25" style="288" bestFit="1" customWidth="1"/>
    <col min="5640" max="5878" width="7.75" style="288"/>
    <col min="5879" max="5879" width="5" style="288" customWidth="1"/>
    <col min="5880" max="5880" width="44.375" style="288" customWidth="1"/>
    <col min="5881" max="5881" width="8.375" style="288" bestFit="1" customWidth="1"/>
    <col min="5882" max="5882" width="6.75" style="288" bestFit="1" customWidth="1"/>
    <col min="5883" max="5883" width="4.25" style="288" bestFit="1" customWidth="1"/>
    <col min="5884" max="5884" width="5.375" style="288" bestFit="1" customWidth="1"/>
    <col min="5885" max="5885" width="5" style="288" customWidth="1"/>
    <col min="5886" max="5886" width="44.375" style="288" customWidth="1"/>
    <col min="5887" max="5887" width="6.375" style="288" bestFit="1" customWidth="1"/>
    <col min="5888" max="5888" width="6.625" style="288" bestFit="1" customWidth="1"/>
    <col min="5889" max="5889" width="4.25" style="288" bestFit="1" customWidth="1"/>
    <col min="5890" max="5890" width="4.125" style="288" customWidth="1"/>
    <col min="5891" max="5891" width="5" style="288" customWidth="1"/>
    <col min="5892" max="5892" width="44.375" style="288" customWidth="1"/>
    <col min="5893" max="5893" width="6.375" style="288" bestFit="1" customWidth="1"/>
    <col min="5894" max="5894" width="6.625" style="288" bestFit="1" customWidth="1"/>
    <col min="5895" max="5895" width="4.25" style="288" bestFit="1" customWidth="1"/>
    <col min="5896" max="6134" width="7.75" style="288"/>
    <col min="6135" max="6135" width="5" style="288" customWidth="1"/>
    <col min="6136" max="6136" width="44.375" style="288" customWidth="1"/>
    <col min="6137" max="6137" width="8.375" style="288" bestFit="1" customWidth="1"/>
    <col min="6138" max="6138" width="6.75" style="288" bestFit="1" customWidth="1"/>
    <col min="6139" max="6139" width="4.25" style="288" bestFit="1" customWidth="1"/>
    <col min="6140" max="6140" width="5.375" style="288" bestFit="1" customWidth="1"/>
    <col min="6141" max="6141" width="5" style="288" customWidth="1"/>
    <col min="6142" max="6142" width="44.375" style="288" customWidth="1"/>
    <col min="6143" max="6143" width="6.375" style="288" bestFit="1" customWidth="1"/>
    <col min="6144" max="6144" width="6.625" style="288" bestFit="1" customWidth="1"/>
    <col min="6145" max="6145" width="4.25" style="288" bestFit="1" customWidth="1"/>
    <col min="6146" max="6146" width="4.125" style="288" customWidth="1"/>
    <col min="6147" max="6147" width="5" style="288" customWidth="1"/>
    <col min="6148" max="6148" width="44.375" style="288" customWidth="1"/>
    <col min="6149" max="6149" width="6.375" style="288" bestFit="1" customWidth="1"/>
    <col min="6150" max="6150" width="6.625" style="288" bestFit="1" customWidth="1"/>
    <col min="6151" max="6151" width="4.25" style="288" bestFit="1" customWidth="1"/>
    <col min="6152" max="6390" width="7.75" style="288"/>
    <col min="6391" max="6391" width="5" style="288" customWidth="1"/>
    <col min="6392" max="6392" width="44.375" style="288" customWidth="1"/>
    <col min="6393" max="6393" width="8.375" style="288" bestFit="1" customWidth="1"/>
    <col min="6394" max="6394" width="6.75" style="288" bestFit="1" customWidth="1"/>
    <col min="6395" max="6395" width="4.25" style="288" bestFit="1" customWidth="1"/>
    <col min="6396" max="6396" width="5.375" style="288" bestFit="1" customWidth="1"/>
    <col min="6397" max="6397" width="5" style="288" customWidth="1"/>
    <col min="6398" max="6398" width="44.375" style="288" customWidth="1"/>
    <col min="6399" max="6399" width="6.375" style="288" bestFit="1" customWidth="1"/>
    <col min="6400" max="6400" width="6.625" style="288" bestFit="1" customWidth="1"/>
    <col min="6401" max="6401" width="4.25" style="288" bestFit="1" customWidth="1"/>
    <col min="6402" max="6402" width="4.125" style="288" customWidth="1"/>
    <col min="6403" max="6403" width="5" style="288" customWidth="1"/>
    <col min="6404" max="6404" width="44.375" style="288" customWidth="1"/>
    <col min="6405" max="6405" width="6.375" style="288" bestFit="1" customWidth="1"/>
    <col min="6406" max="6406" width="6.625" style="288" bestFit="1" customWidth="1"/>
    <col min="6407" max="6407" width="4.25" style="288" bestFit="1" customWidth="1"/>
    <col min="6408" max="6646" width="7.75" style="288"/>
    <col min="6647" max="6647" width="5" style="288" customWidth="1"/>
    <col min="6648" max="6648" width="44.375" style="288" customWidth="1"/>
    <col min="6649" max="6649" width="8.375" style="288" bestFit="1" customWidth="1"/>
    <col min="6650" max="6650" width="6.75" style="288" bestFit="1" customWidth="1"/>
    <col min="6651" max="6651" width="4.25" style="288" bestFit="1" customWidth="1"/>
    <col min="6652" max="6652" width="5.375" style="288" bestFit="1" customWidth="1"/>
    <col min="6653" max="6653" width="5" style="288" customWidth="1"/>
    <col min="6654" max="6654" width="44.375" style="288" customWidth="1"/>
    <col min="6655" max="6655" width="6.375" style="288" bestFit="1" customWidth="1"/>
    <col min="6656" max="6656" width="6.625" style="288" bestFit="1" customWidth="1"/>
    <col min="6657" max="6657" width="4.25" style="288" bestFit="1" customWidth="1"/>
    <col min="6658" max="6658" width="4.125" style="288" customWidth="1"/>
    <col min="6659" max="6659" width="5" style="288" customWidth="1"/>
    <col min="6660" max="6660" width="44.375" style="288" customWidth="1"/>
    <col min="6661" max="6661" width="6.375" style="288" bestFit="1" customWidth="1"/>
    <col min="6662" max="6662" width="6.625" style="288" bestFit="1" customWidth="1"/>
    <col min="6663" max="6663" width="4.25" style="288" bestFit="1" customWidth="1"/>
    <col min="6664" max="6902" width="7.75" style="288"/>
    <col min="6903" max="6903" width="5" style="288" customWidth="1"/>
    <col min="6904" max="6904" width="44.375" style="288" customWidth="1"/>
    <col min="6905" max="6905" width="8.375" style="288" bestFit="1" customWidth="1"/>
    <col min="6906" max="6906" width="6.75" style="288" bestFit="1" customWidth="1"/>
    <col min="6907" max="6907" width="4.25" style="288" bestFit="1" customWidth="1"/>
    <col min="6908" max="6908" width="5.375" style="288" bestFit="1" customWidth="1"/>
    <col min="6909" max="6909" width="5" style="288" customWidth="1"/>
    <col min="6910" max="6910" width="44.375" style="288" customWidth="1"/>
    <col min="6911" max="6911" width="6.375" style="288" bestFit="1" customWidth="1"/>
    <col min="6912" max="6912" width="6.625" style="288" bestFit="1" customWidth="1"/>
    <col min="6913" max="6913" width="4.25" style="288" bestFit="1" customWidth="1"/>
    <col min="6914" max="6914" width="4.125" style="288" customWidth="1"/>
    <col min="6915" max="6915" width="5" style="288" customWidth="1"/>
    <col min="6916" max="6916" width="44.375" style="288" customWidth="1"/>
    <col min="6917" max="6917" width="6.375" style="288" bestFit="1" customWidth="1"/>
    <col min="6918" max="6918" width="6.625" style="288" bestFit="1" customWidth="1"/>
    <col min="6919" max="6919" width="4.25" style="288" bestFit="1" customWidth="1"/>
    <col min="6920" max="7158" width="7.75" style="288"/>
    <col min="7159" max="7159" width="5" style="288" customWidth="1"/>
    <col min="7160" max="7160" width="44.375" style="288" customWidth="1"/>
    <col min="7161" max="7161" width="8.375" style="288" bestFit="1" customWidth="1"/>
    <col min="7162" max="7162" width="6.75" style="288" bestFit="1" customWidth="1"/>
    <col min="7163" max="7163" width="4.25" style="288" bestFit="1" customWidth="1"/>
    <col min="7164" max="7164" width="5.375" style="288" bestFit="1" customWidth="1"/>
    <col min="7165" max="7165" width="5" style="288" customWidth="1"/>
    <col min="7166" max="7166" width="44.375" style="288" customWidth="1"/>
    <col min="7167" max="7167" width="6.375" style="288" bestFit="1" customWidth="1"/>
    <col min="7168" max="7168" width="6.625" style="288" bestFit="1" customWidth="1"/>
    <col min="7169" max="7169" width="4.25" style="288" bestFit="1" customWidth="1"/>
    <col min="7170" max="7170" width="4.125" style="288" customWidth="1"/>
    <col min="7171" max="7171" width="5" style="288" customWidth="1"/>
    <col min="7172" max="7172" width="44.375" style="288" customWidth="1"/>
    <col min="7173" max="7173" width="6.375" style="288" bestFit="1" customWidth="1"/>
    <col min="7174" max="7174" width="6.625" style="288" bestFit="1" customWidth="1"/>
    <col min="7175" max="7175" width="4.25" style="288" bestFit="1" customWidth="1"/>
    <col min="7176" max="7414" width="7.75" style="288"/>
    <col min="7415" max="7415" width="5" style="288" customWidth="1"/>
    <col min="7416" max="7416" width="44.375" style="288" customWidth="1"/>
    <col min="7417" max="7417" width="8.375" style="288" bestFit="1" customWidth="1"/>
    <col min="7418" max="7418" width="6.75" style="288" bestFit="1" customWidth="1"/>
    <col min="7419" max="7419" width="4.25" style="288" bestFit="1" customWidth="1"/>
    <col min="7420" max="7420" width="5.375" style="288" bestFit="1" customWidth="1"/>
    <col min="7421" max="7421" width="5" style="288" customWidth="1"/>
    <col min="7422" max="7422" width="44.375" style="288" customWidth="1"/>
    <col min="7423" max="7423" width="6.375" style="288" bestFit="1" customWidth="1"/>
    <col min="7424" max="7424" width="6.625" style="288" bestFit="1" customWidth="1"/>
    <col min="7425" max="7425" width="4.25" style="288" bestFit="1" customWidth="1"/>
    <col min="7426" max="7426" width="4.125" style="288" customWidth="1"/>
    <col min="7427" max="7427" width="5" style="288" customWidth="1"/>
    <col min="7428" max="7428" width="44.375" style="288" customWidth="1"/>
    <col min="7429" max="7429" width="6.375" style="288" bestFit="1" customWidth="1"/>
    <col min="7430" max="7430" width="6.625" style="288" bestFit="1" customWidth="1"/>
    <col min="7431" max="7431" width="4.25" style="288" bestFit="1" customWidth="1"/>
    <col min="7432" max="7670" width="7.75" style="288"/>
    <col min="7671" max="7671" width="5" style="288" customWidth="1"/>
    <col min="7672" max="7672" width="44.375" style="288" customWidth="1"/>
    <col min="7673" max="7673" width="8.375" style="288" bestFit="1" customWidth="1"/>
    <col min="7674" max="7674" width="6.75" style="288" bestFit="1" customWidth="1"/>
    <col min="7675" max="7675" width="4.25" style="288" bestFit="1" customWidth="1"/>
    <col min="7676" max="7676" width="5.375" style="288" bestFit="1" customWidth="1"/>
    <col min="7677" max="7677" width="5" style="288" customWidth="1"/>
    <col min="7678" max="7678" width="44.375" style="288" customWidth="1"/>
    <col min="7679" max="7679" width="6.375" style="288" bestFit="1" customWidth="1"/>
    <col min="7680" max="7680" width="6.625" style="288" bestFit="1" customWidth="1"/>
    <col min="7681" max="7681" width="4.25" style="288" bestFit="1" customWidth="1"/>
    <col min="7682" max="7682" width="4.125" style="288" customWidth="1"/>
    <col min="7683" max="7683" width="5" style="288" customWidth="1"/>
    <col min="7684" max="7684" width="44.375" style="288" customWidth="1"/>
    <col min="7685" max="7685" width="6.375" style="288" bestFit="1" customWidth="1"/>
    <col min="7686" max="7686" width="6.625" style="288" bestFit="1" customWidth="1"/>
    <col min="7687" max="7687" width="4.25" style="288" bestFit="1" customWidth="1"/>
    <col min="7688" max="7926" width="7.75" style="288"/>
    <col min="7927" max="7927" width="5" style="288" customWidth="1"/>
    <col min="7928" max="7928" width="44.375" style="288" customWidth="1"/>
    <col min="7929" max="7929" width="8.375" style="288" bestFit="1" customWidth="1"/>
    <col min="7930" max="7930" width="6.75" style="288" bestFit="1" customWidth="1"/>
    <col min="7931" max="7931" width="4.25" style="288" bestFit="1" customWidth="1"/>
    <col min="7932" max="7932" width="5.375" style="288" bestFit="1" customWidth="1"/>
    <col min="7933" max="7933" width="5" style="288" customWidth="1"/>
    <col min="7934" max="7934" width="44.375" style="288" customWidth="1"/>
    <col min="7935" max="7935" width="6.375" style="288" bestFit="1" customWidth="1"/>
    <col min="7936" max="7936" width="6.625" style="288" bestFit="1" customWidth="1"/>
    <col min="7937" max="7937" width="4.25" style="288" bestFit="1" customWidth="1"/>
    <col min="7938" max="7938" width="4.125" style="288" customWidth="1"/>
    <col min="7939" max="7939" width="5" style="288" customWidth="1"/>
    <col min="7940" max="7940" width="44.375" style="288" customWidth="1"/>
    <col min="7941" max="7941" width="6.375" style="288" bestFit="1" customWidth="1"/>
    <col min="7942" max="7942" width="6.625" style="288" bestFit="1" customWidth="1"/>
    <col min="7943" max="7943" width="4.25" style="288" bestFit="1" customWidth="1"/>
    <col min="7944" max="8182" width="7.75" style="288"/>
    <col min="8183" max="8183" width="5" style="288" customWidth="1"/>
    <col min="8184" max="8184" width="44.375" style="288" customWidth="1"/>
    <col min="8185" max="8185" width="8.375" style="288" bestFit="1" customWidth="1"/>
    <col min="8186" max="8186" width="6.75" style="288" bestFit="1" customWidth="1"/>
    <col min="8187" max="8187" width="4.25" style="288" bestFit="1" customWidth="1"/>
    <col min="8188" max="8188" width="5.375" style="288" bestFit="1" customWidth="1"/>
    <col min="8189" max="8189" width="5" style="288" customWidth="1"/>
    <col min="8190" max="8190" width="44.375" style="288" customWidth="1"/>
    <col min="8191" max="8191" width="6.375" style="288" bestFit="1" customWidth="1"/>
    <col min="8192" max="8192" width="6.625" style="288" bestFit="1" customWidth="1"/>
    <col min="8193" max="8193" width="4.25" style="288" bestFit="1" customWidth="1"/>
    <col min="8194" max="8194" width="4.125" style="288" customWidth="1"/>
    <col min="8195" max="8195" width="5" style="288" customWidth="1"/>
    <col min="8196" max="8196" width="44.375" style="288" customWidth="1"/>
    <col min="8197" max="8197" width="6.375" style="288" bestFit="1" customWidth="1"/>
    <col min="8198" max="8198" width="6.625" style="288" bestFit="1" customWidth="1"/>
    <col min="8199" max="8199" width="4.25" style="288" bestFit="1" customWidth="1"/>
    <col min="8200" max="8438" width="7.75" style="288"/>
    <col min="8439" max="8439" width="5" style="288" customWidth="1"/>
    <col min="8440" max="8440" width="44.375" style="288" customWidth="1"/>
    <col min="8441" max="8441" width="8.375" style="288" bestFit="1" customWidth="1"/>
    <col min="8442" max="8442" width="6.75" style="288" bestFit="1" customWidth="1"/>
    <col min="8443" max="8443" width="4.25" style="288" bestFit="1" customWidth="1"/>
    <col min="8444" max="8444" width="5.375" style="288" bestFit="1" customWidth="1"/>
    <col min="8445" max="8445" width="5" style="288" customWidth="1"/>
    <col min="8446" max="8446" width="44.375" style="288" customWidth="1"/>
    <col min="8447" max="8447" width="6.375" style="288" bestFit="1" customWidth="1"/>
    <col min="8448" max="8448" width="6.625" style="288" bestFit="1" customWidth="1"/>
    <col min="8449" max="8449" width="4.25" style="288" bestFit="1" customWidth="1"/>
    <col min="8450" max="8450" width="4.125" style="288" customWidth="1"/>
    <col min="8451" max="8451" width="5" style="288" customWidth="1"/>
    <col min="8452" max="8452" width="44.375" style="288" customWidth="1"/>
    <col min="8453" max="8453" width="6.375" style="288" bestFit="1" customWidth="1"/>
    <col min="8454" max="8454" width="6.625" style="288" bestFit="1" customWidth="1"/>
    <col min="8455" max="8455" width="4.25" style="288" bestFit="1" customWidth="1"/>
    <col min="8456" max="8694" width="7.75" style="288"/>
    <col min="8695" max="8695" width="5" style="288" customWidth="1"/>
    <col min="8696" max="8696" width="44.375" style="288" customWidth="1"/>
    <col min="8697" max="8697" width="8.375" style="288" bestFit="1" customWidth="1"/>
    <col min="8698" max="8698" width="6.75" style="288" bestFit="1" customWidth="1"/>
    <col min="8699" max="8699" width="4.25" style="288" bestFit="1" customWidth="1"/>
    <col min="8700" max="8700" width="5.375" style="288" bestFit="1" customWidth="1"/>
    <col min="8701" max="8701" width="5" style="288" customWidth="1"/>
    <col min="8702" max="8702" width="44.375" style="288" customWidth="1"/>
    <col min="8703" max="8703" width="6.375" style="288" bestFit="1" customWidth="1"/>
    <col min="8704" max="8704" width="6.625" style="288" bestFit="1" customWidth="1"/>
    <col min="8705" max="8705" width="4.25" style="288" bestFit="1" customWidth="1"/>
    <col min="8706" max="8706" width="4.125" style="288" customWidth="1"/>
    <col min="8707" max="8707" width="5" style="288" customWidth="1"/>
    <col min="8708" max="8708" width="44.375" style="288" customWidth="1"/>
    <col min="8709" max="8709" width="6.375" style="288" bestFit="1" customWidth="1"/>
    <col min="8710" max="8710" width="6.625" style="288" bestFit="1" customWidth="1"/>
    <col min="8711" max="8711" width="4.25" style="288" bestFit="1" customWidth="1"/>
    <col min="8712" max="8950" width="7.75" style="288"/>
    <col min="8951" max="8951" width="5" style="288" customWidth="1"/>
    <col min="8952" max="8952" width="44.375" style="288" customWidth="1"/>
    <col min="8953" max="8953" width="8.375" style="288" bestFit="1" customWidth="1"/>
    <col min="8954" max="8954" width="6.75" style="288" bestFit="1" customWidth="1"/>
    <col min="8955" max="8955" width="4.25" style="288" bestFit="1" customWidth="1"/>
    <col min="8956" max="8956" width="5.375" style="288" bestFit="1" customWidth="1"/>
    <col min="8957" max="8957" width="5" style="288" customWidth="1"/>
    <col min="8958" max="8958" width="44.375" style="288" customWidth="1"/>
    <col min="8959" max="8959" width="6.375" style="288" bestFit="1" customWidth="1"/>
    <col min="8960" max="8960" width="6.625" style="288" bestFit="1" customWidth="1"/>
    <col min="8961" max="8961" width="4.25" style="288" bestFit="1" customWidth="1"/>
    <col min="8962" max="8962" width="4.125" style="288" customWidth="1"/>
    <col min="8963" max="8963" width="5" style="288" customWidth="1"/>
    <col min="8964" max="8964" width="44.375" style="288" customWidth="1"/>
    <col min="8965" max="8965" width="6.375" style="288" bestFit="1" customWidth="1"/>
    <col min="8966" max="8966" width="6.625" style="288" bestFit="1" customWidth="1"/>
    <col min="8967" max="8967" width="4.25" style="288" bestFit="1" customWidth="1"/>
    <col min="8968" max="9206" width="7.75" style="288"/>
    <col min="9207" max="9207" width="5" style="288" customWidth="1"/>
    <col min="9208" max="9208" width="44.375" style="288" customWidth="1"/>
    <col min="9209" max="9209" width="8.375" style="288" bestFit="1" customWidth="1"/>
    <col min="9210" max="9210" width="6.75" style="288" bestFit="1" customWidth="1"/>
    <col min="9211" max="9211" width="4.25" style="288" bestFit="1" customWidth="1"/>
    <col min="9212" max="9212" width="5.375" style="288" bestFit="1" customWidth="1"/>
    <col min="9213" max="9213" width="5" style="288" customWidth="1"/>
    <col min="9214" max="9214" width="44.375" style="288" customWidth="1"/>
    <col min="9215" max="9215" width="6.375" style="288" bestFit="1" customWidth="1"/>
    <col min="9216" max="9216" width="6.625" style="288" bestFit="1" customWidth="1"/>
    <col min="9217" max="9217" width="4.25" style="288" bestFit="1" customWidth="1"/>
    <col min="9218" max="9218" width="4.125" style="288" customWidth="1"/>
    <col min="9219" max="9219" width="5" style="288" customWidth="1"/>
    <col min="9220" max="9220" width="44.375" style="288" customWidth="1"/>
    <col min="9221" max="9221" width="6.375" style="288" bestFit="1" customWidth="1"/>
    <col min="9222" max="9222" width="6.625" style="288" bestFit="1" customWidth="1"/>
    <col min="9223" max="9223" width="4.25" style="288" bestFit="1" customWidth="1"/>
    <col min="9224" max="9462" width="7.75" style="288"/>
    <col min="9463" max="9463" width="5" style="288" customWidth="1"/>
    <col min="9464" max="9464" width="44.375" style="288" customWidth="1"/>
    <col min="9465" max="9465" width="8.375" style="288" bestFit="1" customWidth="1"/>
    <col min="9466" max="9466" width="6.75" style="288" bestFit="1" customWidth="1"/>
    <col min="9467" max="9467" width="4.25" style="288" bestFit="1" customWidth="1"/>
    <col min="9468" max="9468" width="5.375" style="288" bestFit="1" customWidth="1"/>
    <col min="9469" max="9469" width="5" style="288" customWidth="1"/>
    <col min="9470" max="9470" width="44.375" style="288" customWidth="1"/>
    <col min="9471" max="9471" width="6.375" style="288" bestFit="1" customWidth="1"/>
    <col min="9472" max="9472" width="6.625" style="288" bestFit="1" customWidth="1"/>
    <col min="9473" max="9473" width="4.25" style="288" bestFit="1" customWidth="1"/>
    <col min="9474" max="9474" width="4.125" style="288" customWidth="1"/>
    <col min="9475" max="9475" width="5" style="288" customWidth="1"/>
    <col min="9476" max="9476" width="44.375" style="288" customWidth="1"/>
    <col min="9477" max="9477" width="6.375" style="288" bestFit="1" customWidth="1"/>
    <col min="9478" max="9478" width="6.625" style="288" bestFit="1" customWidth="1"/>
    <col min="9479" max="9479" width="4.25" style="288" bestFit="1" customWidth="1"/>
    <col min="9480" max="9718" width="7.75" style="288"/>
    <col min="9719" max="9719" width="5" style="288" customWidth="1"/>
    <col min="9720" max="9720" width="44.375" style="288" customWidth="1"/>
    <col min="9721" max="9721" width="8.375" style="288" bestFit="1" customWidth="1"/>
    <col min="9722" max="9722" width="6.75" style="288" bestFit="1" customWidth="1"/>
    <col min="9723" max="9723" width="4.25" style="288" bestFit="1" customWidth="1"/>
    <col min="9724" max="9724" width="5.375" style="288" bestFit="1" customWidth="1"/>
    <col min="9725" max="9725" width="5" style="288" customWidth="1"/>
    <col min="9726" max="9726" width="44.375" style="288" customWidth="1"/>
    <col min="9727" max="9727" width="6.375" style="288" bestFit="1" customWidth="1"/>
    <col min="9728" max="9728" width="6.625" style="288" bestFit="1" customWidth="1"/>
    <col min="9729" max="9729" width="4.25" style="288" bestFit="1" customWidth="1"/>
    <col min="9730" max="9730" width="4.125" style="288" customWidth="1"/>
    <col min="9731" max="9731" width="5" style="288" customWidth="1"/>
    <col min="9732" max="9732" width="44.375" style="288" customWidth="1"/>
    <col min="9733" max="9733" width="6.375" style="288" bestFit="1" customWidth="1"/>
    <col min="9734" max="9734" width="6.625" style="288" bestFit="1" customWidth="1"/>
    <col min="9735" max="9735" width="4.25" style="288" bestFit="1" customWidth="1"/>
    <col min="9736" max="9974" width="7.75" style="288"/>
    <col min="9975" max="9975" width="5" style="288" customWidth="1"/>
    <col min="9976" max="9976" width="44.375" style="288" customWidth="1"/>
    <col min="9977" max="9977" width="8.375" style="288" bestFit="1" customWidth="1"/>
    <col min="9978" max="9978" width="6.75" style="288" bestFit="1" customWidth="1"/>
    <col min="9979" max="9979" width="4.25" style="288" bestFit="1" customWidth="1"/>
    <col min="9980" max="9980" width="5.375" style="288" bestFit="1" customWidth="1"/>
    <col min="9981" max="9981" width="5" style="288" customWidth="1"/>
    <col min="9982" max="9982" width="44.375" style="288" customWidth="1"/>
    <col min="9983" max="9983" width="6.375" style="288" bestFit="1" customWidth="1"/>
    <col min="9984" max="9984" width="6.625" style="288" bestFit="1" customWidth="1"/>
    <col min="9985" max="9985" width="4.25" style="288" bestFit="1" customWidth="1"/>
    <col min="9986" max="9986" width="4.125" style="288" customWidth="1"/>
    <col min="9987" max="9987" width="5" style="288" customWidth="1"/>
    <col min="9988" max="9988" width="44.375" style="288" customWidth="1"/>
    <col min="9989" max="9989" width="6.375" style="288" bestFit="1" customWidth="1"/>
    <col min="9990" max="9990" width="6.625" style="288" bestFit="1" customWidth="1"/>
    <col min="9991" max="9991" width="4.25" style="288" bestFit="1" customWidth="1"/>
    <col min="9992" max="10230" width="7.75" style="288"/>
    <col min="10231" max="10231" width="5" style="288" customWidth="1"/>
    <col min="10232" max="10232" width="44.375" style="288" customWidth="1"/>
    <col min="10233" max="10233" width="8.375" style="288" bestFit="1" customWidth="1"/>
    <col min="10234" max="10234" width="6.75" style="288" bestFit="1" customWidth="1"/>
    <col min="10235" max="10235" width="4.25" style="288" bestFit="1" customWidth="1"/>
    <col min="10236" max="10236" width="5.375" style="288" bestFit="1" customWidth="1"/>
    <col min="10237" max="10237" width="5" style="288" customWidth="1"/>
    <col min="10238" max="10238" width="44.375" style="288" customWidth="1"/>
    <col min="10239" max="10239" width="6.375" style="288" bestFit="1" customWidth="1"/>
    <col min="10240" max="10240" width="6.625" style="288" bestFit="1" customWidth="1"/>
    <col min="10241" max="10241" width="4.25" style="288" bestFit="1" customWidth="1"/>
    <col min="10242" max="10242" width="4.125" style="288" customWidth="1"/>
    <col min="10243" max="10243" width="5" style="288" customWidth="1"/>
    <col min="10244" max="10244" width="44.375" style="288" customWidth="1"/>
    <col min="10245" max="10245" width="6.375" style="288" bestFit="1" customWidth="1"/>
    <col min="10246" max="10246" width="6.625" style="288" bestFit="1" customWidth="1"/>
    <col min="10247" max="10247" width="4.25" style="288" bestFit="1" customWidth="1"/>
    <col min="10248" max="10486" width="7.75" style="288"/>
    <col min="10487" max="10487" width="5" style="288" customWidth="1"/>
    <col min="10488" max="10488" width="44.375" style="288" customWidth="1"/>
    <col min="10489" max="10489" width="8.375" style="288" bestFit="1" customWidth="1"/>
    <col min="10490" max="10490" width="6.75" style="288" bestFit="1" customWidth="1"/>
    <col min="10491" max="10491" width="4.25" style="288" bestFit="1" customWidth="1"/>
    <col min="10492" max="10492" width="5.375" style="288" bestFit="1" customWidth="1"/>
    <col min="10493" max="10493" width="5" style="288" customWidth="1"/>
    <col min="10494" max="10494" width="44.375" style="288" customWidth="1"/>
    <col min="10495" max="10495" width="6.375" style="288" bestFit="1" customWidth="1"/>
    <col min="10496" max="10496" width="6.625" style="288" bestFit="1" customWidth="1"/>
    <col min="10497" max="10497" width="4.25" style="288" bestFit="1" customWidth="1"/>
    <col min="10498" max="10498" width="4.125" style="288" customWidth="1"/>
    <col min="10499" max="10499" width="5" style="288" customWidth="1"/>
    <col min="10500" max="10500" width="44.375" style="288" customWidth="1"/>
    <col min="10501" max="10501" width="6.375" style="288" bestFit="1" customWidth="1"/>
    <col min="10502" max="10502" width="6.625" style="288" bestFit="1" customWidth="1"/>
    <col min="10503" max="10503" width="4.25" style="288" bestFit="1" customWidth="1"/>
    <col min="10504" max="10742" width="7.75" style="288"/>
    <col min="10743" max="10743" width="5" style="288" customWidth="1"/>
    <col min="10744" max="10744" width="44.375" style="288" customWidth="1"/>
    <col min="10745" max="10745" width="8.375" style="288" bestFit="1" customWidth="1"/>
    <col min="10746" max="10746" width="6.75" style="288" bestFit="1" customWidth="1"/>
    <col min="10747" max="10747" width="4.25" style="288" bestFit="1" customWidth="1"/>
    <col min="10748" max="10748" width="5.375" style="288" bestFit="1" customWidth="1"/>
    <col min="10749" max="10749" width="5" style="288" customWidth="1"/>
    <col min="10750" max="10750" width="44.375" style="288" customWidth="1"/>
    <col min="10751" max="10751" width="6.375" style="288" bestFit="1" customWidth="1"/>
    <col min="10752" max="10752" width="6.625" style="288" bestFit="1" customWidth="1"/>
    <col min="10753" max="10753" width="4.25" style="288" bestFit="1" customWidth="1"/>
    <col min="10754" max="10754" width="4.125" style="288" customWidth="1"/>
    <col min="10755" max="10755" width="5" style="288" customWidth="1"/>
    <col min="10756" max="10756" width="44.375" style="288" customWidth="1"/>
    <col min="10757" max="10757" width="6.375" style="288" bestFit="1" customWidth="1"/>
    <col min="10758" max="10758" width="6.625" style="288" bestFit="1" customWidth="1"/>
    <col min="10759" max="10759" width="4.25" style="288" bestFit="1" customWidth="1"/>
    <col min="10760" max="10998" width="7.75" style="288"/>
    <col min="10999" max="10999" width="5" style="288" customWidth="1"/>
    <col min="11000" max="11000" width="44.375" style="288" customWidth="1"/>
    <col min="11001" max="11001" width="8.375" style="288" bestFit="1" customWidth="1"/>
    <col min="11002" max="11002" width="6.75" style="288" bestFit="1" customWidth="1"/>
    <col min="11003" max="11003" width="4.25" style="288" bestFit="1" customWidth="1"/>
    <col min="11004" max="11004" width="5.375" style="288" bestFit="1" customWidth="1"/>
    <col min="11005" max="11005" width="5" style="288" customWidth="1"/>
    <col min="11006" max="11006" width="44.375" style="288" customWidth="1"/>
    <col min="11007" max="11007" width="6.375" style="288" bestFit="1" customWidth="1"/>
    <col min="11008" max="11008" width="6.625" style="288" bestFit="1" customWidth="1"/>
    <col min="11009" max="11009" width="4.25" style="288" bestFit="1" customWidth="1"/>
    <col min="11010" max="11010" width="4.125" style="288" customWidth="1"/>
    <col min="11011" max="11011" width="5" style="288" customWidth="1"/>
    <col min="11012" max="11012" width="44.375" style="288" customWidth="1"/>
    <col min="11013" max="11013" width="6.375" style="288" bestFit="1" customWidth="1"/>
    <col min="11014" max="11014" width="6.625" style="288" bestFit="1" customWidth="1"/>
    <col min="11015" max="11015" width="4.25" style="288" bestFit="1" customWidth="1"/>
    <col min="11016" max="11254" width="7.75" style="288"/>
    <col min="11255" max="11255" width="5" style="288" customWidth="1"/>
    <col min="11256" max="11256" width="44.375" style="288" customWidth="1"/>
    <col min="11257" max="11257" width="8.375" style="288" bestFit="1" customWidth="1"/>
    <col min="11258" max="11258" width="6.75" style="288" bestFit="1" customWidth="1"/>
    <col min="11259" max="11259" width="4.25" style="288" bestFit="1" customWidth="1"/>
    <col min="11260" max="11260" width="5.375" style="288" bestFit="1" customWidth="1"/>
    <col min="11261" max="11261" width="5" style="288" customWidth="1"/>
    <col min="11262" max="11262" width="44.375" style="288" customWidth="1"/>
    <col min="11263" max="11263" width="6.375" style="288" bestFit="1" customWidth="1"/>
    <col min="11264" max="11264" width="6.625" style="288" bestFit="1" customWidth="1"/>
    <col min="11265" max="11265" width="4.25" style="288" bestFit="1" customWidth="1"/>
    <col min="11266" max="11266" width="4.125" style="288" customWidth="1"/>
    <col min="11267" max="11267" width="5" style="288" customWidth="1"/>
    <col min="11268" max="11268" width="44.375" style="288" customWidth="1"/>
    <col min="11269" max="11269" width="6.375" style="288" bestFit="1" customWidth="1"/>
    <col min="11270" max="11270" width="6.625" style="288" bestFit="1" customWidth="1"/>
    <col min="11271" max="11271" width="4.25" style="288" bestFit="1" customWidth="1"/>
    <col min="11272" max="11510" width="7.75" style="288"/>
    <col min="11511" max="11511" width="5" style="288" customWidth="1"/>
    <col min="11512" max="11512" width="44.375" style="288" customWidth="1"/>
    <col min="11513" max="11513" width="8.375" style="288" bestFit="1" customWidth="1"/>
    <col min="11514" max="11514" width="6.75" style="288" bestFit="1" customWidth="1"/>
    <col min="11515" max="11515" width="4.25" style="288" bestFit="1" customWidth="1"/>
    <col min="11516" max="11516" width="5.375" style="288" bestFit="1" customWidth="1"/>
    <col min="11517" max="11517" width="5" style="288" customWidth="1"/>
    <col min="11518" max="11518" width="44.375" style="288" customWidth="1"/>
    <col min="11519" max="11519" width="6.375" style="288" bestFit="1" customWidth="1"/>
    <col min="11520" max="11520" width="6.625" style="288" bestFit="1" customWidth="1"/>
    <col min="11521" max="11521" width="4.25" style="288" bestFit="1" customWidth="1"/>
    <col min="11522" max="11522" width="4.125" style="288" customWidth="1"/>
    <col min="11523" max="11523" width="5" style="288" customWidth="1"/>
    <col min="11524" max="11524" width="44.375" style="288" customWidth="1"/>
    <col min="11525" max="11525" width="6.375" style="288" bestFit="1" customWidth="1"/>
    <col min="11526" max="11526" width="6.625" style="288" bestFit="1" customWidth="1"/>
    <col min="11527" max="11527" width="4.25" style="288" bestFit="1" customWidth="1"/>
    <col min="11528" max="11766" width="7.75" style="288"/>
    <col min="11767" max="11767" width="5" style="288" customWidth="1"/>
    <col min="11768" max="11768" width="44.375" style="288" customWidth="1"/>
    <col min="11769" max="11769" width="8.375" style="288" bestFit="1" customWidth="1"/>
    <col min="11770" max="11770" width="6.75" style="288" bestFit="1" customWidth="1"/>
    <col min="11771" max="11771" width="4.25" style="288" bestFit="1" customWidth="1"/>
    <col min="11772" max="11772" width="5.375" style="288" bestFit="1" customWidth="1"/>
    <col min="11773" max="11773" width="5" style="288" customWidth="1"/>
    <col min="11774" max="11774" width="44.375" style="288" customWidth="1"/>
    <col min="11775" max="11775" width="6.375" style="288" bestFit="1" customWidth="1"/>
    <col min="11776" max="11776" width="6.625" style="288" bestFit="1" customWidth="1"/>
    <col min="11777" max="11777" width="4.25" style="288" bestFit="1" customWidth="1"/>
    <col min="11778" max="11778" width="4.125" style="288" customWidth="1"/>
    <col min="11779" max="11779" width="5" style="288" customWidth="1"/>
    <col min="11780" max="11780" width="44.375" style="288" customWidth="1"/>
    <col min="11781" max="11781" width="6.375" style="288" bestFit="1" customWidth="1"/>
    <col min="11782" max="11782" width="6.625" style="288" bestFit="1" customWidth="1"/>
    <col min="11783" max="11783" width="4.25" style="288" bestFit="1" customWidth="1"/>
    <col min="11784" max="12022" width="7.75" style="288"/>
    <col min="12023" max="12023" width="5" style="288" customWidth="1"/>
    <col min="12024" max="12024" width="44.375" style="288" customWidth="1"/>
    <col min="12025" max="12025" width="8.375" style="288" bestFit="1" customWidth="1"/>
    <col min="12026" max="12026" width="6.75" style="288" bestFit="1" customWidth="1"/>
    <col min="12027" max="12027" width="4.25" style="288" bestFit="1" customWidth="1"/>
    <col min="12028" max="12028" width="5.375" style="288" bestFit="1" customWidth="1"/>
    <col min="12029" max="12029" width="5" style="288" customWidth="1"/>
    <col min="12030" max="12030" width="44.375" style="288" customWidth="1"/>
    <col min="12031" max="12031" width="6.375" style="288" bestFit="1" customWidth="1"/>
    <col min="12032" max="12032" width="6.625" style="288" bestFit="1" customWidth="1"/>
    <col min="12033" max="12033" width="4.25" style="288" bestFit="1" customWidth="1"/>
    <col min="12034" max="12034" width="4.125" style="288" customWidth="1"/>
    <col min="12035" max="12035" width="5" style="288" customWidth="1"/>
    <col min="12036" max="12036" width="44.375" style="288" customWidth="1"/>
    <col min="12037" max="12037" width="6.375" style="288" bestFit="1" customWidth="1"/>
    <col min="12038" max="12038" width="6.625" style="288" bestFit="1" customWidth="1"/>
    <col min="12039" max="12039" width="4.25" style="288" bestFit="1" customWidth="1"/>
    <col min="12040" max="12278" width="7.75" style="288"/>
    <col min="12279" max="12279" width="5" style="288" customWidth="1"/>
    <col min="12280" max="12280" width="44.375" style="288" customWidth="1"/>
    <col min="12281" max="12281" width="8.375" style="288" bestFit="1" customWidth="1"/>
    <col min="12282" max="12282" width="6.75" style="288" bestFit="1" customWidth="1"/>
    <col min="12283" max="12283" width="4.25" style="288" bestFit="1" customWidth="1"/>
    <col min="12284" max="12284" width="5.375" style="288" bestFit="1" customWidth="1"/>
    <col min="12285" max="12285" width="5" style="288" customWidth="1"/>
    <col min="12286" max="12286" width="44.375" style="288" customWidth="1"/>
    <col min="12287" max="12287" width="6.375" style="288" bestFit="1" customWidth="1"/>
    <col min="12288" max="12288" width="6.625" style="288" bestFit="1" customWidth="1"/>
    <col min="12289" max="12289" width="4.25" style="288" bestFit="1" customWidth="1"/>
    <col min="12290" max="12290" width="4.125" style="288" customWidth="1"/>
    <col min="12291" max="12291" width="5" style="288" customWidth="1"/>
    <col min="12292" max="12292" width="44.375" style="288" customWidth="1"/>
    <col min="12293" max="12293" width="6.375" style="288" bestFit="1" customWidth="1"/>
    <col min="12294" max="12294" width="6.625" style="288" bestFit="1" customWidth="1"/>
    <col min="12295" max="12295" width="4.25" style="288" bestFit="1" customWidth="1"/>
    <col min="12296" max="12534" width="7.75" style="288"/>
    <col min="12535" max="12535" width="5" style="288" customWidth="1"/>
    <col min="12536" max="12536" width="44.375" style="288" customWidth="1"/>
    <col min="12537" max="12537" width="8.375" style="288" bestFit="1" customWidth="1"/>
    <col min="12538" max="12538" width="6.75" style="288" bestFit="1" customWidth="1"/>
    <col min="12539" max="12539" width="4.25" style="288" bestFit="1" customWidth="1"/>
    <col min="12540" max="12540" width="5.375" style="288" bestFit="1" customWidth="1"/>
    <col min="12541" max="12541" width="5" style="288" customWidth="1"/>
    <col min="12542" max="12542" width="44.375" style="288" customWidth="1"/>
    <col min="12543" max="12543" width="6.375" style="288" bestFit="1" customWidth="1"/>
    <col min="12544" max="12544" width="6.625" style="288" bestFit="1" customWidth="1"/>
    <col min="12545" max="12545" width="4.25" style="288" bestFit="1" customWidth="1"/>
    <col min="12546" max="12546" width="4.125" style="288" customWidth="1"/>
    <col min="12547" max="12547" width="5" style="288" customWidth="1"/>
    <col min="12548" max="12548" width="44.375" style="288" customWidth="1"/>
    <col min="12549" max="12549" width="6.375" style="288" bestFit="1" customWidth="1"/>
    <col min="12550" max="12550" width="6.625" style="288" bestFit="1" customWidth="1"/>
    <col min="12551" max="12551" width="4.25" style="288" bestFit="1" customWidth="1"/>
    <col min="12552" max="12790" width="7.75" style="288"/>
    <col min="12791" max="12791" width="5" style="288" customWidth="1"/>
    <col min="12792" max="12792" width="44.375" style="288" customWidth="1"/>
    <col min="12793" max="12793" width="8.375" style="288" bestFit="1" customWidth="1"/>
    <col min="12794" max="12794" width="6.75" style="288" bestFit="1" customWidth="1"/>
    <col min="12795" max="12795" width="4.25" style="288" bestFit="1" customWidth="1"/>
    <col min="12796" max="12796" width="5.375" style="288" bestFit="1" customWidth="1"/>
    <col min="12797" max="12797" width="5" style="288" customWidth="1"/>
    <col min="12798" max="12798" width="44.375" style="288" customWidth="1"/>
    <col min="12799" max="12799" width="6.375" style="288" bestFit="1" customWidth="1"/>
    <col min="12800" max="12800" width="6.625" style="288" bestFit="1" customWidth="1"/>
    <col min="12801" max="12801" width="4.25" style="288" bestFit="1" customWidth="1"/>
    <col min="12802" max="12802" width="4.125" style="288" customWidth="1"/>
    <col min="12803" max="12803" width="5" style="288" customWidth="1"/>
    <col min="12804" max="12804" width="44.375" style="288" customWidth="1"/>
    <col min="12805" max="12805" width="6.375" style="288" bestFit="1" customWidth="1"/>
    <col min="12806" max="12806" width="6.625" style="288" bestFit="1" customWidth="1"/>
    <col min="12807" max="12807" width="4.25" style="288" bestFit="1" customWidth="1"/>
    <col min="12808" max="13046" width="7.75" style="288"/>
    <col min="13047" max="13047" width="5" style="288" customWidth="1"/>
    <col min="13048" max="13048" width="44.375" style="288" customWidth="1"/>
    <col min="13049" max="13049" width="8.375" style="288" bestFit="1" customWidth="1"/>
    <col min="13050" max="13050" width="6.75" style="288" bestFit="1" customWidth="1"/>
    <col min="13051" max="13051" width="4.25" style="288" bestFit="1" customWidth="1"/>
    <col min="13052" max="13052" width="5.375" style="288" bestFit="1" customWidth="1"/>
    <col min="13053" max="13053" width="5" style="288" customWidth="1"/>
    <col min="13054" max="13054" width="44.375" style="288" customWidth="1"/>
    <col min="13055" max="13055" width="6.375" style="288" bestFit="1" customWidth="1"/>
    <col min="13056" max="13056" width="6.625" style="288" bestFit="1" customWidth="1"/>
    <col min="13057" max="13057" width="4.25" style="288" bestFit="1" customWidth="1"/>
    <col min="13058" max="13058" width="4.125" style="288" customWidth="1"/>
    <col min="13059" max="13059" width="5" style="288" customWidth="1"/>
    <col min="13060" max="13060" width="44.375" style="288" customWidth="1"/>
    <col min="13061" max="13061" width="6.375" style="288" bestFit="1" customWidth="1"/>
    <col min="13062" max="13062" width="6.625" style="288" bestFit="1" customWidth="1"/>
    <col min="13063" max="13063" width="4.25" style="288" bestFit="1" customWidth="1"/>
    <col min="13064" max="13302" width="7.75" style="288"/>
    <col min="13303" max="13303" width="5" style="288" customWidth="1"/>
    <col min="13304" max="13304" width="44.375" style="288" customWidth="1"/>
    <col min="13305" max="13305" width="8.375" style="288" bestFit="1" customWidth="1"/>
    <col min="13306" max="13306" width="6.75" style="288" bestFit="1" customWidth="1"/>
    <col min="13307" max="13307" width="4.25" style="288" bestFit="1" customWidth="1"/>
    <col min="13308" max="13308" width="5.375" style="288" bestFit="1" customWidth="1"/>
    <col min="13309" max="13309" width="5" style="288" customWidth="1"/>
    <col min="13310" max="13310" width="44.375" style="288" customWidth="1"/>
    <col min="13311" max="13311" width="6.375" style="288" bestFit="1" customWidth="1"/>
    <col min="13312" max="13312" width="6.625" style="288" bestFit="1" customWidth="1"/>
    <col min="13313" max="13313" width="4.25" style="288" bestFit="1" customWidth="1"/>
    <col min="13314" max="13314" width="4.125" style="288" customWidth="1"/>
    <col min="13315" max="13315" width="5" style="288" customWidth="1"/>
    <col min="13316" max="13316" width="44.375" style="288" customWidth="1"/>
    <col min="13317" max="13317" width="6.375" style="288" bestFit="1" customWidth="1"/>
    <col min="13318" max="13318" width="6.625" style="288" bestFit="1" customWidth="1"/>
    <col min="13319" max="13319" width="4.25" style="288" bestFit="1" customWidth="1"/>
    <col min="13320" max="13558" width="7.75" style="288"/>
    <col min="13559" max="13559" width="5" style="288" customWidth="1"/>
    <col min="13560" max="13560" width="44.375" style="288" customWidth="1"/>
    <col min="13561" max="13561" width="8.375" style="288" bestFit="1" customWidth="1"/>
    <col min="13562" max="13562" width="6.75" style="288" bestFit="1" customWidth="1"/>
    <col min="13563" max="13563" width="4.25" style="288" bestFit="1" customWidth="1"/>
    <col min="13564" max="13564" width="5.375" style="288" bestFit="1" customWidth="1"/>
    <col min="13565" max="13565" width="5" style="288" customWidth="1"/>
    <col min="13566" max="13566" width="44.375" style="288" customWidth="1"/>
    <col min="13567" max="13567" width="6.375" style="288" bestFit="1" customWidth="1"/>
    <col min="13568" max="13568" width="6.625" style="288" bestFit="1" customWidth="1"/>
    <col min="13569" max="13569" width="4.25" style="288" bestFit="1" customWidth="1"/>
    <col min="13570" max="13570" width="4.125" style="288" customWidth="1"/>
    <col min="13571" max="13571" width="5" style="288" customWidth="1"/>
    <col min="13572" max="13572" width="44.375" style="288" customWidth="1"/>
    <col min="13573" max="13573" width="6.375" style="288" bestFit="1" customWidth="1"/>
    <col min="13574" max="13574" width="6.625" style="288" bestFit="1" customWidth="1"/>
    <col min="13575" max="13575" width="4.25" style="288" bestFit="1" customWidth="1"/>
    <col min="13576" max="13814" width="7.75" style="288"/>
    <col min="13815" max="13815" width="5" style="288" customWidth="1"/>
    <col min="13816" max="13816" width="44.375" style="288" customWidth="1"/>
    <col min="13817" max="13817" width="8.375" style="288" bestFit="1" customWidth="1"/>
    <col min="13818" max="13818" width="6.75" style="288" bestFit="1" customWidth="1"/>
    <col min="13819" max="13819" width="4.25" style="288" bestFit="1" customWidth="1"/>
    <col min="13820" max="13820" width="5.375" style="288" bestFit="1" customWidth="1"/>
    <col min="13821" max="13821" width="5" style="288" customWidth="1"/>
    <col min="13822" max="13822" width="44.375" style="288" customWidth="1"/>
    <col min="13823" max="13823" width="6.375" style="288" bestFit="1" customWidth="1"/>
    <col min="13824" max="13824" width="6.625" style="288" bestFit="1" customWidth="1"/>
    <col min="13825" max="13825" width="4.25" style="288" bestFit="1" customWidth="1"/>
    <col min="13826" max="13826" width="4.125" style="288" customWidth="1"/>
    <col min="13827" max="13827" width="5" style="288" customWidth="1"/>
    <col min="13828" max="13828" width="44.375" style="288" customWidth="1"/>
    <col min="13829" max="13829" width="6.375" style="288" bestFit="1" customWidth="1"/>
    <col min="13830" max="13830" width="6.625" style="288" bestFit="1" customWidth="1"/>
    <col min="13831" max="13831" width="4.25" style="288" bestFit="1" customWidth="1"/>
    <col min="13832" max="14070" width="7.75" style="288"/>
    <col min="14071" max="14071" width="5" style="288" customWidth="1"/>
    <col min="14072" max="14072" width="44.375" style="288" customWidth="1"/>
    <col min="14073" max="14073" width="8.375" style="288" bestFit="1" customWidth="1"/>
    <col min="14074" max="14074" width="6.75" style="288" bestFit="1" customWidth="1"/>
    <col min="14075" max="14075" width="4.25" style="288" bestFit="1" customWidth="1"/>
    <col min="14076" max="14076" width="5.375" style="288" bestFit="1" customWidth="1"/>
    <col min="14077" max="14077" width="5" style="288" customWidth="1"/>
    <col min="14078" max="14078" width="44.375" style="288" customWidth="1"/>
    <col min="14079" max="14079" width="6.375" style="288" bestFit="1" customWidth="1"/>
    <col min="14080" max="14080" width="6.625" style="288" bestFit="1" customWidth="1"/>
    <col min="14081" max="14081" width="4.25" style="288" bestFit="1" customWidth="1"/>
    <col min="14082" max="14082" width="4.125" style="288" customWidth="1"/>
    <col min="14083" max="14083" width="5" style="288" customWidth="1"/>
    <col min="14084" max="14084" width="44.375" style="288" customWidth="1"/>
    <col min="14085" max="14085" width="6.375" style="288" bestFit="1" customWidth="1"/>
    <col min="14086" max="14086" width="6.625" style="288" bestFit="1" customWidth="1"/>
    <col min="14087" max="14087" width="4.25" style="288" bestFit="1" customWidth="1"/>
    <col min="14088" max="14326" width="7.75" style="288"/>
    <col min="14327" max="14327" width="5" style="288" customWidth="1"/>
    <col min="14328" max="14328" width="44.375" style="288" customWidth="1"/>
    <col min="14329" max="14329" width="8.375" style="288" bestFit="1" customWidth="1"/>
    <col min="14330" max="14330" width="6.75" style="288" bestFit="1" customWidth="1"/>
    <col min="14331" max="14331" width="4.25" style="288" bestFit="1" customWidth="1"/>
    <col min="14332" max="14332" width="5.375" style="288" bestFit="1" customWidth="1"/>
    <col min="14333" max="14333" width="5" style="288" customWidth="1"/>
    <col min="14334" max="14334" width="44.375" style="288" customWidth="1"/>
    <col min="14335" max="14335" width="6.375" style="288" bestFit="1" customWidth="1"/>
    <col min="14336" max="14336" width="6.625" style="288" bestFit="1" customWidth="1"/>
    <col min="14337" max="14337" width="4.25" style="288" bestFit="1" customWidth="1"/>
    <col min="14338" max="14338" width="4.125" style="288" customWidth="1"/>
    <col min="14339" max="14339" width="5" style="288" customWidth="1"/>
    <col min="14340" max="14340" width="44.375" style="288" customWidth="1"/>
    <col min="14341" max="14341" width="6.375" style="288" bestFit="1" customWidth="1"/>
    <col min="14342" max="14342" width="6.625" style="288" bestFit="1" customWidth="1"/>
    <col min="14343" max="14343" width="4.25" style="288" bestFit="1" customWidth="1"/>
    <col min="14344" max="14582" width="7.75" style="288"/>
    <col min="14583" max="14583" width="5" style="288" customWidth="1"/>
    <col min="14584" max="14584" width="44.375" style="288" customWidth="1"/>
    <col min="14585" max="14585" width="8.375" style="288" bestFit="1" customWidth="1"/>
    <col min="14586" max="14586" width="6.75" style="288" bestFit="1" customWidth="1"/>
    <col min="14587" max="14587" width="4.25" style="288" bestFit="1" customWidth="1"/>
    <col min="14588" max="14588" width="5.375" style="288" bestFit="1" customWidth="1"/>
    <col min="14589" max="14589" width="5" style="288" customWidth="1"/>
    <col min="14590" max="14590" width="44.375" style="288" customWidth="1"/>
    <col min="14591" max="14591" width="6.375" style="288" bestFit="1" customWidth="1"/>
    <col min="14592" max="14592" width="6.625" style="288" bestFit="1" customWidth="1"/>
    <col min="14593" max="14593" width="4.25" style="288" bestFit="1" customWidth="1"/>
    <col min="14594" max="14594" width="4.125" style="288" customWidth="1"/>
    <col min="14595" max="14595" width="5" style="288" customWidth="1"/>
    <col min="14596" max="14596" width="44.375" style="288" customWidth="1"/>
    <col min="14597" max="14597" width="6.375" style="288" bestFit="1" customWidth="1"/>
    <col min="14598" max="14598" width="6.625" style="288" bestFit="1" customWidth="1"/>
    <col min="14599" max="14599" width="4.25" style="288" bestFit="1" customWidth="1"/>
    <col min="14600" max="14838" width="7.75" style="288"/>
    <col min="14839" max="14839" width="5" style="288" customWidth="1"/>
    <col min="14840" max="14840" width="44.375" style="288" customWidth="1"/>
    <col min="14841" max="14841" width="8.375" style="288" bestFit="1" customWidth="1"/>
    <col min="14842" max="14842" width="6.75" style="288" bestFit="1" customWidth="1"/>
    <col min="14843" max="14843" width="4.25" style="288" bestFit="1" customWidth="1"/>
    <col min="14844" max="14844" width="5.375" style="288" bestFit="1" customWidth="1"/>
    <col min="14845" max="14845" width="5" style="288" customWidth="1"/>
    <col min="14846" max="14846" width="44.375" style="288" customWidth="1"/>
    <col min="14847" max="14847" width="6.375" style="288" bestFit="1" customWidth="1"/>
    <col min="14848" max="14848" width="6.625" style="288" bestFit="1" customWidth="1"/>
    <col min="14849" max="14849" width="4.25" style="288" bestFit="1" customWidth="1"/>
    <col min="14850" max="14850" width="4.125" style="288" customWidth="1"/>
    <col min="14851" max="14851" width="5" style="288" customWidth="1"/>
    <col min="14852" max="14852" width="44.375" style="288" customWidth="1"/>
    <col min="14853" max="14853" width="6.375" style="288" bestFit="1" customWidth="1"/>
    <col min="14854" max="14854" width="6.625" style="288" bestFit="1" customWidth="1"/>
    <col min="14855" max="14855" width="4.25" style="288" bestFit="1" customWidth="1"/>
    <col min="14856" max="15094" width="7.75" style="288"/>
    <col min="15095" max="15095" width="5" style="288" customWidth="1"/>
    <col min="15096" max="15096" width="44.375" style="288" customWidth="1"/>
    <col min="15097" max="15097" width="8.375" style="288" bestFit="1" customWidth="1"/>
    <col min="15098" max="15098" width="6.75" style="288" bestFit="1" customWidth="1"/>
    <col min="15099" max="15099" width="4.25" style="288" bestFit="1" customWidth="1"/>
    <col min="15100" max="15100" width="5.375" style="288" bestFit="1" customWidth="1"/>
    <col min="15101" max="15101" width="5" style="288" customWidth="1"/>
    <col min="15102" max="15102" width="44.375" style="288" customWidth="1"/>
    <col min="15103" max="15103" width="6.375" style="288" bestFit="1" customWidth="1"/>
    <col min="15104" max="15104" width="6.625" style="288" bestFit="1" customWidth="1"/>
    <col min="15105" max="15105" width="4.25" style="288" bestFit="1" customWidth="1"/>
    <col min="15106" max="15106" width="4.125" style="288" customWidth="1"/>
    <col min="15107" max="15107" width="5" style="288" customWidth="1"/>
    <col min="15108" max="15108" width="44.375" style="288" customWidth="1"/>
    <col min="15109" max="15109" width="6.375" style="288" bestFit="1" customWidth="1"/>
    <col min="15110" max="15110" width="6.625" style="288" bestFit="1" customWidth="1"/>
    <col min="15111" max="15111" width="4.25" style="288" bestFit="1" customWidth="1"/>
    <col min="15112" max="15350" width="7.75" style="288"/>
    <col min="15351" max="15351" width="5" style="288" customWidth="1"/>
    <col min="15352" max="15352" width="44.375" style="288" customWidth="1"/>
    <col min="15353" max="15353" width="8.375" style="288" bestFit="1" customWidth="1"/>
    <col min="15354" max="15354" width="6.75" style="288" bestFit="1" customWidth="1"/>
    <col min="15355" max="15355" width="4.25" style="288" bestFit="1" customWidth="1"/>
    <col min="15356" max="15356" width="5.375" style="288" bestFit="1" customWidth="1"/>
    <col min="15357" max="15357" width="5" style="288" customWidth="1"/>
    <col min="15358" max="15358" width="44.375" style="288" customWidth="1"/>
    <col min="15359" max="15359" width="6.375" style="288" bestFit="1" customWidth="1"/>
    <col min="15360" max="15360" width="6.625" style="288" bestFit="1" customWidth="1"/>
    <col min="15361" max="15361" width="4.25" style="288" bestFit="1" customWidth="1"/>
    <col min="15362" max="15362" width="4.125" style="288" customWidth="1"/>
    <col min="15363" max="15363" width="5" style="288" customWidth="1"/>
    <col min="15364" max="15364" width="44.375" style="288" customWidth="1"/>
    <col min="15365" max="15365" width="6.375" style="288" bestFit="1" customWidth="1"/>
    <col min="15366" max="15366" width="6.625" style="288" bestFit="1" customWidth="1"/>
    <col min="15367" max="15367" width="4.25" style="288" bestFit="1" customWidth="1"/>
    <col min="15368" max="15606" width="7.75" style="288"/>
    <col min="15607" max="15607" width="5" style="288" customWidth="1"/>
    <col min="15608" max="15608" width="44.375" style="288" customWidth="1"/>
    <col min="15609" max="15609" width="8.375" style="288" bestFit="1" customWidth="1"/>
    <col min="15610" max="15610" width="6.75" style="288" bestFit="1" customWidth="1"/>
    <col min="15611" max="15611" width="4.25" style="288" bestFit="1" customWidth="1"/>
    <col min="15612" max="15612" width="5.375" style="288" bestFit="1" customWidth="1"/>
    <col min="15613" max="15613" width="5" style="288" customWidth="1"/>
    <col min="15614" max="15614" width="44.375" style="288" customWidth="1"/>
    <col min="15615" max="15615" width="6.375" style="288" bestFit="1" customWidth="1"/>
    <col min="15616" max="15616" width="6.625" style="288" bestFit="1" customWidth="1"/>
    <col min="15617" max="15617" width="4.25" style="288" bestFit="1" customWidth="1"/>
    <col min="15618" max="15618" width="4.125" style="288" customWidth="1"/>
    <col min="15619" max="15619" width="5" style="288" customWidth="1"/>
    <col min="15620" max="15620" width="44.375" style="288" customWidth="1"/>
    <col min="15621" max="15621" width="6.375" style="288" bestFit="1" customWidth="1"/>
    <col min="15622" max="15622" width="6.625" style="288" bestFit="1" customWidth="1"/>
    <col min="15623" max="15623" width="4.25" style="288" bestFit="1" customWidth="1"/>
    <col min="15624" max="15862" width="7.75" style="288"/>
    <col min="15863" max="15863" width="5" style="288" customWidth="1"/>
    <col min="15864" max="15864" width="44.375" style="288" customWidth="1"/>
    <col min="15865" max="15865" width="8.375" style="288" bestFit="1" customWidth="1"/>
    <col min="15866" max="15866" width="6.75" style="288" bestFit="1" customWidth="1"/>
    <col min="15867" max="15867" width="4.25" style="288" bestFit="1" customWidth="1"/>
    <col min="15868" max="15868" width="5.375" style="288" bestFit="1" customWidth="1"/>
    <col min="15869" max="15869" width="5" style="288" customWidth="1"/>
    <col min="15870" max="15870" width="44.375" style="288" customWidth="1"/>
    <col min="15871" max="15871" width="6.375" style="288" bestFit="1" customWidth="1"/>
    <col min="15872" max="15872" width="6.625" style="288" bestFit="1" customWidth="1"/>
    <col min="15873" max="15873" width="4.25" style="288" bestFit="1" customWidth="1"/>
    <col min="15874" max="15874" width="4.125" style="288" customWidth="1"/>
    <col min="15875" max="15875" width="5" style="288" customWidth="1"/>
    <col min="15876" max="15876" width="44.375" style="288" customWidth="1"/>
    <col min="15877" max="15877" width="6.375" style="288" bestFit="1" customWidth="1"/>
    <col min="15878" max="15878" width="6.625" style="288" bestFit="1" customWidth="1"/>
    <col min="15879" max="15879" width="4.25" style="288" bestFit="1" customWidth="1"/>
    <col min="15880" max="16118" width="7.75" style="288"/>
    <col min="16119" max="16119" width="5" style="288" customWidth="1"/>
    <col min="16120" max="16120" width="44.375" style="288" customWidth="1"/>
    <col min="16121" max="16121" width="8.375" style="288" bestFit="1" customWidth="1"/>
    <col min="16122" max="16122" width="6.75" style="288" bestFit="1" customWidth="1"/>
    <col min="16123" max="16123" width="4.25" style="288" bestFit="1" customWidth="1"/>
    <col min="16124" max="16124" width="5.375" style="288" bestFit="1" customWidth="1"/>
    <col min="16125" max="16125" width="5" style="288" customWidth="1"/>
    <col min="16126" max="16126" width="44.375" style="288" customWidth="1"/>
    <col min="16127" max="16127" width="6.375" style="288" bestFit="1" customWidth="1"/>
    <col min="16128" max="16128" width="6.625" style="288" bestFit="1" customWidth="1"/>
    <col min="16129" max="16129" width="4.25" style="288" bestFit="1" customWidth="1"/>
    <col min="16130" max="16130" width="4.125" style="288" customWidth="1"/>
    <col min="16131" max="16131" width="5" style="288" customWidth="1"/>
    <col min="16132" max="16132" width="44.375" style="288" customWidth="1"/>
    <col min="16133" max="16133" width="6.375" style="288" bestFit="1" customWidth="1"/>
    <col min="16134" max="16134" width="6.625" style="288" bestFit="1" customWidth="1"/>
    <col min="16135" max="16135" width="4.25" style="288" bestFit="1" customWidth="1"/>
    <col min="16136" max="16374" width="7.75" style="288"/>
    <col min="16375" max="16381" width="7.75" style="288" customWidth="1"/>
    <col min="16382" max="16384" width="7.75" style="288"/>
  </cols>
  <sheetData>
    <row r="1" spans="1:19" ht="15" customHeight="1" x14ac:dyDescent="0.2">
      <c r="A1" s="100" t="s">
        <v>548</v>
      </c>
      <c r="B1" s="280"/>
      <c r="C1" s="281"/>
      <c r="D1" s="282"/>
      <c r="E1" s="283"/>
      <c r="F1" s="284"/>
      <c r="G1" s="285"/>
      <c r="H1" s="9"/>
      <c r="I1" s="360"/>
      <c r="K1" s="284"/>
      <c r="L1" s="285"/>
      <c r="M1" s="286"/>
      <c r="N1" s="287"/>
    </row>
    <row r="2" spans="1:19" s="199" customFormat="1" ht="15" customHeight="1" x14ac:dyDescent="0.2">
      <c r="A2" s="500" t="s">
        <v>585</v>
      </c>
    </row>
    <row r="3" spans="1:19" s="20" customFormat="1" ht="15" customHeight="1" x14ac:dyDescent="0.2">
      <c r="A3" s="630" t="s">
        <v>327</v>
      </c>
      <c r="B3" s="630"/>
      <c r="C3" s="630"/>
      <c r="D3" s="630"/>
      <c r="E3" s="289"/>
      <c r="F3" s="630" t="s">
        <v>326</v>
      </c>
      <c r="G3" s="630"/>
      <c r="H3" s="630"/>
      <c r="I3" s="630"/>
      <c r="J3" s="289"/>
      <c r="K3" s="630" t="s">
        <v>325</v>
      </c>
      <c r="L3" s="630"/>
      <c r="M3" s="630"/>
      <c r="N3" s="630"/>
      <c r="O3" s="289"/>
      <c r="P3" s="630" t="s">
        <v>324</v>
      </c>
      <c r="Q3" s="630"/>
      <c r="R3" s="630"/>
      <c r="S3" s="630"/>
    </row>
    <row r="4" spans="1:19" s="20" customFormat="1" ht="25.5" x14ac:dyDescent="0.2">
      <c r="A4" s="15" t="s">
        <v>338</v>
      </c>
      <c r="B4" s="290" t="s">
        <v>40</v>
      </c>
      <c r="C4" s="250" t="s">
        <v>41</v>
      </c>
      <c r="D4" s="125" t="s">
        <v>38</v>
      </c>
      <c r="E4" s="291"/>
      <c r="F4" s="15" t="s">
        <v>338</v>
      </c>
      <c r="G4" s="290" t="s">
        <v>40</v>
      </c>
      <c r="H4" s="250" t="s">
        <v>41</v>
      </c>
      <c r="I4" s="125" t="s">
        <v>38</v>
      </c>
      <c r="J4" s="291"/>
      <c r="K4" s="15" t="s">
        <v>338</v>
      </c>
      <c r="L4" s="290" t="s">
        <v>40</v>
      </c>
      <c r="M4" s="250" t="s">
        <v>41</v>
      </c>
      <c r="N4" s="125" t="s">
        <v>38</v>
      </c>
      <c r="O4" s="291"/>
      <c r="P4" s="15" t="s">
        <v>338</v>
      </c>
      <c r="Q4" s="290" t="s">
        <v>40</v>
      </c>
      <c r="R4" s="250" t="s">
        <v>41</v>
      </c>
      <c r="S4" s="125" t="s">
        <v>38</v>
      </c>
    </row>
    <row r="5" spans="1:19" s="20" customFormat="1" ht="15" customHeight="1" x14ac:dyDescent="0.2">
      <c r="A5" s="299" t="s">
        <v>2</v>
      </c>
      <c r="B5" s="363"/>
      <c r="C5" s="364"/>
      <c r="D5" s="365"/>
      <c r="E5" s="366"/>
      <c r="F5" s="299" t="s">
        <v>2</v>
      </c>
      <c r="G5" s="363"/>
      <c r="H5" s="364"/>
      <c r="I5" s="365"/>
      <c r="J5" s="366"/>
      <c r="K5" s="299" t="s">
        <v>2</v>
      </c>
      <c r="L5" s="363"/>
      <c r="M5" s="364"/>
      <c r="N5" s="365"/>
      <c r="O5" s="366"/>
      <c r="P5" s="299" t="s">
        <v>2</v>
      </c>
      <c r="Q5" s="363"/>
      <c r="R5" s="364"/>
      <c r="S5" s="365"/>
    </row>
    <row r="6" spans="1:19" s="20" customFormat="1" ht="15" customHeight="1" x14ac:dyDescent="0.2">
      <c r="A6" s="367">
        <v>1</v>
      </c>
      <c r="B6" s="363" t="s">
        <v>315</v>
      </c>
      <c r="C6" s="364">
        <v>35106</v>
      </c>
      <c r="D6" s="365">
        <v>19.169883853634801</v>
      </c>
      <c r="E6" s="366"/>
      <c r="F6" s="367">
        <v>1</v>
      </c>
      <c r="G6" s="363" t="s">
        <v>315</v>
      </c>
      <c r="H6" s="364">
        <v>16922</v>
      </c>
      <c r="I6" s="365">
        <v>9.2403798373841699</v>
      </c>
      <c r="J6" s="366"/>
      <c r="K6" s="367">
        <v>1</v>
      </c>
      <c r="L6" s="363" t="s">
        <v>301</v>
      </c>
      <c r="M6" s="364">
        <v>13713</v>
      </c>
      <c r="N6" s="365">
        <v>7.48808230174029</v>
      </c>
      <c r="O6" s="366"/>
      <c r="P6" s="367">
        <v>1</v>
      </c>
      <c r="Q6" s="363" t="s">
        <v>320</v>
      </c>
      <c r="R6" s="364">
        <v>14944</v>
      </c>
      <c r="S6" s="365">
        <v>8.1602787075918393</v>
      </c>
    </row>
    <row r="7" spans="1:19" s="20" customFormat="1" ht="15" customHeight="1" x14ac:dyDescent="0.2">
      <c r="A7" s="368">
        <v>2</v>
      </c>
      <c r="B7" s="369" t="s">
        <v>304</v>
      </c>
      <c r="C7" s="370">
        <v>31209</v>
      </c>
      <c r="D7" s="371">
        <v>17.041898968498</v>
      </c>
      <c r="E7" s="372"/>
      <c r="F7" s="368">
        <v>2</v>
      </c>
      <c r="G7" s="369" t="s">
        <v>304</v>
      </c>
      <c r="H7" s="370">
        <v>16685</v>
      </c>
      <c r="I7" s="371">
        <v>9.1109642823989407</v>
      </c>
      <c r="J7" s="372"/>
      <c r="K7" s="368">
        <v>2</v>
      </c>
      <c r="L7" s="369" t="s">
        <v>319</v>
      </c>
      <c r="M7" s="370">
        <v>11599</v>
      </c>
      <c r="N7" s="371">
        <v>6.3337173935597999</v>
      </c>
      <c r="O7" s="372"/>
      <c r="P7" s="368">
        <v>2</v>
      </c>
      <c r="Q7" s="369" t="s">
        <v>117</v>
      </c>
      <c r="R7" s="370">
        <v>13080</v>
      </c>
      <c r="S7" s="371">
        <v>7.1424280979189803</v>
      </c>
    </row>
    <row r="8" spans="1:19" s="20" customFormat="1" ht="15" customHeight="1" x14ac:dyDescent="0.2">
      <c r="A8" s="367">
        <v>3</v>
      </c>
      <c r="B8" s="363" t="s">
        <v>320</v>
      </c>
      <c r="C8" s="364">
        <v>22854</v>
      </c>
      <c r="D8" s="365">
        <v>12.4795911123731</v>
      </c>
      <c r="E8" s="366"/>
      <c r="F8" s="367">
        <v>3</v>
      </c>
      <c r="G8" s="363" t="s">
        <v>120</v>
      </c>
      <c r="H8" s="364">
        <v>9359</v>
      </c>
      <c r="I8" s="365">
        <v>5.1105492789314804</v>
      </c>
      <c r="J8" s="366"/>
      <c r="K8" s="367">
        <v>3</v>
      </c>
      <c r="L8" s="363" t="s">
        <v>310</v>
      </c>
      <c r="M8" s="364">
        <v>11306</v>
      </c>
      <c r="N8" s="365">
        <v>6.1737226357088701</v>
      </c>
      <c r="O8" s="366"/>
      <c r="P8" s="367">
        <v>3</v>
      </c>
      <c r="Q8" s="363" t="s">
        <v>315</v>
      </c>
      <c r="R8" s="364">
        <v>11634</v>
      </c>
      <c r="S8" s="365">
        <v>6.3528293953508701</v>
      </c>
    </row>
    <row r="9" spans="1:19" s="20" customFormat="1" ht="15" customHeight="1" x14ac:dyDescent="0.2">
      <c r="A9" s="367">
        <v>4</v>
      </c>
      <c r="B9" s="363" t="s">
        <v>117</v>
      </c>
      <c r="C9" s="364">
        <v>20895</v>
      </c>
      <c r="D9" s="365">
        <v>11.409865069267401</v>
      </c>
      <c r="E9" s="366"/>
      <c r="F9" s="367">
        <v>4</v>
      </c>
      <c r="G9" s="363" t="s">
        <v>306</v>
      </c>
      <c r="H9" s="364">
        <v>8976</v>
      </c>
      <c r="I9" s="365">
        <v>4.9014093736177902</v>
      </c>
      <c r="J9" s="366"/>
      <c r="K9" s="367">
        <v>4</v>
      </c>
      <c r="L9" s="363" t="s">
        <v>302</v>
      </c>
      <c r="M9" s="364">
        <v>7842</v>
      </c>
      <c r="N9" s="365">
        <v>4.2821805155871999</v>
      </c>
      <c r="O9" s="366"/>
      <c r="P9" s="367">
        <v>4</v>
      </c>
      <c r="Q9" s="363" t="s">
        <v>292</v>
      </c>
      <c r="R9" s="364">
        <v>9902</v>
      </c>
      <c r="S9" s="365">
        <v>5.4070583352900403</v>
      </c>
    </row>
    <row r="10" spans="1:19" s="20" customFormat="1" ht="15" customHeight="1" x14ac:dyDescent="0.2">
      <c r="A10" s="367">
        <v>5</v>
      </c>
      <c r="B10" s="363" t="s">
        <v>308</v>
      </c>
      <c r="C10" s="364">
        <v>20188</v>
      </c>
      <c r="D10" s="365">
        <v>11.023802633087801</v>
      </c>
      <c r="E10" s="366"/>
      <c r="F10" s="367">
        <v>5</v>
      </c>
      <c r="G10" s="363" t="s">
        <v>322</v>
      </c>
      <c r="H10" s="364">
        <v>7414</v>
      </c>
      <c r="I10" s="365">
        <v>4.0484680365421504</v>
      </c>
      <c r="J10" s="366"/>
      <c r="K10" s="367">
        <v>5</v>
      </c>
      <c r="L10" s="363" t="s">
        <v>308</v>
      </c>
      <c r="M10" s="364">
        <v>7511</v>
      </c>
      <c r="N10" s="365">
        <v>4.1014355843631103</v>
      </c>
      <c r="O10" s="366"/>
      <c r="P10" s="367">
        <v>5</v>
      </c>
      <c r="Q10" s="369" t="s">
        <v>304</v>
      </c>
      <c r="R10" s="364">
        <v>9613</v>
      </c>
      <c r="S10" s="365">
        <v>5.2492478062152204</v>
      </c>
    </row>
    <row r="11" spans="1:19" s="20" customFormat="1" ht="15" customHeight="1" x14ac:dyDescent="0.2">
      <c r="A11" s="367">
        <v>6</v>
      </c>
      <c r="B11" s="363" t="s">
        <v>120</v>
      </c>
      <c r="C11" s="364">
        <v>20009</v>
      </c>
      <c r="D11" s="365">
        <v>10.9260583953563</v>
      </c>
      <c r="E11" s="366"/>
      <c r="F11" s="367">
        <v>6</v>
      </c>
      <c r="G11" s="363" t="s">
        <v>117</v>
      </c>
      <c r="H11" s="364">
        <v>5942</v>
      </c>
      <c r="I11" s="365">
        <v>3.2446718469292501</v>
      </c>
      <c r="J11" s="366"/>
      <c r="K11" s="367">
        <v>6</v>
      </c>
      <c r="L11" s="363" t="s">
        <v>317</v>
      </c>
      <c r="M11" s="364">
        <v>7313</v>
      </c>
      <c r="N11" s="365">
        <v>3.99331625994507</v>
      </c>
      <c r="O11" s="366"/>
      <c r="P11" s="367">
        <v>6</v>
      </c>
      <c r="Q11" s="363" t="s">
        <v>308</v>
      </c>
      <c r="R11" s="364">
        <v>9590</v>
      </c>
      <c r="S11" s="365">
        <v>5.2366884907525204</v>
      </c>
    </row>
    <row r="12" spans="1:19" s="20" customFormat="1" ht="15" customHeight="1" x14ac:dyDescent="0.2">
      <c r="A12" s="367">
        <v>7</v>
      </c>
      <c r="B12" s="363" t="s">
        <v>322</v>
      </c>
      <c r="C12" s="364">
        <v>17882</v>
      </c>
      <c r="D12" s="365">
        <v>9.7645947436534506</v>
      </c>
      <c r="E12" s="366"/>
      <c r="F12" s="367">
        <v>7</v>
      </c>
      <c r="G12" s="363" t="s">
        <v>323</v>
      </c>
      <c r="H12" s="364">
        <v>5372</v>
      </c>
      <c r="I12" s="365">
        <v>2.93341924633186</v>
      </c>
      <c r="J12" s="366"/>
      <c r="K12" s="367">
        <v>7</v>
      </c>
      <c r="L12" s="363" t="s">
        <v>297</v>
      </c>
      <c r="M12" s="364">
        <v>7209</v>
      </c>
      <c r="N12" s="365">
        <v>3.9365263117658902</v>
      </c>
      <c r="O12" s="366"/>
      <c r="P12" s="367">
        <v>7</v>
      </c>
      <c r="Q12" s="363" t="s">
        <v>322</v>
      </c>
      <c r="R12" s="364">
        <v>7786</v>
      </c>
      <c r="S12" s="365">
        <v>4.2516013127215002</v>
      </c>
    </row>
    <row r="13" spans="1:19" s="20" customFormat="1" ht="15" customHeight="1" x14ac:dyDescent="0.2">
      <c r="A13" s="367">
        <v>8</v>
      </c>
      <c r="B13" s="363" t="s">
        <v>301</v>
      </c>
      <c r="C13" s="364">
        <v>17512</v>
      </c>
      <c r="D13" s="365">
        <v>9.5625535818621703</v>
      </c>
      <c r="E13" s="366"/>
      <c r="F13" s="367">
        <v>8</v>
      </c>
      <c r="G13" s="363" t="s">
        <v>321</v>
      </c>
      <c r="H13" s="364">
        <v>5001</v>
      </c>
      <c r="I13" s="365">
        <v>2.7308320273465401</v>
      </c>
      <c r="J13" s="366"/>
      <c r="K13" s="367">
        <v>8</v>
      </c>
      <c r="L13" s="363" t="s">
        <v>320</v>
      </c>
      <c r="M13" s="364">
        <v>7112</v>
      </c>
      <c r="N13" s="365">
        <v>3.88355876394494</v>
      </c>
      <c r="O13" s="366"/>
      <c r="P13" s="367">
        <v>8</v>
      </c>
      <c r="Q13" s="363" t="s">
        <v>120</v>
      </c>
      <c r="R13" s="364">
        <v>4728</v>
      </c>
      <c r="S13" s="365">
        <v>2.5817584133762201</v>
      </c>
    </row>
    <row r="14" spans="1:19" s="20" customFormat="1" ht="15" customHeight="1" x14ac:dyDescent="0.2">
      <c r="A14" s="367">
        <v>9</v>
      </c>
      <c r="B14" s="363" t="s">
        <v>292</v>
      </c>
      <c r="C14" s="364">
        <v>17224</v>
      </c>
      <c r="D14" s="365">
        <v>9.4052891099813802</v>
      </c>
      <c r="E14" s="366"/>
      <c r="F14" s="367">
        <v>9</v>
      </c>
      <c r="G14" s="363" t="s">
        <v>125</v>
      </c>
      <c r="H14" s="364">
        <v>4105</v>
      </c>
      <c r="I14" s="365">
        <v>2.2415647814952102</v>
      </c>
      <c r="J14" s="366"/>
      <c r="K14" s="367">
        <v>9</v>
      </c>
      <c r="L14" s="363" t="s">
        <v>293</v>
      </c>
      <c r="M14" s="364">
        <v>6932</v>
      </c>
      <c r="N14" s="365">
        <v>3.7852684690194498</v>
      </c>
      <c r="O14" s="366"/>
      <c r="P14" s="367">
        <v>9</v>
      </c>
      <c r="Q14" s="363" t="s">
        <v>317</v>
      </c>
      <c r="R14" s="364">
        <v>4507</v>
      </c>
      <c r="S14" s="365">
        <v>2.4610797734954799</v>
      </c>
    </row>
    <row r="15" spans="1:19" s="20" customFormat="1" ht="15" customHeight="1" x14ac:dyDescent="0.2">
      <c r="A15" s="367">
        <v>10</v>
      </c>
      <c r="B15" s="363" t="s">
        <v>319</v>
      </c>
      <c r="C15" s="364">
        <v>13726</v>
      </c>
      <c r="D15" s="365">
        <v>7.4951810452626804</v>
      </c>
      <c r="E15" s="366"/>
      <c r="F15" s="367">
        <v>10</v>
      </c>
      <c r="G15" s="363" t="s">
        <v>318</v>
      </c>
      <c r="H15" s="364">
        <v>3726</v>
      </c>
      <c r="I15" s="365">
        <v>2.0346091049576498</v>
      </c>
      <c r="J15" s="366"/>
      <c r="K15" s="367">
        <v>10</v>
      </c>
      <c r="L15" s="363" t="s">
        <v>307</v>
      </c>
      <c r="M15" s="364">
        <v>6819</v>
      </c>
      <c r="N15" s="365">
        <v>3.7235640060940001</v>
      </c>
      <c r="O15" s="366"/>
      <c r="P15" s="367">
        <v>10</v>
      </c>
      <c r="Q15" s="363" t="s">
        <v>296</v>
      </c>
      <c r="R15" s="364">
        <v>4059</v>
      </c>
      <c r="S15" s="365">
        <v>2.2164461505698099</v>
      </c>
    </row>
    <row r="16" spans="1:19" s="20" customFormat="1" ht="15" customHeight="1" x14ac:dyDescent="0.2">
      <c r="A16" s="367">
        <v>11</v>
      </c>
      <c r="B16" s="363" t="s">
        <v>317</v>
      </c>
      <c r="C16" s="364">
        <v>13725</v>
      </c>
      <c r="D16" s="365">
        <v>7.4946349880686496</v>
      </c>
      <c r="E16" s="366"/>
      <c r="F16" s="367">
        <v>11</v>
      </c>
      <c r="G16" s="363" t="s">
        <v>316</v>
      </c>
      <c r="H16" s="364">
        <v>3724</v>
      </c>
      <c r="I16" s="365">
        <v>2.03351699056959</v>
      </c>
      <c r="J16" s="366"/>
      <c r="K16" s="367">
        <v>11</v>
      </c>
      <c r="L16" s="363" t="s">
        <v>315</v>
      </c>
      <c r="M16" s="364">
        <v>6550</v>
      </c>
      <c r="N16" s="365">
        <v>3.5766746208997899</v>
      </c>
      <c r="O16" s="366"/>
      <c r="P16" s="367">
        <v>11</v>
      </c>
      <c r="Q16" s="363" t="s">
        <v>314</v>
      </c>
      <c r="R16" s="364">
        <v>4008</v>
      </c>
      <c r="S16" s="365">
        <v>2.1885972336742601</v>
      </c>
    </row>
    <row r="17" spans="1:19" s="20" customFormat="1" ht="15" customHeight="1" x14ac:dyDescent="0.2">
      <c r="A17" s="367">
        <v>12</v>
      </c>
      <c r="B17" s="363" t="s">
        <v>296</v>
      </c>
      <c r="C17" s="364">
        <v>11563</v>
      </c>
      <c r="D17" s="365">
        <v>6.3140593345747096</v>
      </c>
      <c r="E17" s="366"/>
      <c r="F17" s="367">
        <v>12</v>
      </c>
      <c r="G17" s="363" t="s">
        <v>313</v>
      </c>
      <c r="H17" s="364">
        <v>3259</v>
      </c>
      <c r="I17" s="365">
        <v>1.77960039534541</v>
      </c>
      <c r="J17" s="366"/>
      <c r="K17" s="367">
        <v>12</v>
      </c>
      <c r="L17" s="363" t="s">
        <v>312</v>
      </c>
      <c r="M17" s="364">
        <v>5957</v>
      </c>
      <c r="N17" s="365">
        <v>3.2528627048397101</v>
      </c>
      <c r="O17" s="366"/>
      <c r="P17" s="367">
        <v>12</v>
      </c>
      <c r="Q17" s="363" t="s">
        <v>311</v>
      </c>
      <c r="R17" s="364">
        <v>3235</v>
      </c>
      <c r="S17" s="365">
        <v>1.76649502268868</v>
      </c>
    </row>
    <row r="18" spans="1:19" s="20" customFormat="1" ht="15" customHeight="1" x14ac:dyDescent="0.2">
      <c r="A18" s="367">
        <v>13</v>
      </c>
      <c r="B18" s="363" t="s">
        <v>310</v>
      </c>
      <c r="C18" s="364">
        <v>11468</v>
      </c>
      <c r="D18" s="365">
        <v>6.2621839011418103</v>
      </c>
      <c r="E18" s="366"/>
      <c r="F18" s="367">
        <v>13</v>
      </c>
      <c r="G18" s="363" t="s">
        <v>309</v>
      </c>
      <c r="H18" s="364">
        <v>3214</v>
      </c>
      <c r="I18" s="365">
        <v>1.75502782161404</v>
      </c>
      <c r="J18" s="366"/>
      <c r="K18" s="367">
        <v>13</v>
      </c>
      <c r="L18" s="363" t="s">
        <v>120</v>
      </c>
      <c r="M18" s="364">
        <v>5922</v>
      </c>
      <c r="N18" s="365">
        <v>3.2337507030486399</v>
      </c>
      <c r="O18" s="366"/>
      <c r="P18" s="367">
        <v>13</v>
      </c>
      <c r="Q18" s="363" t="s">
        <v>299</v>
      </c>
      <c r="R18" s="364">
        <v>3019</v>
      </c>
      <c r="S18" s="365">
        <v>1.6485466687780901</v>
      </c>
    </row>
    <row r="19" spans="1:19" s="20" customFormat="1" ht="15" customHeight="1" x14ac:dyDescent="0.2">
      <c r="A19" s="367">
        <v>14</v>
      </c>
      <c r="B19" s="363" t="s">
        <v>307</v>
      </c>
      <c r="C19" s="364">
        <v>11288</v>
      </c>
      <c r="D19" s="365">
        <v>6.1638936062163197</v>
      </c>
      <c r="E19" s="366"/>
      <c r="F19" s="367">
        <v>14</v>
      </c>
      <c r="G19" s="363" t="s">
        <v>308</v>
      </c>
      <c r="H19" s="364">
        <v>3087</v>
      </c>
      <c r="I19" s="365">
        <v>1.68567855797216</v>
      </c>
      <c r="J19" s="366"/>
      <c r="K19" s="367">
        <v>14</v>
      </c>
      <c r="L19" s="363" t="s">
        <v>299</v>
      </c>
      <c r="M19" s="364">
        <v>5799</v>
      </c>
      <c r="N19" s="365">
        <v>3.1665856681828899</v>
      </c>
      <c r="O19" s="366"/>
      <c r="P19" s="367">
        <v>14</v>
      </c>
      <c r="Q19" s="363" t="s">
        <v>307</v>
      </c>
      <c r="R19" s="364">
        <v>2815</v>
      </c>
      <c r="S19" s="365">
        <v>1.53715100119587</v>
      </c>
    </row>
    <row r="20" spans="1:19" s="20" customFormat="1" ht="15" customHeight="1" x14ac:dyDescent="0.2">
      <c r="A20" s="367">
        <v>15</v>
      </c>
      <c r="B20" s="363" t="s">
        <v>306</v>
      </c>
      <c r="C20" s="364">
        <v>10135</v>
      </c>
      <c r="D20" s="365">
        <v>5.5342896614991499</v>
      </c>
      <c r="E20" s="366"/>
      <c r="F20" s="367">
        <v>15</v>
      </c>
      <c r="G20" s="363" t="s">
        <v>305</v>
      </c>
      <c r="H20" s="364">
        <v>2974</v>
      </c>
      <c r="I20" s="365">
        <v>1.6239740950467201</v>
      </c>
      <c r="J20" s="366"/>
      <c r="K20" s="367">
        <v>15</v>
      </c>
      <c r="L20" s="369" t="s">
        <v>304</v>
      </c>
      <c r="M20" s="364">
        <v>4911</v>
      </c>
      <c r="N20" s="365">
        <v>2.6816868798838001</v>
      </c>
      <c r="O20" s="366"/>
      <c r="P20" s="367">
        <v>15</v>
      </c>
      <c r="Q20" s="363" t="s">
        <v>303</v>
      </c>
      <c r="R20" s="364">
        <v>2747</v>
      </c>
      <c r="S20" s="365">
        <v>1.5000191120017901</v>
      </c>
    </row>
    <row r="21" spans="1:19" s="20" customFormat="1" ht="15" customHeight="1" x14ac:dyDescent="0.2">
      <c r="A21" s="367">
        <v>16</v>
      </c>
      <c r="B21" s="363" t="s">
        <v>302</v>
      </c>
      <c r="C21" s="364">
        <v>9588</v>
      </c>
      <c r="D21" s="365">
        <v>5.2355963763644597</v>
      </c>
      <c r="E21" s="366"/>
      <c r="F21" s="367">
        <v>16</v>
      </c>
      <c r="G21" s="363" t="s">
        <v>301</v>
      </c>
      <c r="H21" s="364">
        <v>2716</v>
      </c>
      <c r="I21" s="365">
        <v>1.4830913389868501</v>
      </c>
      <c r="J21" s="366"/>
      <c r="K21" s="367">
        <v>16</v>
      </c>
      <c r="L21" s="363" t="s">
        <v>296</v>
      </c>
      <c r="M21" s="364">
        <v>4850</v>
      </c>
      <c r="N21" s="365">
        <v>2.6483773910479398</v>
      </c>
      <c r="O21" s="366"/>
      <c r="P21" s="367">
        <v>16</v>
      </c>
      <c r="Q21" s="363" t="s">
        <v>300</v>
      </c>
      <c r="R21" s="364">
        <v>2588</v>
      </c>
      <c r="S21" s="365">
        <v>1.41319601815094</v>
      </c>
    </row>
    <row r="22" spans="1:19" s="20" customFormat="1" ht="15" customHeight="1" x14ac:dyDescent="0.2">
      <c r="A22" s="367">
        <v>17</v>
      </c>
      <c r="B22" s="363" t="s">
        <v>299</v>
      </c>
      <c r="C22" s="364">
        <v>9093</v>
      </c>
      <c r="D22" s="365">
        <v>4.9652980653193604</v>
      </c>
      <c r="E22" s="366"/>
      <c r="F22" s="367">
        <v>17</v>
      </c>
      <c r="G22" s="363" t="s">
        <v>287</v>
      </c>
      <c r="H22" s="364">
        <v>2675</v>
      </c>
      <c r="I22" s="365">
        <v>1.4607029940316001</v>
      </c>
      <c r="J22" s="366"/>
      <c r="K22" s="367">
        <v>17</v>
      </c>
      <c r="L22" s="363" t="s">
        <v>292</v>
      </c>
      <c r="M22" s="364">
        <v>4827</v>
      </c>
      <c r="N22" s="365">
        <v>2.6358180755852398</v>
      </c>
      <c r="O22" s="366"/>
      <c r="P22" s="367">
        <v>17</v>
      </c>
      <c r="Q22" s="363" t="s">
        <v>298</v>
      </c>
      <c r="R22" s="364">
        <v>2200</v>
      </c>
      <c r="S22" s="365">
        <v>1.2013258268671101</v>
      </c>
    </row>
    <row r="23" spans="1:19" s="20" customFormat="1" ht="15" customHeight="1" x14ac:dyDescent="0.2">
      <c r="A23" s="367">
        <v>18</v>
      </c>
      <c r="B23" s="363" t="s">
        <v>297</v>
      </c>
      <c r="C23" s="364">
        <v>7771</v>
      </c>
      <c r="D23" s="365">
        <v>4.2434104548110403</v>
      </c>
      <c r="E23" s="366"/>
      <c r="F23" s="367">
        <v>18</v>
      </c>
      <c r="G23" s="363" t="s">
        <v>296</v>
      </c>
      <c r="H23" s="364">
        <v>2654</v>
      </c>
      <c r="I23" s="365">
        <v>1.4492357929569499</v>
      </c>
      <c r="J23" s="366"/>
      <c r="K23" s="367">
        <v>18</v>
      </c>
      <c r="L23" s="363" t="s">
        <v>295</v>
      </c>
      <c r="M23" s="364">
        <v>4121</v>
      </c>
      <c r="N23" s="365">
        <v>2.2503016965997</v>
      </c>
      <c r="O23" s="366"/>
      <c r="P23" s="367">
        <v>18</v>
      </c>
      <c r="Q23" s="363" t="s">
        <v>294</v>
      </c>
      <c r="R23" s="364">
        <v>2187</v>
      </c>
      <c r="S23" s="365">
        <v>1.1942270833447099</v>
      </c>
    </row>
    <row r="24" spans="1:19" s="20" customFormat="1" ht="15" customHeight="1" x14ac:dyDescent="0.2">
      <c r="A24" s="367">
        <v>19</v>
      </c>
      <c r="B24" s="363" t="s">
        <v>293</v>
      </c>
      <c r="C24" s="364">
        <v>7187</v>
      </c>
      <c r="D24" s="365">
        <v>3.9245130534972201</v>
      </c>
      <c r="E24" s="366"/>
      <c r="F24" s="367">
        <v>19</v>
      </c>
      <c r="G24" s="363" t="s">
        <v>292</v>
      </c>
      <c r="H24" s="364">
        <v>2495</v>
      </c>
      <c r="I24" s="365">
        <v>1.3624126991061001</v>
      </c>
      <c r="J24" s="366"/>
      <c r="K24" s="367">
        <v>19</v>
      </c>
      <c r="L24" s="363" t="s">
        <v>291</v>
      </c>
      <c r="M24" s="364">
        <v>4078</v>
      </c>
      <c r="N24" s="365">
        <v>2.2268212372563898</v>
      </c>
      <c r="O24" s="366"/>
      <c r="P24" s="367">
        <v>19</v>
      </c>
      <c r="Q24" s="363" t="s">
        <v>290</v>
      </c>
      <c r="R24" s="364">
        <v>2132</v>
      </c>
      <c r="S24" s="365">
        <v>1.1641939376730299</v>
      </c>
    </row>
    <row r="25" spans="1:19" s="20" customFormat="1" ht="15" customHeight="1" x14ac:dyDescent="0.2">
      <c r="A25" s="367">
        <v>20</v>
      </c>
      <c r="B25" s="363" t="s">
        <v>287</v>
      </c>
      <c r="C25" s="364">
        <v>6822</v>
      </c>
      <c r="D25" s="365">
        <v>3.7252021776760902</v>
      </c>
      <c r="E25" s="366"/>
      <c r="F25" s="367">
        <v>20</v>
      </c>
      <c r="G25" s="363" t="s">
        <v>289</v>
      </c>
      <c r="H25" s="364">
        <v>2454</v>
      </c>
      <c r="I25" s="365">
        <v>1.3400243541508501</v>
      </c>
      <c r="J25" s="366"/>
      <c r="K25" s="367">
        <v>20</v>
      </c>
      <c r="L25" s="363" t="s">
        <v>288</v>
      </c>
      <c r="M25" s="364">
        <v>3372</v>
      </c>
      <c r="N25" s="365">
        <v>1.84130485827086</v>
      </c>
      <c r="O25" s="366"/>
      <c r="P25" s="367">
        <v>20</v>
      </c>
      <c r="Q25" s="363" t="s">
        <v>287</v>
      </c>
      <c r="R25" s="364">
        <v>2114</v>
      </c>
      <c r="S25" s="365">
        <v>1.1543649081804801</v>
      </c>
    </row>
    <row r="26" spans="1:19" s="12" customFormat="1" ht="15" customHeight="1" x14ac:dyDescent="0.2">
      <c r="A26" s="373"/>
      <c r="B26" s="68" t="s">
        <v>329</v>
      </c>
      <c r="C26" s="69">
        <v>183131</v>
      </c>
      <c r="D26" s="374" t="s">
        <v>70</v>
      </c>
      <c r="E26" s="375"/>
      <c r="F26" s="373"/>
      <c r="G26" s="68" t="s">
        <v>329</v>
      </c>
      <c r="H26" s="69">
        <v>183131</v>
      </c>
      <c r="I26" s="374" t="s">
        <v>70</v>
      </c>
      <c r="J26" s="375"/>
      <c r="K26" s="373"/>
      <c r="L26" s="68" t="s">
        <v>329</v>
      </c>
      <c r="M26" s="69">
        <v>183131</v>
      </c>
      <c r="N26" s="374" t="s">
        <v>70</v>
      </c>
      <c r="O26" s="375"/>
      <c r="P26" s="373"/>
      <c r="Q26" s="68" t="s">
        <v>329</v>
      </c>
      <c r="R26" s="69">
        <v>183131</v>
      </c>
      <c r="S26" s="374" t="s">
        <v>70</v>
      </c>
    </row>
    <row r="27" spans="1:19" s="20" customFormat="1" ht="15" customHeight="1" x14ac:dyDescent="0.2">
      <c r="A27" s="299" t="s">
        <v>0</v>
      </c>
      <c r="B27" s="361"/>
      <c r="C27" s="113"/>
      <c r="D27" s="104"/>
      <c r="E27" s="362"/>
      <c r="F27" s="299" t="s">
        <v>0</v>
      </c>
      <c r="G27" s="361"/>
      <c r="H27" s="113"/>
      <c r="I27" s="104"/>
      <c r="J27" s="362"/>
      <c r="K27" s="299" t="s">
        <v>0</v>
      </c>
      <c r="L27" s="361"/>
      <c r="M27" s="113"/>
      <c r="N27" s="104"/>
      <c r="O27" s="362"/>
      <c r="P27" s="299" t="s">
        <v>0</v>
      </c>
      <c r="Q27" s="361"/>
      <c r="R27" s="113"/>
      <c r="S27" s="104"/>
    </row>
    <row r="28" spans="1:19" s="12" customFormat="1" ht="15" customHeight="1" x14ac:dyDescent="0.2">
      <c r="A28" s="376">
        <v>1</v>
      </c>
      <c r="B28" s="376" t="s">
        <v>315</v>
      </c>
      <c r="C28" s="377">
        <v>21837</v>
      </c>
      <c r="D28" s="378">
        <v>22.7043044291953</v>
      </c>
      <c r="E28" s="379"/>
      <c r="F28" s="376">
        <v>1</v>
      </c>
      <c r="G28" s="376" t="s">
        <v>315</v>
      </c>
      <c r="H28" s="380">
        <v>10343</v>
      </c>
      <c r="I28" s="378">
        <v>10.753794967768799</v>
      </c>
      <c r="J28" s="379"/>
      <c r="K28" s="376">
        <v>1</v>
      </c>
      <c r="L28" s="381" t="s">
        <v>301</v>
      </c>
      <c r="M28" s="380">
        <v>7439</v>
      </c>
      <c r="N28" s="378">
        <v>7.7344562279060103</v>
      </c>
      <c r="O28" s="379"/>
      <c r="P28" s="376">
        <v>1</v>
      </c>
      <c r="Q28" s="381" t="s">
        <v>117</v>
      </c>
      <c r="R28" s="380">
        <v>7626</v>
      </c>
      <c r="S28" s="378">
        <v>7.9288833437305097</v>
      </c>
    </row>
    <row r="29" spans="1:19" s="12" customFormat="1" ht="15" customHeight="1" x14ac:dyDescent="0.2">
      <c r="A29" s="376">
        <v>2</v>
      </c>
      <c r="B29" s="376" t="s">
        <v>304</v>
      </c>
      <c r="C29" s="377">
        <v>12799</v>
      </c>
      <c r="D29" s="378">
        <v>13.307340403410301</v>
      </c>
      <c r="E29" s="379"/>
      <c r="F29" s="376">
        <v>2</v>
      </c>
      <c r="G29" s="381" t="s">
        <v>304</v>
      </c>
      <c r="H29" s="380">
        <v>6111</v>
      </c>
      <c r="I29" s="378">
        <v>6.35371179039302</v>
      </c>
      <c r="J29" s="379"/>
      <c r="K29" s="376">
        <v>2</v>
      </c>
      <c r="L29" s="376" t="s">
        <v>319</v>
      </c>
      <c r="M29" s="380">
        <v>6173</v>
      </c>
      <c r="N29" s="378">
        <v>6.4181742566022102</v>
      </c>
      <c r="O29" s="379"/>
      <c r="P29" s="376">
        <v>2</v>
      </c>
      <c r="Q29" s="376" t="s">
        <v>320</v>
      </c>
      <c r="R29" s="380">
        <v>7535</v>
      </c>
      <c r="S29" s="378">
        <v>7.8342690788105598</v>
      </c>
    </row>
    <row r="30" spans="1:19" s="12" customFormat="1" ht="15" customHeight="1" x14ac:dyDescent="0.2">
      <c r="A30" s="376">
        <v>3</v>
      </c>
      <c r="B30" s="376" t="s">
        <v>117</v>
      </c>
      <c r="C30" s="377">
        <v>12005</v>
      </c>
      <c r="D30" s="378">
        <v>12.481804949053901</v>
      </c>
      <c r="E30" s="379"/>
      <c r="F30" s="376">
        <v>3</v>
      </c>
      <c r="G30" s="381" t="s">
        <v>306</v>
      </c>
      <c r="H30" s="380">
        <v>5194</v>
      </c>
      <c r="I30" s="378">
        <v>5.4002911208151403</v>
      </c>
      <c r="J30" s="379"/>
      <c r="K30" s="376">
        <v>3</v>
      </c>
      <c r="L30" s="381" t="s">
        <v>310</v>
      </c>
      <c r="M30" s="380">
        <v>5845</v>
      </c>
      <c r="N30" s="378">
        <v>6.0771470160116499</v>
      </c>
      <c r="O30" s="379"/>
      <c r="P30" s="376">
        <v>3</v>
      </c>
      <c r="Q30" s="381" t="s">
        <v>315</v>
      </c>
      <c r="R30" s="380">
        <v>7495</v>
      </c>
      <c r="S30" s="378">
        <v>7.7926803909336702</v>
      </c>
    </row>
    <row r="31" spans="1:19" s="12" customFormat="1" ht="15" customHeight="1" x14ac:dyDescent="0.2">
      <c r="A31" s="376">
        <v>4</v>
      </c>
      <c r="B31" s="376" t="s">
        <v>320</v>
      </c>
      <c r="C31" s="377">
        <v>11003</v>
      </c>
      <c r="D31" s="378">
        <v>11.4400083177376</v>
      </c>
      <c r="E31" s="379"/>
      <c r="F31" s="376">
        <v>4</v>
      </c>
      <c r="G31" s="381" t="s">
        <v>120</v>
      </c>
      <c r="H31" s="380">
        <v>4096</v>
      </c>
      <c r="I31" s="378">
        <v>4.2586816385943003</v>
      </c>
      <c r="J31" s="379"/>
      <c r="K31" s="376">
        <v>4</v>
      </c>
      <c r="L31" s="381" t="s">
        <v>302</v>
      </c>
      <c r="M31" s="380">
        <v>4858</v>
      </c>
      <c r="N31" s="378">
        <v>5.0509461426491997</v>
      </c>
      <c r="O31" s="379"/>
      <c r="P31" s="376">
        <v>4</v>
      </c>
      <c r="Q31" s="381" t="s">
        <v>292</v>
      </c>
      <c r="R31" s="380">
        <v>5269</v>
      </c>
      <c r="S31" s="378">
        <v>5.47826991058432</v>
      </c>
    </row>
    <row r="32" spans="1:19" s="12" customFormat="1" ht="15" customHeight="1" x14ac:dyDescent="0.2">
      <c r="A32" s="376">
        <v>5</v>
      </c>
      <c r="B32" s="376" t="s">
        <v>308</v>
      </c>
      <c r="C32" s="377">
        <v>10886</v>
      </c>
      <c r="D32" s="378">
        <v>11.318361405697701</v>
      </c>
      <c r="E32" s="379"/>
      <c r="F32" s="376">
        <v>5</v>
      </c>
      <c r="G32" s="381" t="s">
        <v>322</v>
      </c>
      <c r="H32" s="380">
        <v>3914</v>
      </c>
      <c r="I32" s="378">
        <v>4.0694531087544199</v>
      </c>
      <c r="J32" s="379"/>
      <c r="K32" s="376">
        <v>5</v>
      </c>
      <c r="L32" s="381" t="s">
        <v>308</v>
      </c>
      <c r="M32" s="380">
        <v>4105</v>
      </c>
      <c r="N32" s="378">
        <v>4.2680390933666104</v>
      </c>
      <c r="O32" s="379"/>
      <c r="P32" s="376">
        <v>5</v>
      </c>
      <c r="Q32" s="381" t="s">
        <v>308</v>
      </c>
      <c r="R32" s="380">
        <v>5245</v>
      </c>
      <c r="S32" s="378">
        <v>5.4533166978581802</v>
      </c>
    </row>
    <row r="33" spans="1:19" s="12" customFormat="1" ht="15" customHeight="1" x14ac:dyDescent="0.2">
      <c r="A33" s="376">
        <v>6</v>
      </c>
      <c r="B33" s="376" t="s">
        <v>322</v>
      </c>
      <c r="C33" s="377">
        <v>10051</v>
      </c>
      <c r="D33" s="378">
        <v>10.4501975462674</v>
      </c>
      <c r="E33" s="379"/>
      <c r="F33" s="376">
        <v>6</v>
      </c>
      <c r="G33" s="381" t="s">
        <v>318</v>
      </c>
      <c r="H33" s="380">
        <v>3726</v>
      </c>
      <c r="I33" s="378">
        <v>3.8739862757329999</v>
      </c>
      <c r="K33" s="376">
        <v>6</v>
      </c>
      <c r="L33" s="381" t="s">
        <v>315</v>
      </c>
      <c r="M33" s="380">
        <v>3999</v>
      </c>
      <c r="N33" s="378">
        <v>4.1578290704928298</v>
      </c>
      <c r="P33" s="376">
        <v>6</v>
      </c>
      <c r="Q33" s="381" t="s">
        <v>322</v>
      </c>
      <c r="R33" s="380">
        <v>4597</v>
      </c>
      <c r="S33" s="378">
        <v>4.7795799542524398</v>
      </c>
    </row>
    <row r="34" spans="1:19" s="12" customFormat="1" ht="15" customHeight="1" x14ac:dyDescent="0.2">
      <c r="A34" s="376">
        <v>7</v>
      </c>
      <c r="B34" s="376" t="s">
        <v>120</v>
      </c>
      <c r="C34" s="377">
        <v>9650</v>
      </c>
      <c r="D34" s="378">
        <v>10.0332709503015</v>
      </c>
      <c r="E34" s="379"/>
      <c r="F34" s="376">
        <v>7</v>
      </c>
      <c r="G34" s="381" t="s">
        <v>117</v>
      </c>
      <c r="H34" s="380">
        <v>3288</v>
      </c>
      <c r="I34" s="378">
        <v>3.4185901434809698</v>
      </c>
      <c r="J34" s="379"/>
      <c r="K34" s="376">
        <v>7</v>
      </c>
      <c r="L34" s="381" t="s">
        <v>297</v>
      </c>
      <c r="M34" s="380">
        <v>3929</v>
      </c>
      <c r="N34" s="378">
        <v>4.0850488667082603</v>
      </c>
      <c r="O34" s="379"/>
      <c r="P34" s="376">
        <v>7</v>
      </c>
      <c r="Q34" s="381" t="s">
        <v>304</v>
      </c>
      <c r="R34" s="380">
        <v>4473</v>
      </c>
      <c r="S34" s="378">
        <v>4.6506550218340603</v>
      </c>
    </row>
    <row r="35" spans="1:19" s="12" customFormat="1" ht="15" customHeight="1" x14ac:dyDescent="0.2">
      <c r="A35" s="376">
        <v>8</v>
      </c>
      <c r="B35" s="376" t="s">
        <v>301</v>
      </c>
      <c r="C35" s="377">
        <v>9357</v>
      </c>
      <c r="D35" s="378">
        <v>9.7286338116032507</v>
      </c>
      <c r="F35" s="376">
        <v>8</v>
      </c>
      <c r="G35" s="381" t="s">
        <v>323</v>
      </c>
      <c r="H35" s="380">
        <v>2832</v>
      </c>
      <c r="I35" s="378">
        <v>2.9444791016843399</v>
      </c>
      <c r="K35" s="376">
        <v>8</v>
      </c>
      <c r="L35" s="381" t="s">
        <v>293</v>
      </c>
      <c r="M35" s="380">
        <v>3580</v>
      </c>
      <c r="N35" s="378">
        <v>3.7221875649823302</v>
      </c>
      <c r="P35" s="376">
        <v>8</v>
      </c>
      <c r="Q35" s="381" t="s">
        <v>120</v>
      </c>
      <c r="R35" s="380">
        <v>2637</v>
      </c>
      <c r="S35" s="378">
        <v>2.74173424828447</v>
      </c>
    </row>
    <row r="36" spans="1:19" s="12" customFormat="1" ht="15" customHeight="1" x14ac:dyDescent="0.2">
      <c r="A36" s="376">
        <v>9</v>
      </c>
      <c r="B36" s="376" t="s">
        <v>292</v>
      </c>
      <c r="C36" s="377">
        <v>8503</v>
      </c>
      <c r="D36" s="378">
        <v>8.8407153254314803</v>
      </c>
      <c r="E36" s="379"/>
      <c r="F36" s="376">
        <v>9</v>
      </c>
      <c r="G36" s="381" t="s">
        <v>321</v>
      </c>
      <c r="H36" s="380">
        <v>2644</v>
      </c>
      <c r="I36" s="378">
        <v>2.7490122686629199</v>
      </c>
      <c r="K36" s="376">
        <v>9</v>
      </c>
      <c r="L36" s="381" t="s">
        <v>317</v>
      </c>
      <c r="M36" s="380">
        <v>3526</v>
      </c>
      <c r="N36" s="378">
        <v>3.66604283634851</v>
      </c>
      <c r="P36" s="376">
        <v>9</v>
      </c>
      <c r="Q36" s="381" t="s">
        <v>317</v>
      </c>
      <c r="R36" s="380">
        <v>2233</v>
      </c>
      <c r="S36" s="378">
        <v>2.3216885007278001</v>
      </c>
    </row>
    <row r="37" spans="1:19" s="12" customFormat="1" ht="15" customHeight="1" x14ac:dyDescent="0.2">
      <c r="A37" s="376">
        <v>10</v>
      </c>
      <c r="B37" s="376" t="s">
        <v>319</v>
      </c>
      <c r="C37" s="377">
        <v>7171</v>
      </c>
      <c r="D37" s="378">
        <v>7.4558120191307999</v>
      </c>
      <c r="E37" s="379"/>
      <c r="F37" s="376">
        <v>10</v>
      </c>
      <c r="G37" s="381" t="s">
        <v>309</v>
      </c>
      <c r="H37" s="380">
        <v>2419</v>
      </c>
      <c r="I37" s="378">
        <v>2.5150758993553799</v>
      </c>
      <c r="J37" s="379"/>
      <c r="K37" s="376">
        <v>10</v>
      </c>
      <c r="L37" s="381" t="s">
        <v>307</v>
      </c>
      <c r="M37" s="380">
        <v>3481</v>
      </c>
      <c r="N37" s="378">
        <v>3.619255562487</v>
      </c>
      <c r="O37" s="379"/>
      <c r="P37" s="376">
        <v>10</v>
      </c>
      <c r="Q37" s="381" t="s">
        <v>314</v>
      </c>
      <c r="R37" s="380">
        <v>2221</v>
      </c>
      <c r="S37" s="378">
        <v>2.3092118943647302</v>
      </c>
    </row>
    <row r="38" spans="1:19" s="12" customFormat="1" ht="15" customHeight="1" x14ac:dyDescent="0.2">
      <c r="A38" s="376">
        <v>11</v>
      </c>
      <c r="B38" s="376" t="s">
        <v>317</v>
      </c>
      <c r="C38" s="377">
        <v>6579</v>
      </c>
      <c r="D38" s="378">
        <v>6.8402994385527203</v>
      </c>
      <c r="E38" s="379"/>
      <c r="F38" s="376">
        <v>11</v>
      </c>
      <c r="G38" s="381" t="s">
        <v>125</v>
      </c>
      <c r="H38" s="380">
        <v>2122</v>
      </c>
      <c r="I38" s="378">
        <v>2.2062798918694102</v>
      </c>
      <c r="J38" s="379"/>
      <c r="K38" s="376">
        <v>11</v>
      </c>
      <c r="L38" s="381" t="s">
        <v>320</v>
      </c>
      <c r="M38" s="380">
        <v>3216</v>
      </c>
      <c r="N38" s="378">
        <v>3.3437305053025601</v>
      </c>
      <c r="O38" s="379"/>
      <c r="P38" s="376">
        <v>11</v>
      </c>
      <c r="Q38" s="381" t="s">
        <v>296</v>
      </c>
      <c r="R38" s="380">
        <v>2117</v>
      </c>
      <c r="S38" s="378">
        <v>2.2010813058848</v>
      </c>
    </row>
    <row r="39" spans="1:19" s="12" customFormat="1" ht="15" customHeight="1" x14ac:dyDescent="0.2">
      <c r="A39" s="376">
        <v>12</v>
      </c>
      <c r="B39" s="376" t="s">
        <v>310</v>
      </c>
      <c r="C39" s="377">
        <v>5922</v>
      </c>
      <c r="D39" s="378">
        <v>6.1572052401746697</v>
      </c>
      <c r="E39" s="379"/>
      <c r="F39" s="376">
        <v>12</v>
      </c>
      <c r="G39" s="381" t="s">
        <v>316</v>
      </c>
      <c r="H39" s="380">
        <v>1941</v>
      </c>
      <c r="I39" s="378">
        <v>2.0180910792264499</v>
      </c>
      <c r="J39" s="379"/>
      <c r="K39" s="376">
        <v>12</v>
      </c>
      <c r="L39" s="381" t="s">
        <v>120</v>
      </c>
      <c r="M39" s="380">
        <v>2917</v>
      </c>
      <c r="N39" s="378">
        <v>3.0328550634227498</v>
      </c>
      <c r="O39" s="379"/>
      <c r="P39" s="376">
        <v>12</v>
      </c>
      <c r="Q39" s="381" t="s">
        <v>300</v>
      </c>
      <c r="R39" s="380">
        <v>2043</v>
      </c>
      <c r="S39" s="378">
        <v>2.1241422333125399</v>
      </c>
    </row>
    <row r="40" spans="1:19" s="12" customFormat="1" ht="15" customHeight="1" x14ac:dyDescent="0.2">
      <c r="A40" s="376">
        <v>13</v>
      </c>
      <c r="B40" s="376" t="s">
        <v>306</v>
      </c>
      <c r="C40" s="377">
        <v>5900</v>
      </c>
      <c r="D40" s="378">
        <v>6.1343314618423799</v>
      </c>
      <c r="E40" s="379"/>
      <c r="F40" s="376">
        <v>13</v>
      </c>
      <c r="G40" s="381" t="s">
        <v>287</v>
      </c>
      <c r="H40" s="380">
        <v>1684</v>
      </c>
      <c r="I40" s="378">
        <v>1.7508837596173801</v>
      </c>
      <c r="J40" s="379"/>
      <c r="K40" s="376">
        <v>13</v>
      </c>
      <c r="L40" s="381" t="s">
        <v>312</v>
      </c>
      <c r="M40" s="380">
        <v>2823</v>
      </c>
      <c r="N40" s="378">
        <v>2.93512164691204</v>
      </c>
      <c r="O40" s="379"/>
      <c r="P40" s="376">
        <v>13</v>
      </c>
      <c r="Q40" s="381" t="s">
        <v>318</v>
      </c>
      <c r="R40" s="380">
        <v>1795</v>
      </c>
      <c r="S40" s="378">
        <v>1.86629236847577</v>
      </c>
    </row>
    <row r="41" spans="1:19" s="12" customFormat="1" ht="15" customHeight="1" x14ac:dyDescent="0.2">
      <c r="A41" s="376">
        <v>14</v>
      </c>
      <c r="B41" s="376" t="s">
        <v>302</v>
      </c>
      <c r="C41" s="377">
        <v>5858</v>
      </c>
      <c r="D41" s="378">
        <v>6.0906633395716403</v>
      </c>
      <c r="E41" s="379"/>
      <c r="F41" s="376">
        <v>14</v>
      </c>
      <c r="G41" s="381" t="s">
        <v>305</v>
      </c>
      <c r="H41" s="380">
        <v>1639</v>
      </c>
      <c r="I41" s="378">
        <v>1.70409648575588</v>
      </c>
      <c r="J41" s="379"/>
      <c r="K41" s="376">
        <v>14</v>
      </c>
      <c r="L41" s="381" t="s">
        <v>296</v>
      </c>
      <c r="M41" s="380">
        <v>2556</v>
      </c>
      <c r="N41" s="378">
        <v>2.6575171553337502</v>
      </c>
      <c r="O41" s="379"/>
      <c r="P41" s="376">
        <v>14</v>
      </c>
      <c r="Q41" s="381" t="s">
        <v>303</v>
      </c>
      <c r="R41" s="380">
        <v>1714</v>
      </c>
      <c r="S41" s="378">
        <v>1.78207527552506</v>
      </c>
    </row>
    <row r="42" spans="1:19" s="12" customFormat="1" ht="15" customHeight="1" x14ac:dyDescent="0.2">
      <c r="A42" s="376">
        <v>15</v>
      </c>
      <c r="B42" s="376" t="s">
        <v>318</v>
      </c>
      <c r="C42" s="377">
        <v>5840</v>
      </c>
      <c r="D42" s="378">
        <v>6.0719484300270299</v>
      </c>
      <c r="E42" s="379"/>
      <c r="F42" s="376">
        <v>15</v>
      </c>
      <c r="G42" s="381" t="s">
        <v>289</v>
      </c>
      <c r="H42" s="380">
        <v>1569</v>
      </c>
      <c r="I42" s="378">
        <v>1.6313162819713001</v>
      </c>
      <c r="J42" s="379"/>
      <c r="K42" s="376">
        <v>15</v>
      </c>
      <c r="L42" s="381" t="s">
        <v>292</v>
      </c>
      <c r="M42" s="380">
        <v>2310</v>
      </c>
      <c r="N42" s="378">
        <v>2.4017467248908302</v>
      </c>
      <c r="O42" s="379"/>
      <c r="P42" s="376">
        <v>15</v>
      </c>
      <c r="Q42" s="381" t="s">
        <v>311</v>
      </c>
      <c r="R42" s="380">
        <v>1713</v>
      </c>
      <c r="S42" s="378">
        <v>1.7810355583281401</v>
      </c>
    </row>
    <row r="43" spans="1:19" s="12" customFormat="1" ht="15" customHeight="1" x14ac:dyDescent="0.2">
      <c r="A43" s="376">
        <v>16</v>
      </c>
      <c r="B43" s="376" t="s">
        <v>296</v>
      </c>
      <c r="C43" s="377">
        <v>5828</v>
      </c>
      <c r="D43" s="378">
        <v>6.0594718236639702</v>
      </c>
      <c r="E43" s="379"/>
      <c r="F43" s="376">
        <v>16</v>
      </c>
      <c r="G43" s="381" t="s">
        <v>337</v>
      </c>
      <c r="H43" s="380">
        <v>1557</v>
      </c>
      <c r="I43" s="378">
        <v>1.6188396756082399</v>
      </c>
      <c r="J43" s="379"/>
      <c r="K43" s="376">
        <v>16</v>
      </c>
      <c r="L43" s="381" t="s">
        <v>295</v>
      </c>
      <c r="M43" s="380">
        <v>2295</v>
      </c>
      <c r="N43" s="378">
        <v>2.3861509669369898</v>
      </c>
      <c r="O43" s="379"/>
      <c r="P43" s="376">
        <v>16</v>
      </c>
      <c r="Q43" s="381" t="s">
        <v>298</v>
      </c>
      <c r="R43" s="380">
        <v>1686</v>
      </c>
      <c r="S43" s="378">
        <v>1.75296319401123</v>
      </c>
    </row>
    <row r="44" spans="1:19" s="12" customFormat="1" ht="15" customHeight="1" x14ac:dyDescent="0.2">
      <c r="A44" s="376">
        <v>17</v>
      </c>
      <c r="B44" s="376" t="s">
        <v>307</v>
      </c>
      <c r="C44" s="377">
        <v>5744</v>
      </c>
      <c r="D44" s="378">
        <v>5.9721355791224804</v>
      </c>
      <c r="E44" s="379"/>
      <c r="F44" s="376">
        <v>17</v>
      </c>
      <c r="G44" s="381" t="s">
        <v>308</v>
      </c>
      <c r="H44" s="380">
        <v>1536</v>
      </c>
      <c r="I44" s="378">
        <v>1.5970056144728599</v>
      </c>
      <c r="J44" s="379"/>
      <c r="K44" s="376">
        <v>17</v>
      </c>
      <c r="L44" s="381" t="s">
        <v>304</v>
      </c>
      <c r="M44" s="380">
        <v>2215</v>
      </c>
      <c r="N44" s="378">
        <v>2.3029735911831999</v>
      </c>
      <c r="O44" s="379"/>
      <c r="P44" s="376">
        <v>17</v>
      </c>
      <c r="Q44" s="381" t="s">
        <v>307</v>
      </c>
      <c r="R44" s="380">
        <v>1498</v>
      </c>
      <c r="S44" s="378">
        <v>1.55749636098981</v>
      </c>
    </row>
    <row r="45" spans="1:19" s="12" customFormat="1" ht="15" customHeight="1" x14ac:dyDescent="0.2">
      <c r="A45" s="376">
        <v>18</v>
      </c>
      <c r="B45" s="376" t="s">
        <v>287</v>
      </c>
      <c r="C45" s="377">
        <v>4393</v>
      </c>
      <c r="D45" s="378">
        <v>4.5674776460802704</v>
      </c>
      <c r="E45" s="379"/>
      <c r="F45" s="376">
        <v>18</v>
      </c>
      <c r="G45" s="381" t="s">
        <v>330</v>
      </c>
      <c r="H45" s="380">
        <v>1404</v>
      </c>
      <c r="I45" s="378">
        <v>1.4597629444791</v>
      </c>
      <c r="J45" s="379"/>
      <c r="K45" s="376">
        <v>18</v>
      </c>
      <c r="L45" s="381" t="s">
        <v>299</v>
      </c>
      <c r="M45" s="380">
        <v>2205</v>
      </c>
      <c r="N45" s="378">
        <v>2.2925764192139702</v>
      </c>
      <c r="O45" s="379"/>
      <c r="P45" s="376">
        <v>18</v>
      </c>
      <c r="Q45" s="381" t="s">
        <v>336</v>
      </c>
      <c r="R45" s="380">
        <v>1464</v>
      </c>
      <c r="S45" s="378">
        <v>1.52214597629445</v>
      </c>
    </row>
    <row r="46" spans="1:19" s="12" customFormat="1" ht="15" customHeight="1" x14ac:dyDescent="0.2">
      <c r="A46" s="376">
        <v>19</v>
      </c>
      <c r="B46" s="376" t="s">
        <v>297</v>
      </c>
      <c r="C46" s="377">
        <v>4268</v>
      </c>
      <c r="D46" s="378">
        <v>4.4375129964649602</v>
      </c>
      <c r="E46" s="379"/>
      <c r="F46" s="376">
        <v>19</v>
      </c>
      <c r="G46" s="381" t="s">
        <v>301</v>
      </c>
      <c r="H46" s="380">
        <v>1290</v>
      </c>
      <c r="I46" s="378">
        <v>1.3412351840299399</v>
      </c>
      <c r="J46" s="379"/>
      <c r="K46" s="376">
        <v>19</v>
      </c>
      <c r="L46" s="381" t="s">
        <v>291</v>
      </c>
      <c r="M46" s="380">
        <v>2106</v>
      </c>
      <c r="N46" s="378">
        <v>2.1896444167186502</v>
      </c>
      <c r="O46" s="379"/>
      <c r="P46" s="376">
        <v>19</v>
      </c>
      <c r="Q46" s="381" t="s">
        <v>287</v>
      </c>
      <c r="R46" s="380">
        <v>1390</v>
      </c>
      <c r="S46" s="378">
        <v>1.44520690372219</v>
      </c>
    </row>
    <row r="47" spans="1:19" s="12" customFormat="1" ht="15" customHeight="1" x14ac:dyDescent="0.2">
      <c r="A47" s="376">
        <v>20</v>
      </c>
      <c r="B47" s="376" t="s">
        <v>303</v>
      </c>
      <c r="C47" s="377">
        <v>3845</v>
      </c>
      <c r="D47" s="378">
        <v>3.99771262216677</v>
      </c>
      <c r="E47" s="379"/>
      <c r="F47" s="376">
        <v>20</v>
      </c>
      <c r="G47" s="381" t="s">
        <v>331</v>
      </c>
      <c r="H47" s="380">
        <v>1283</v>
      </c>
      <c r="I47" s="378">
        <v>1.33395716365149</v>
      </c>
      <c r="J47" s="379"/>
      <c r="K47" s="376">
        <v>20</v>
      </c>
      <c r="L47" s="381" t="s">
        <v>335</v>
      </c>
      <c r="M47" s="380">
        <v>1619</v>
      </c>
      <c r="N47" s="378">
        <v>1.6833021418174301</v>
      </c>
      <c r="O47" s="379"/>
      <c r="P47" s="376">
        <v>20</v>
      </c>
      <c r="Q47" s="381" t="s">
        <v>299</v>
      </c>
      <c r="R47" s="380">
        <v>1360</v>
      </c>
      <c r="S47" s="378">
        <v>1.4140153878145101</v>
      </c>
    </row>
    <row r="48" spans="1:19" s="12" customFormat="1" ht="15" customHeight="1" x14ac:dyDescent="0.2">
      <c r="A48" s="373"/>
      <c r="B48" s="68" t="s">
        <v>329</v>
      </c>
      <c r="C48" s="69">
        <v>96180</v>
      </c>
      <c r="D48" s="374" t="s">
        <v>70</v>
      </c>
      <c r="E48" s="375"/>
      <c r="F48" s="373"/>
      <c r="G48" s="68" t="s">
        <v>329</v>
      </c>
      <c r="H48" s="69">
        <v>96180</v>
      </c>
      <c r="I48" s="374" t="s">
        <v>70</v>
      </c>
      <c r="J48" s="375"/>
      <c r="K48" s="373"/>
      <c r="L48" s="68" t="s">
        <v>329</v>
      </c>
      <c r="M48" s="69">
        <v>96180</v>
      </c>
      <c r="N48" s="374" t="s">
        <v>70</v>
      </c>
      <c r="O48" s="375"/>
      <c r="P48" s="373"/>
      <c r="Q48" s="68" t="s">
        <v>329</v>
      </c>
      <c r="R48" s="69">
        <v>96180</v>
      </c>
      <c r="S48" s="374" t="s">
        <v>70</v>
      </c>
    </row>
    <row r="49" spans="1:19" s="20" customFormat="1" ht="15" customHeight="1" x14ac:dyDescent="0.2">
      <c r="A49" s="299" t="s">
        <v>1</v>
      </c>
      <c r="B49" s="361"/>
      <c r="C49" s="113"/>
      <c r="D49" s="104"/>
      <c r="E49" s="362"/>
      <c r="F49" s="299" t="s">
        <v>1</v>
      </c>
      <c r="G49" s="361"/>
      <c r="H49" s="113"/>
      <c r="I49" s="104"/>
      <c r="J49" s="362"/>
      <c r="K49" s="299" t="s">
        <v>1</v>
      </c>
      <c r="L49" s="361"/>
      <c r="M49" s="113"/>
      <c r="N49" s="104"/>
      <c r="O49" s="362"/>
      <c r="P49" s="299" t="s">
        <v>1</v>
      </c>
      <c r="Q49" s="361"/>
      <c r="R49" s="113"/>
      <c r="S49" s="104"/>
    </row>
    <row r="50" spans="1:19" s="12" customFormat="1" ht="15" customHeight="1" x14ac:dyDescent="0.2">
      <c r="A50" s="376">
        <v>1</v>
      </c>
      <c r="B50" s="376" t="s">
        <v>304</v>
      </c>
      <c r="C50" s="377">
        <v>18410</v>
      </c>
      <c r="D50" s="378">
        <v>21.172844475624199</v>
      </c>
      <c r="E50" s="379"/>
      <c r="F50" s="376">
        <v>1</v>
      </c>
      <c r="G50" s="376" t="s">
        <v>304</v>
      </c>
      <c r="H50" s="380">
        <v>10574</v>
      </c>
      <c r="I50" s="378">
        <v>12.1608722153857</v>
      </c>
      <c r="J50" s="379"/>
      <c r="K50" s="376">
        <v>1</v>
      </c>
      <c r="L50" s="381" t="s">
        <v>301</v>
      </c>
      <c r="M50" s="380">
        <v>6274</v>
      </c>
      <c r="N50" s="378">
        <v>7.2155581879449402</v>
      </c>
      <c r="O50" s="379"/>
      <c r="P50" s="376">
        <v>1</v>
      </c>
      <c r="Q50" s="381" t="s">
        <v>320</v>
      </c>
      <c r="R50" s="380">
        <v>7409</v>
      </c>
      <c r="S50" s="378">
        <v>8.5208910765833608</v>
      </c>
    </row>
    <row r="51" spans="1:19" s="12" customFormat="1" ht="15" customHeight="1" x14ac:dyDescent="0.2">
      <c r="A51" s="376">
        <v>2</v>
      </c>
      <c r="B51" s="376" t="s">
        <v>315</v>
      </c>
      <c r="C51" s="377">
        <v>13269</v>
      </c>
      <c r="D51" s="378">
        <v>15.260319030258399</v>
      </c>
      <c r="E51" s="379"/>
      <c r="F51" s="376">
        <v>2</v>
      </c>
      <c r="G51" s="381" t="s">
        <v>315</v>
      </c>
      <c r="H51" s="380">
        <v>6579</v>
      </c>
      <c r="I51" s="378">
        <v>7.5663304619843403</v>
      </c>
      <c r="J51" s="379"/>
      <c r="K51" s="376">
        <v>2</v>
      </c>
      <c r="L51" s="376" t="s">
        <v>310</v>
      </c>
      <c r="M51" s="380">
        <v>5461</v>
      </c>
      <c r="N51" s="378">
        <v>6.2805488148497401</v>
      </c>
      <c r="O51" s="379"/>
      <c r="P51" s="376">
        <v>2</v>
      </c>
      <c r="Q51" s="376" t="s">
        <v>117</v>
      </c>
      <c r="R51" s="380">
        <v>5454</v>
      </c>
      <c r="S51" s="378">
        <v>6.2724983036422799</v>
      </c>
    </row>
    <row r="52" spans="1:19" s="12" customFormat="1" ht="15" customHeight="1" x14ac:dyDescent="0.2">
      <c r="A52" s="376">
        <v>3</v>
      </c>
      <c r="B52" s="376" t="s">
        <v>320</v>
      </c>
      <c r="C52" s="377">
        <v>11851</v>
      </c>
      <c r="D52" s="378">
        <v>13.629515474232599</v>
      </c>
      <c r="E52" s="379"/>
      <c r="F52" s="376">
        <v>3</v>
      </c>
      <c r="G52" s="381" t="s">
        <v>120</v>
      </c>
      <c r="H52" s="380">
        <v>5263</v>
      </c>
      <c r="I52" s="378">
        <v>6.05283435498154</v>
      </c>
      <c r="J52" s="379"/>
      <c r="K52" s="376">
        <v>3</v>
      </c>
      <c r="L52" s="381" t="s">
        <v>319</v>
      </c>
      <c r="M52" s="380">
        <v>5426</v>
      </c>
      <c r="N52" s="378">
        <v>6.2402962588124398</v>
      </c>
      <c r="O52" s="379"/>
      <c r="P52" s="376">
        <v>3</v>
      </c>
      <c r="Q52" s="381" t="s">
        <v>304</v>
      </c>
      <c r="R52" s="380">
        <v>5140</v>
      </c>
      <c r="S52" s="378">
        <v>5.9113753723361402</v>
      </c>
    </row>
    <row r="53" spans="1:19" s="12" customFormat="1" ht="15" customHeight="1" x14ac:dyDescent="0.2">
      <c r="A53" s="376">
        <v>4</v>
      </c>
      <c r="B53" s="376" t="s">
        <v>120</v>
      </c>
      <c r="C53" s="377">
        <v>10359</v>
      </c>
      <c r="D53" s="378">
        <v>11.913606514013599</v>
      </c>
      <c r="E53" s="379"/>
      <c r="F53" s="376">
        <v>4</v>
      </c>
      <c r="G53" s="381" t="s">
        <v>306</v>
      </c>
      <c r="H53" s="380">
        <v>3782</v>
      </c>
      <c r="I53" s="378">
        <v>4.3495761980885801</v>
      </c>
      <c r="J53" s="379"/>
      <c r="K53" s="376">
        <v>4</v>
      </c>
      <c r="L53" s="381" t="s">
        <v>320</v>
      </c>
      <c r="M53" s="380">
        <v>3896</v>
      </c>
      <c r="N53" s="378">
        <v>4.4806845234672403</v>
      </c>
      <c r="O53" s="379"/>
      <c r="P53" s="376">
        <v>4</v>
      </c>
      <c r="Q53" s="381" t="s">
        <v>292</v>
      </c>
      <c r="R53" s="380">
        <v>4633</v>
      </c>
      <c r="S53" s="378">
        <v>5.3282883463099902</v>
      </c>
    </row>
    <row r="54" spans="1:19" s="12" customFormat="1" ht="15" customHeight="1" x14ac:dyDescent="0.2">
      <c r="A54" s="376">
        <v>5</v>
      </c>
      <c r="B54" s="376" t="s">
        <v>308</v>
      </c>
      <c r="C54" s="377">
        <v>9302</v>
      </c>
      <c r="D54" s="378">
        <v>10.697979321686899</v>
      </c>
      <c r="E54" s="379"/>
      <c r="F54" s="376">
        <v>5</v>
      </c>
      <c r="G54" s="381" t="s">
        <v>322</v>
      </c>
      <c r="H54" s="380">
        <v>3500</v>
      </c>
      <c r="I54" s="378">
        <v>4.02525560373084</v>
      </c>
      <c r="J54" s="379"/>
      <c r="K54" s="376">
        <v>5</v>
      </c>
      <c r="L54" s="381" t="s">
        <v>317</v>
      </c>
      <c r="M54" s="380">
        <v>3787</v>
      </c>
      <c r="N54" s="378">
        <v>4.3553265632367699</v>
      </c>
      <c r="O54" s="379"/>
      <c r="P54" s="376">
        <v>5</v>
      </c>
      <c r="Q54" s="381" t="s">
        <v>308</v>
      </c>
      <c r="R54" s="380">
        <v>4345</v>
      </c>
      <c r="S54" s="378">
        <v>4.9970673137744299</v>
      </c>
    </row>
    <row r="55" spans="1:19" s="12" customFormat="1" ht="15" customHeight="1" x14ac:dyDescent="0.2">
      <c r="A55" s="376">
        <v>6</v>
      </c>
      <c r="B55" s="376" t="s">
        <v>117</v>
      </c>
      <c r="C55" s="377">
        <v>8890</v>
      </c>
      <c r="D55" s="378">
        <v>10.2241492334763</v>
      </c>
      <c r="E55" s="379"/>
      <c r="F55" s="376">
        <v>6</v>
      </c>
      <c r="G55" s="381" t="s">
        <v>313</v>
      </c>
      <c r="H55" s="380">
        <v>3215</v>
      </c>
      <c r="I55" s="378">
        <v>3.6974847902841801</v>
      </c>
      <c r="K55" s="376">
        <v>6</v>
      </c>
      <c r="L55" s="381" t="s">
        <v>299</v>
      </c>
      <c r="M55" s="380">
        <v>3594</v>
      </c>
      <c r="N55" s="378">
        <v>4.1333624685167498</v>
      </c>
      <c r="P55" s="376">
        <v>6</v>
      </c>
      <c r="Q55" s="381" t="s">
        <v>315</v>
      </c>
      <c r="R55" s="380">
        <v>4139</v>
      </c>
      <c r="S55" s="378">
        <v>4.7601522696691303</v>
      </c>
    </row>
    <row r="56" spans="1:19" s="12" customFormat="1" ht="15" customHeight="1" x14ac:dyDescent="0.2">
      <c r="A56" s="376">
        <v>7</v>
      </c>
      <c r="B56" s="376" t="s">
        <v>292</v>
      </c>
      <c r="C56" s="377">
        <v>8721</v>
      </c>
      <c r="D56" s="378">
        <v>10.0297868914676</v>
      </c>
      <c r="E56" s="379"/>
      <c r="F56" s="376">
        <v>7</v>
      </c>
      <c r="G56" s="381" t="s">
        <v>117</v>
      </c>
      <c r="H56" s="380">
        <v>2654</v>
      </c>
      <c r="I56" s="378">
        <v>3.05229382065761</v>
      </c>
      <c r="J56" s="379"/>
      <c r="K56" s="376">
        <v>7</v>
      </c>
      <c r="L56" s="381" t="s">
        <v>308</v>
      </c>
      <c r="M56" s="380">
        <v>3406</v>
      </c>
      <c r="N56" s="378">
        <v>3.91714873894492</v>
      </c>
      <c r="O56" s="379"/>
      <c r="P56" s="376">
        <v>7</v>
      </c>
      <c r="Q56" s="381" t="s">
        <v>322</v>
      </c>
      <c r="R56" s="380">
        <v>3189</v>
      </c>
      <c r="S56" s="378">
        <v>3.6675828915136099</v>
      </c>
    </row>
    <row r="57" spans="1:19" s="12" customFormat="1" ht="15" customHeight="1" x14ac:dyDescent="0.2">
      <c r="A57" s="376">
        <v>8</v>
      </c>
      <c r="B57" s="376" t="s">
        <v>301</v>
      </c>
      <c r="C57" s="377">
        <v>8155</v>
      </c>
      <c r="D57" s="378">
        <v>9.3788455566928501</v>
      </c>
      <c r="F57" s="376">
        <v>8</v>
      </c>
      <c r="G57" s="381" t="s">
        <v>323</v>
      </c>
      <c r="H57" s="380">
        <v>2540</v>
      </c>
      <c r="I57" s="378">
        <v>2.9211854952789502</v>
      </c>
      <c r="K57" s="376">
        <v>8</v>
      </c>
      <c r="L57" s="381" t="s">
        <v>293</v>
      </c>
      <c r="M57" s="380">
        <v>3352</v>
      </c>
      <c r="N57" s="378">
        <v>3.8550447953445102</v>
      </c>
      <c r="P57" s="376">
        <v>8</v>
      </c>
      <c r="Q57" s="381" t="s">
        <v>317</v>
      </c>
      <c r="R57" s="380">
        <v>2274</v>
      </c>
      <c r="S57" s="378">
        <v>2.61526606939541</v>
      </c>
    </row>
    <row r="58" spans="1:19" s="12" customFormat="1" ht="15" customHeight="1" x14ac:dyDescent="0.2">
      <c r="A58" s="376">
        <v>9</v>
      </c>
      <c r="B58" s="376" t="s">
        <v>322</v>
      </c>
      <c r="C58" s="377">
        <v>7831</v>
      </c>
      <c r="D58" s="378">
        <v>9.0062218950903397</v>
      </c>
      <c r="E58" s="379"/>
      <c r="F58" s="376">
        <v>9</v>
      </c>
      <c r="G58" s="381" t="s">
        <v>321</v>
      </c>
      <c r="H58" s="380">
        <v>2357</v>
      </c>
      <c r="I58" s="378">
        <v>2.7107221308553102</v>
      </c>
      <c r="K58" s="376">
        <v>9</v>
      </c>
      <c r="L58" s="381" t="s">
        <v>307</v>
      </c>
      <c r="M58" s="380">
        <v>3338</v>
      </c>
      <c r="N58" s="378">
        <v>3.8389437729295799</v>
      </c>
      <c r="P58" s="376">
        <v>9</v>
      </c>
      <c r="Q58" s="381" t="s">
        <v>120</v>
      </c>
      <c r="R58" s="380">
        <v>2091</v>
      </c>
      <c r="S58" s="378">
        <v>2.40480270497177</v>
      </c>
    </row>
    <row r="59" spans="1:19" s="12" customFormat="1" ht="15" customHeight="1" x14ac:dyDescent="0.2">
      <c r="A59" s="376">
        <v>10</v>
      </c>
      <c r="B59" s="376" t="s">
        <v>317</v>
      </c>
      <c r="C59" s="377">
        <v>7146</v>
      </c>
      <c r="D59" s="378">
        <v>8.2184218697887292</v>
      </c>
      <c r="E59" s="379"/>
      <c r="F59" s="376">
        <v>10</v>
      </c>
      <c r="G59" s="381" t="s">
        <v>125</v>
      </c>
      <c r="H59" s="380">
        <v>1983</v>
      </c>
      <c r="I59" s="378">
        <v>2.2805948177709299</v>
      </c>
      <c r="J59" s="379"/>
      <c r="K59" s="376">
        <v>10</v>
      </c>
      <c r="L59" s="381" t="s">
        <v>297</v>
      </c>
      <c r="M59" s="380">
        <v>3280</v>
      </c>
      <c r="N59" s="378">
        <v>3.7722395372106101</v>
      </c>
      <c r="O59" s="379"/>
      <c r="P59" s="376">
        <v>10</v>
      </c>
      <c r="Q59" s="381" t="s">
        <v>296</v>
      </c>
      <c r="R59" s="380">
        <v>1942</v>
      </c>
      <c r="S59" s="378">
        <v>2.2334418235558</v>
      </c>
    </row>
    <row r="60" spans="1:19" s="12" customFormat="1" ht="15" customHeight="1" x14ac:dyDescent="0.2">
      <c r="A60" s="376">
        <v>11</v>
      </c>
      <c r="B60" s="376" t="s">
        <v>319</v>
      </c>
      <c r="C60" s="377">
        <v>6555</v>
      </c>
      <c r="D60" s="378">
        <v>7.5387287092730402</v>
      </c>
      <c r="E60" s="379"/>
      <c r="F60" s="376">
        <v>11</v>
      </c>
      <c r="G60" s="381" t="s">
        <v>316</v>
      </c>
      <c r="H60" s="380">
        <v>1783</v>
      </c>
      <c r="I60" s="378">
        <v>2.05058021184345</v>
      </c>
      <c r="J60" s="379"/>
      <c r="K60" s="376">
        <v>11</v>
      </c>
      <c r="L60" s="381" t="s">
        <v>312</v>
      </c>
      <c r="M60" s="380">
        <v>3134</v>
      </c>
      <c r="N60" s="378">
        <v>3.60432887488356</v>
      </c>
      <c r="O60" s="379"/>
      <c r="P60" s="376">
        <v>11</v>
      </c>
      <c r="Q60" s="381" t="s">
        <v>314</v>
      </c>
      <c r="R60" s="380">
        <v>1787</v>
      </c>
      <c r="S60" s="378">
        <v>2.0551805039620001</v>
      </c>
    </row>
    <row r="61" spans="1:19" s="12" customFormat="1" ht="15" customHeight="1" x14ac:dyDescent="0.2">
      <c r="A61" s="376">
        <v>12</v>
      </c>
      <c r="B61" s="376" t="s">
        <v>296</v>
      </c>
      <c r="C61" s="377">
        <v>5735</v>
      </c>
      <c r="D61" s="378">
        <v>6.5956688249703896</v>
      </c>
      <c r="E61" s="379"/>
      <c r="F61" s="376">
        <v>12</v>
      </c>
      <c r="G61" s="381" t="s">
        <v>292</v>
      </c>
      <c r="H61" s="380">
        <v>1571</v>
      </c>
      <c r="I61" s="378">
        <v>1.80676472956033</v>
      </c>
      <c r="J61" s="379"/>
      <c r="K61" s="376">
        <v>12</v>
      </c>
      <c r="L61" s="381" t="s">
        <v>120</v>
      </c>
      <c r="M61" s="380">
        <v>3005</v>
      </c>
      <c r="N61" s="378">
        <v>3.4559694540603298</v>
      </c>
      <c r="O61" s="379"/>
      <c r="P61" s="376">
        <v>12</v>
      </c>
      <c r="Q61" s="381" t="s">
        <v>299</v>
      </c>
      <c r="R61" s="380">
        <v>1659</v>
      </c>
      <c r="S61" s="378">
        <v>1.9079711561684201</v>
      </c>
    </row>
    <row r="62" spans="1:19" s="12" customFormat="1" ht="15" customHeight="1" x14ac:dyDescent="0.2">
      <c r="A62" s="376">
        <v>13</v>
      </c>
      <c r="B62" s="376" t="s">
        <v>310</v>
      </c>
      <c r="C62" s="377">
        <v>5546</v>
      </c>
      <c r="D62" s="378">
        <v>6.3783050223689202</v>
      </c>
      <c r="E62" s="379"/>
      <c r="F62" s="376">
        <v>13</v>
      </c>
      <c r="G62" s="381" t="s">
        <v>308</v>
      </c>
      <c r="H62" s="380">
        <v>1551</v>
      </c>
      <c r="I62" s="378">
        <v>1.78376326896758</v>
      </c>
      <c r="J62" s="379"/>
      <c r="K62" s="376">
        <v>13</v>
      </c>
      <c r="L62" s="381" t="s">
        <v>302</v>
      </c>
      <c r="M62" s="380">
        <v>2984</v>
      </c>
      <c r="N62" s="378">
        <v>3.43181792043795</v>
      </c>
      <c r="O62" s="379"/>
      <c r="P62" s="376">
        <v>13</v>
      </c>
      <c r="Q62" s="381" t="s">
        <v>334</v>
      </c>
      <c r="R62" s="380">
        <v>1608</v>
      </c>
      <c r="S62" s="378">
        <v>1.8493174316569101</v>
      </c>
    </row>
    <row r="63" spans="1:19" s="12" customFormat="1" ht="15" customHeight="1" x14ac:dyDescent="0.2">
      <c r="A63" s="376">
        <v>14</v>
      </c>
      <c r="B63" s="376" t="s">
        <v>307</v>
      </c>
      <c r="C63" s="377">
        <v>5544</v>
      </c>
      <c r="D63" s="378">
        <v>6.3760048763096497</v>
      </c>
      <c r="E63" s="379"/>
      <c r="F63" s="376">
        <v>14</v>
      </c>
      <c r="G63" s="381" t="s">
        <v>296</v>
      </c>
      <c r="H63" s="380">
        <v>1499</v>
      </c>
      <c r="I63" s="378">
        <v>1.7239594714264399</v>
      </c>
      <c r="J63" s="379"/>
      <c r="K63" s="376">
        <v>14</v>
      </c>
      <c r="L63" s="381" t="s">
        <v>304</v>
      </c>
      <c r="M63" s="380">
        <v>2696</v>
      </c>
      <c r="N63" s="378">
        <v>3.10059688790238</v>
      </c>
      <c r="O63" s="379"/>
      <c r="P63" s="376">
        <v>14</v>
      </c>
      <c r="Q63" s="381" t="s">
        <v>311</v>
      </c>
      <c r="R63" s="380">
        <v>1522</v>
      </c>
      <c r="S63" s="378">
        <v>1.7504111511081</v>
      </c>
    </row>
    <row r="64" spans="1:19" s="12" customFormat="1" ht="15" customHeight="1" x14ac:dyDescent="0.2">
      <c r="A64" s="376">
        <v>15</v>
      </c>
      <c r="B64" s="376" t="s">
        <v>299</v>
      </c>
      <c r="C64" s="377">
        <v>5461</v>
      </c>
      <c r="D64" s="378">
        <v>6.2805488148497401</v>
      </c>
      <c r="E64" s="379"/>
      <c r="F64" s="376">
        <v>15</v>
      </c>
      <c r="G64" s="381" t="s">
        <v>301</v>
      </c>
      <c r="H64" s="380">
        <v>1426</v>
      </c>
      <c r="I64" s="378">
        <v>1.64000414026291</v>
      </c>
      <c r="J64" s="379"/>
      <c r="K64" s="376">
        <v>15</v>
      </c>
      <c r="L64" s="381" t="s">
        <v>315</v>
      </c>
      <c r="M64" s="380">
        <v>2551</v>
      </c>
      <c r="N64" s="378">
        <v>2.9338362986049602</v>
      </c>
      <c r="O64" s="379"/>
      <c r="P64" s="376">
        <v>15</v>
      </c>
      <c r="Q64" s="381" t="s">
        <v>333</v>
      </c>
      <c r="R64" s="380">
        <v>1326</v>
      </c>
      <c r="S64" s="378">
        <v>1.52499683729917</v>
      </c>
    </row>
    <row r="65" spans="1:20" s="12" customFormat="1" ht="15" customHeight="1" x14ac:dyDescent="0.2">
      <c r="A65" s="376">
        <v>16</v>
      </c>
      <c r="B65" s="376" t="s">
        <v>313</v>
      </c>
      <c r="C65" s="377">
        <v>4420</v>
      </c>
      <c r="D65" s="378">
        <v>5.0833227909972303</v>
      </c>
      <c r="E65" s="379"/>
      <c r="F65" s="376">
        <v>16</v>
      </c>
      <c r="G65" s="381" t="s">
        <v>305</v>
      </c>
      <c r="H65" s="380">
        <v>1335</v>
      </c>
      <c r="I65" s="378">
        <v>1.53534749456591</v>
      </c>
      <c r="J65" s="379"/>
      <c r="K65" s="376">
        <v>16</v>
      </c>
      <c r="L65" s="381" t="s">
        <v>292</v>
      </c>
      <c r="M65" s="380">
        <v>2517</v>
      </c>
      <c r="N65" s="378">
        <v>2.8947338155972901</v>
      </c>
      <c r="O65" s="379"/>
      <c r="P65" s="376">
        <v>16</v>
      </c>
      <c r="Q65" s="381" t="s">
        <v>307</v>
      </c>
      <c r="R65" s="380">
        <v>1317</v>
      </c>
      <c r="S65" s="378">
        <v>1.51464618003243</v>
      </c>
    </row>
    <row r="66" spans="1:20" s="12" customFormat="1" ht="15" customHeight="1" x14ac:dyDescent="0.2">
      <c r="A66" s="376">
        <v>17</v>
      </c>
      <c r="B66" s="376" t="s">
        <v>306</v>
      </c>
      <c r="C66" s="377">
        <v>4235</v>
      </c>
      <c r="D66" s="378">
        <v>4.8705592805143096</v>
      </c>
      <c r="E66" s="379"/>
      <c r="F66" s="376">
        <v>17</v>
      </c>
      <c r="G66" s="381" t="s">
        <v>317</v>
      </c>
      <c r="H66" s="380">
        <v>1085</v>
      </c>
      <c r="I66" s="378">
        <v>1.24782923715656</v>
      </c>
      <c r="J66" s="379"/>
      <c r="K66" s="376">
        <v>17</v>
      </c>
      <c r="L66" s="381" t="s">
        <v>296</v>
      </c>
      <c r="M66" s="380">
        <v>2294</v>
      </c>
      <c r="N66" s="378">
        <v>2.6382675299881502</v>
      </c>
      <c r="O66" s="379"/>
      <c r="P66" s="376">
        <v>17</v>
      </c>
      <c r="Q66" s="381" t="s">
        <v>303</v>
      </c>
      <c r="R66" s="380">
        <v>1033</v>
      </c>
      <c r="S66" s="378">
        <v>1.18802543961542</v>
      </c>
    </row>
    <row r="67" spans="1:20" s="12" customFormat="1" ht="15" customHeight="1" x14ac:dyDescent="0.2">
      <c r="A67" s="376">
        <v>18</v>
      </c>
      <c r="B67" s="376" t="s">
        <v>302</v>
      </c>
      <c r="C67" s="377">
        <v>3730</v>
      </c>
      <c r="D67" s="378">
        <v>4.2897724005474398</v>
      </c>
      <c r="E67" s="379"/>
      <c r="F67" s="376">
        <v>18</v>
      </c>
      <c r="G67" s="381" t="s">
        <v>332</v>
      </c>
      <c r="H67" s="380">
        <v>1045</v>
      </c>
      <c r="I67" s="378">
        <v>1.20182631597106</v>
      </c>
      <c r="J67" s="379"/>
      <c r="K67" s="376">
        <v>18</v>
      </c>
      <c r="L67" s="381" t="s">
        <v>288</v>
      </c>
      <c r="M67" s="380">
        <v>2274</v>
      </c>
      <c r="N67" s="378">
        <v>2.61526606939541</v>
      </c>
      <c r="O67" s="379"/>
      <c r="P67" s="376">
        <v>18</v>
      </c>
      <c r="Q67" s="381" t="s">
        <v>124</v>
      </c>
      <c r="R67" s="380">
        <v>1008</v>
      </c>
      <c r="S67" s="378">
        <v>1.1592736138744799</v>
      </c>
    </row>
    <row r="68" spans="1:20" s="12" customFormat="1" ht="15" customHeight="1" x14ac:dyDescent="0.2">
      <c r="A68" s="376">
        <v>19</v>
      </c>
      <c r="B68" s="376" t="s">
        <v>288</v>
      </c>
      <c r="C68" s="377">
        <v>3529</v>
      </c>
      <c r="D68" s="378">
        <v>4.0586077215903202</v>
      </c>
      <c r="E68" s="379"/>
      <c r="F68" s="376">
        <v>19</v>
      </c>
      <c r="G68" s="381" t="s">
        <v>331</v>
      </c>
      <c r="H68" s="380">
        <v>1006</v>
      </c>
      <c r="I68" s="378">
        <v>1.1569734678152099</v>
      </c>
      <c r="J68" s="379"/>
      <c r="K68" s="376">
        <v>19</v>
      </c>
      <c r="L68" s="381" t="s">
        <v>291</v>
      </c>
      <c r="M68" s="380">
        <v>1972</v>
      </c>
      <c r="N68" s="378">
        <v>2.2679440144449199</v>
      </c>
      <c r="O68" s="379"/>
      <c r="P68" s="376">
        <v>19</v>
      </c>
      <c r="Q68" s="381" t="s">
        <v>313</v>
      </c>
      <c r="R68" s="380">
        <v>1007</v>
      </c>
      <c r="S68" s="378">
        <v>1.15812354084484</v>
      </c>
    </row>
    <row r="69" spans="1:20" s="12" customFormat="1" ht="15" customHeight="1" x14ac:dyDescent="0.2">
      <c r="A69" s="376">
        <v>20</v>
      </c>
      <c r="B69" s="376" t="s">
        <v>297</v>
      </c>
      <c r="C69" s="377">
        <v>3503</v>
      </c>
      <c r="D69" s="378">
        <v>4.0287058228197496</v>
      </c>
      <c r="E69" s="379"/>
      <c r="F69" s="376">
        <v>20</v>
      </c>
      <c r="G69" s="381" t="s">
        <v>330</v>
      </c>
      <c r="H69" s="380">
        <v>994</v>
      </c>
      <c r="I69" s="378">
        <v>1.1431725914595601</v>
      </c>
      <c r="J69" s="379"/>
      <c r="K69" s="376">
        <v>20</v>
      </c>
      <c r="L69" s="381" t="s">
        <v>295</v>
      </c>
      <c r="M69" s="380">
        <v>1826</v>
      </c>
      <c r="N69" s="378">
        <v>2.10003335211786</v>
      </c>
      <c r="O69" s="379"/>
      <c r="P69" s="376">
        <v>20</v>
      </c>
      <c r="Q69" s="381" t="s">
        <v>294</v>
      </c>
      <c r="R69" s="380">
        <v>944</v>
      </c>
      <c r="S69" s="378">
        <v>1.08566893997769</v>
      </c>
    </row>
    <row r="70" spans="1:20" s="12" customFormat="1" ht="15" customHeight="1" x14ac:dyDescent="0.2">
      <c r="A70" s="373"/>
      <c r="B70" s="68" t="s">
        <v>329</v>
      </c>
      <c r="C70" s="69">
        <v>86951</v>
      </c>
      <c r="D70" s="374" t="s">
        <v>70</v>
      </c>
      <c r="E70" s="375"/>
      <c r="F70" s="373"/>
      <c r="G70" s="68" t="s">
        <v>329</v>
      </c>
      <c r="H70" s="69">
        <v>86951</v>
      </c>
      <c r="I70" s="374" t="s">
        <v>70</v>
      </c>
      <c r="J70" s="375"/>
      <c r="K70" s="373"/>
      <c r="L70" s="68" t="s">
        <v>329</v>
      </c>
      <c r="M70" s="69">
        <v>86951</v>
      </c>
      <c r="N70" s="374" t="s">
        <v>70</v>
      </c>
      <c r="O70" s="375"/>
      <c r="P70" s="373"/>
      <c r="Q70" s="68" t="s">
        <v>329</v>
      </c>
      <c r="R70" s="69">
        <v>86951</v>
      </c>
      <c r="S70" s="374" t="s">
        <v>70</v>
      </c>
    </row>
    <row r="71" spans="1:20" s="165" customFormat="1" ht="15" customHeight="1" x14ac:dyDescent="0.2">
      <c r="A71" s="207" t="s">
        <v>616</v>
      </c>
      <c r="B71" s="207" t="s">
        <v>568</v>
      </c>
      <c r="C71" s="242"/>
      <c r="D71" s="439"/>
      <c r="E71" s="439"/>
      <c r="F71" s="548"/>
      <c r="G71" s="242"/>
      <c r="H71" s="439"/>
      <c r="I71" s="439"/>
      <c r="J71" s="548"/>
      <c r="K71" s="242"/>
      <c r="L71" s="439"/>
      <c r="M71" s="549"/>
      <c r="N71" s="548"/>
      <c r="O71" s="550"/>
      <c r="P71" s="439"/>
      <c r="Q71" s="549"/>
      <c r="R71" s="548"/>
      <c r="S71" s="550"/>
      <c r="T71" s="439"/>
    </row>
    <row r="72" spans="1:20" s="20" customFormat="1" ht="15" customHeight="1" x14ac:dyDescent="0.2">
      <c r="A72" s="20" t="s">
        <v>621</v>
      </c>
      <c r="B72" s="95" t="s">
        <v>71</v>
      </c>
      <c r="C72" s="86"/>
      <c r="D72" s="87"/>
      <c r="H72" s="95"/>
      <c r="I72" s="86"/>
      <c r="J72" s="87"/>
      <c r="N72" s="245"/>
      <c r="O72" s="246"/>
      <c r="P72" s="247"/>
      <c r="Q72" s="214"/>
    </row>
    <row r="73" spans="1:20" s="20" customFormat="1" ht="15" customHeight="1" x14ac:dyDescent="0.2">
      <c r="A73" s="20" t="s">
        <v>4</v>
      </c>
      <c r="B73" s="95"/>
      <c r="C73" s="86"/>
      <c r="D73" s="87"/>
      <c r="F73" s="212"/>
      <c r="G73" s="95"/>
      <c r="H73" s="86"/>
      <c r="I73" s="87"/>
      <c r="K73" s="212"/>
      <c r="L73" s="95"/>
      <c r="M73" s="86"/>
      <c r="N73" s="87"/>
    </row>
    <row r="74" spans="1:20" s="12" customFormat="1" ht="15" customHeight="1" x14ac:dyDescent="0.2">
      <c r="A74" s="95" t="s">
        <v>286</v>
      </c>
      <c r="B74" s="95"/>
      <c r="C74" s="95"/>
      <c r="D74" s="95"/>
      <c r="E74" s="95"/>
      <c r="F74" s="95"/>
      <c r="G74" s="95"/>
      <c r="H74" s="95"/>
      <c r="I74" s="95"/>
      <c r="J74" s="95"/>
      <c r="K74" s="95"/>
      <c r="L74" s="95"/>
      <c r="M74" s="95"/>
      <c r="N74" s="95"/>
      <c r="O74" s="95"/>
      <c r="P74" s="95"/>
    </row>
    <row r="75" spans="1:20" s="12" customFormat="1" ht="15" customHeight="1" x14ac:dyDescent="0.2">
      <c r="A75" s="95" t="s">
        <v>551</v>
      </c>
      <c r="B75" s="95"/>
      <c r="C75" s="95"/>
      <c r="D75" s="95"/>
      <c r="E75" s="95"/>
      <c r="F75" s="95"/>
      <c r="G75" s="95"/>
      <c r="H75" s="95"/>
      <c r="I75" s="95"/>
      <c r="J75" s="95"/>
      <c r="K75" s="95"/>
      <c r="L75" s="95"/>
      <c r="M75" s="95"/>
      <c r="N75" s="95"/>
      <c r="O75" s="95"/>
      <c r="P75" s="95"/>
    </row>
    <row r="76" spans="1:20" s="199" customFormat="1" ht="15" customHeight="1" x14ac:dyDescent="0.2">
      <c r="A76" s="95" t="s">
        <v>328</v>
      </c>
      <c r="B76" s="95"/>
      <c r="C76" s="95"/>
      <c r="D76" s="95"/>
      <c r="E76" s="95"/>
      <c r="F76" s="95"/>
      <c r="G76" s="95"/>
      <c r="H76" s="95"/>
      <c r="I76" s="95"/>
      <c r="J76" s="95"/>
      <c r="K76" s="95"/>
      <c r="L76" s="95"/>
      <c r="M76" s="95"/>
      <c r="N76" s="95"/>
      <c r="O76" s="95"/>
      <c r="P76" s="95"/>
    </row>
    <row r="77" spans="1:20" s="12" customFormat="1" ht="15" customHeight="1" x14ac:dyDescent="0.2">
      <c r="A77" s="218" t="s">
        <v>553</v>
      </c>
      <c r="B77" s="95"/>
      <c r="C77" s="86"/>
      <c r="D77" s="89"/>
      <c r="E77" s="96"/>
      <c r="F77" s="97"/>
      <c r="G77" s="95"/>
      <c r="H77" s="86"/>
      <c r="I77" s="89"/>
      <c r="J77" s="96"/>
      <c r="K77" s="97"/>
      <c r="L77" s="86"/>
      <c r="M77" s="89"/>
      <c r="N77" s="29"/>
    </row>
  </sheetData>
  <mergeCells count="4">
    <mergeCell ref="A3:D3"/>
    <mergeCell ref="F3:I3"/>
    <mergeCell ref="K3:N3"/>
    <mergeCell ref="P3:S3"/>
  </mergeCells>
  <hyperlinks>
    <hyperlink ref="A2" location="Contents!A1" display="Back to contents" xr:uid="{4F7A3AD6-1BAB-4A45-9BDD-2074CD5E7178}"/>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D5DEE-0BE2-4FCB-9858-B651AE4BE11D}">
  <dimension ref="A1:T208"/>
  <sheetViews>
    <sheetView zoomScaleNormal="100" workbookViewId="0">
      <pane ySplit="4" topLeftCell="A5" activePane="bottomLeft" state="frozen"/>
      <selection activeCell="A2" sqref="A2"/>
      <selection pane="bottomLeft" activeCell="A5" sqref="A5"/>
    </sheetView>
  </sheetViews>
  <sheetFormatPr defaultRowHeight="15" customHeight="1" x14ac:dyDescent="0.2"/>
  <cols>
    <col min="1" max="1" width="8.5" style="309" customWidth="1"/>
    <col min="2" max="2" width="31.625" style="309" customWidth="1"/>
    <col min="3" max="3" width="7.5" style="310" bestFit="1" customWidth="1"/>
    <col min="4" max="4" width="6.625" style="311" bestFit="1" customWidth="1"/>
    <col min="5" max="5" width="2.625" style="288" customWidth="1"/>
    <col min="6" max="6" width="8.5" style="309" customWidth="1"/>
    <col min="7" max="7" width="31.625" style="309" customWidth="1"/>
    <col min="8" max="8" width="7.625" style="310" bestFit="1" customWidth="1"/>
    <col min="9" max="9" width="6.625" style="311" bestFit="1" customWidth="1"/>
    <col min="10" max="10" width="2.625" style="288" customWidth="1"/>
    <col min="11" max="11" width="8.5" style="309" customWidth="1"/>
    <col min="12" max="12" width="31.625" style="309" customWidth="1"/>
    <col min="13" max="13" width="7.75" style="310" bestFit="1" customWidth="1"/>
    <col min="14" max="14" width="6.625" style="311" bestFit="1" customWidth="1"/>
    <col min="15" max="15" width="2.625" style="288" customWidth="1"/>
    <col min="16" max="16" width="8.5" style="309" customWidth="1"/>
    <col min="17" max="17" width="31.625" style="309" customWidth="1"/>
    <col min="18" max="18" width="7.75" style="310" bestFit="1" customWidth="1"/>
    <col min="19" max="19" width="6.625" style="311" bestFit="1" customWidth="1"/>
    <col min="20" max="254" width="9" style="288"/>
    <col min="255" max="255" width="8.5" style="288" customWidth="1"/>
    <col min="256" max="256" width="40" style="288" customWidth="1"/>
    <col min="257" max="257" width="6.375" style="288" bestFit="1" customWidth="1"/>
    <col min="258" max="258" width="6.625" style="288" bestFit="1" customWidth="1"/>
    <col min="259" max="259" width="8.25" style="288" bestFit="1" customWidth="1"/>
    <col min="260" max="260" width="4.125" style="288" customWidth="1"/>
    <col min="261" max="261" width="8.5" style="288" customWidth="1"/>
    <col min="262" max="262" width="40" style="288" customWidth="1"/>
    <col min="263" max="263" width="6.375" style="288" customWidth="1"/>
    <col min="264" max="264" width="6.625" style="288" bestFit="1" customWidth="1"/>
    <col min="265" max="265" width="8.25" style="288" bestFit="1" customWidth="1"/>
    <col min="266" max="266" width="4.125" style="288" customWidth="1"/>
    <col min="267" max="267" width="8.5" style="288" customWidth="1"/>
    <col min="268" max="268" width="40" style="288" customWidth="1"/>
    <col min="269" max="269" width="6.375" style="288" customWidth="1"/>
    <col min="270" max="270" width="6.625" style="288" bestFit="1" customWidth="1"/>
    <col min="271" max="271" width="8.25" style="288" bestFit="1" customWidth="1"/>
    <col min="272" max="510" width="9" style="288"/>
    <col min="511" max="511" width="8.5" style="288" customWidth="1"/>
    <col min="512" max="512" width="40" style="288" customWidth="1"/>
    <col min="513" max="513" width="6.375" style="288" bestFit="1" customWidth="1"/>
    <col min="514" max="514" width="6.625" style="288" bestFit="1" customWidth="1"/>
    <col min="515" max="515" width="8.25" style="288" bestFit="1" customWidth="1"/>
    <col min="516" max="516" width="4.125" style="288" customWidth="1"/>
    <col min="517" max="517" width="8.5" style="288" customWidth="1"/>
    <col min="518" max="518" width="40" style="288" customWidth="1"/>
    <col min="519" max="519" width="6.375" style="288" customWidth="1"/>
    <col min="520" max="520" width="6.625" style="288" bestFit="1" customWidth="1"/>
    <col min="521" max="521" width="8.25" style="288" bestFit="1" customWidth="1"/>
    <col min="522" max="522" width="4.125" style="288" customWidth="1"/>
    <col min="523" max="523" width="8.5" style="288" customWidth="1"/>
    <col min="524" max="524" width="40" style="288" customWidth="1"/>
    <col min="525" max="525" width="6.375" style="288" customWidth="1"/>
    <col min="526" max="526" width="6.625" style="288" bestFit="1" customWidth="1"/>
    <col min="527" max="527" width="8.25" style="288" bestFit="1" customWidth="1"/>
    <col min="528" max="766" width="9" style="288"/>
    <col min="767" max="767" width="8.5" style="288" customWidth="1"/>
    <col min="768" max="768" width="40" style="288" customWidth="1"/>
    <col min="769" max="769" width="6.375" style="288" bestFit="1" customWidth="1"/>
    <col min="770" max="770" width="6.625" style="288" bestFit="1" customWidth="1"/>
    <col min="771" max="771" width="8.25" style="288" bestFit="1" customWidth="1"/>
    <col min="772" max="772" width="4.125" style="288" customWidth="1"/>
    <col min="773" max="773" width="8.5" style="288" customWidth="1"/>
    <col min="774" max="774" width="40" style="288" customWidth="1"/>
    <col min="775" max="775" width="6.375" style="288" customWidth="1"/>
    <col min="776" max="776" width="6.625" style="288" bestFit="1" customWidth="1"/>
    <col min="777" max="777" width="8.25" style="288" bestFit="1" customWidth="1"/>
    <col min="778" max="778" width="4.125" style="288" customWidth="1"/>
    <col min="779" max="779" width="8.5" style="288" customWidth="1"/>
    <col min="780" max="780" width="40" style="288" customWidth="1"/>
    <col min="781" max="781" width="6.375" style="288" customWidth="1"/>
    <col min="782" max="782" width="6.625" style="288" bestFit="1" customWidth="1"/>
    <col min="783" max="783" width="8.25" style="288" bestFit="1" customWidth="1"/>
    <col min="784" max="1022" width="9" style="288"/>
    <col min="1023" max="1023" width="8.5" style="288" customWidth="1"/>
    <col min="1024" max="1024" width="40" style="288" customWidth="1"/>
    <col min="1025" max="1025" width="6.375" style="288" bestFit="1" customWidth="1"/>
    <col min="1026" max="1026" width="6.625" style="288" bestFit="1" customWidth="1"/>
    <col min="1027" max="1027" width="8.25" style="288" bestFit="1" customWidth="1"/>
    <col min="1028" max="1028" width="4.125" style="288" customWidth="1"/>
    <col min="1029" max="1029" width="8.5" style="288" customWidth="1"/>
    <col min="1030" max="1030" width="40" style="288" customWidth="1"/>
    <col min="1031" max="1031" width="6.375" style="288" customWidth="1"/>
    <col min="1032" max="1032" width="6.625" style="288" bestFit="1" customWidth="1"/>
    <col min="1033" max="1033" width="8.25" style="288" bestFit="1" customWidth="1"/>
    <col min="1034" max="1034" width="4.125" style="288" customWidth="1"/>
    <col min="1035" max="1035" width="8.5" style="288" customWidth="1"/>
    <col min="1036" max="1036" width="40" style="288" customWidth="1"/>
    <col min="1037" max="1037" width="6.375" style="288" customWidth="1"/>
    <col min="1038" max="1038" width="6.625" style="288" bestFit="1" customWidth="1"/>
    <col min="1039" max="1039" width="8.25" style="288" bestFit="1" customWidth="1"/>
    <col min="1040" max="1278" width="9" style="288"/>
    <col min="1279" max="1279" width="8.5" style="288" customWidth="1"/>
    <col min="1280" max="1280" width="40" style="288" customWidth="1"/>
    <col min="1281" max="1281" width="6.375" style="288" bestFit="1" customWidth="1"/>
    <col min="1282" max="1282" width="6.625" style="288" bestFit="1" customWidth="1"/>
    <col min="1283" max="1283" width="8.25" style="288" bestFit="1" customWidth="1"/>
    <col min="1284" max="1284" width="4.125" style="288" customWidth="1"/>
    <col min="1285" max="1285" width="8.5" style="288" customWidth="1"/>
    <col min="1286" max="1286" width="40" style="288" customWidth="1"/>
    <col min="1287" max="1287" width="6.375" style="288" customWidth="1"/>
    <col min="1288" max="1288" width="6.625" style="288" bestFit="1" customWidth="1"/>
    <col min="1289" max="1289" width="8.25" style="288" bestFit="1" customWidth="1"/>
    <col min="1290" max="1290" width="4.125" style="288" customWidth="1"/>
    <col min="1291" max="1291" width="8.5" style="288" customWidth="1"/>
    <col min="1292" max="1292" width="40" style="288" customWidth="1"/>
    <col min="1293" max="1293" width="6.375" style="288" customWidth="1"/>
    <col min="1294" max="1294" width="6.625" style="288" bestFit="1" customWidth="1"/>
    <col min="1295" max="1295" width="8.25" style="288" bestFit="1" customWidth="1"/>
    <col min="1296" max="1534" width="9" style="288"/>
    <col min="1535" max="1535" width="8.5" style="288" customWidth="1"/>
    <col min="1536" max="1536" width="40" style="288" customWidth="1"/>
    <col min="1537" max="1537" width="6.375" style="288" bestFit="1" customWidth="1"/>
    <col min="1538" max="1538" width="6.625" style="288" bestFit="1" customWidth="1"/>
    <col min="1539" max="1539" width="8.25" style="288" bestFit="1" customWidth="1"/>
    <col min="1540" max="1540" width="4.125" style="288" customWidth="1"/>
    <col min="1541" max="1541" width="8.5" style="288" customWidth="1"/>
    <col min="1542" max="1542" width="40" style="288" customWidth="1"/>
    <col min="1543" max="1543" width="6.375" style="288" customWidth="1"/>
    <col min="1544" max="1544" width="6.625" style="288" bestFit="1" customWidth="1"/>
    <col min="1545" max="1545" width="8.25" style="288" bestFit="1" customWidth="1"/>
    <col min="1546" max="1546" width="4.125" style="288" customWidth="1"/>
    <col min="1547" max="1547" width="8.5" style="288" customWidth="1"/>
    <col min="1548" max="1548" width="40" style="288" customWidth="1"/>
    <col min="1549" max="1549" width="6.375" style="288" customWidth="1"/>
    <col min="1550" max="1550" width="6.625" style="288" bestFit="1" customWidth="1"/>
    <col min="1551" max="1551" width="8.25" style="288" bestFit="1" customWidth="1"/>
    <col min="1552" max="1790" width="9" style="288"/>
    <col min="1791" max="1791" width="8.5" style="288" customWidth="1"/>
    <col min="1792" max="1792" width="40" style="288" customWidth="1"/>
    <col min="1793" max="1793" width="6.375" style="288" bestFit="1" customWidth="1"/>
    <col min="1794" max="1794" width="6.625" style="288" bestFit="1" customWidth="1"/>
    <col min="1795" max="1795" width="8.25" style="288" bestFit="1" customWidth="1"/>
    <col min="1796" max="1796" width="4.125" style="288" customWidth="1"/>
    <col min="1797" max="1797" width="8.5" style="288" customWidth="1"/>
    <col min="1798" max="1798" width="40" style="288" customWidth="1"/>
    <col min="1799" max="1799" width="6.375" style="288" customWidth="1"/>
    <col min="1800" max="1800" width="6.625" style="288" bestFit="1" customWidth="1"/>
    <col min="1801" max="1801" width="8.25" style="288" bestFit="1" customWidth="1"/>
    <col min="1802" max="1802" width="4.125" style="288" customWidth="1"/>
    <col min="1803" max="1803" width="8.5" style="288" customWidth="1"/>
    <col min="1804" max="1804" width="40" style="288" customWidth="1"/>
    <col min="1805" max="1805" width="6.375" style="288" customWidth="1"/>
    <col min="1806" max="1806" width="6.625" style="288" bestFit="1" customWidth="1"/>
    <col min="1807" max="1807" width="8.25" style="288" bestFit="1" customWidth="1"/>
    <col min="1808" max="2046" width="9" style="288"/>
    <col min="2047" max="2047" width="8.5" style="288" customWidth="1"/>
    <col min="2048" max="2048" width="40" style="288" customWidth="1"/>
    <col min="2049" max="2049" width="6.375" style="288" bestFit="1" customWidth="1"/>
    <col min="2050" max="2050" width="6.625" style="288" bestFit="1" customWidth="1"/>
    <col min="2051" max="2051" width="8.25" style="288" bestFit="1" customWidth="1"/>
    <col min="2052" max="2052" width="4.125" style="288" customWidth="1"/>
    <col min="2053" max="2053" width="8.5" style="288" customWidth="1"/>
    <col min="2054" max="2054" width="40" style="288" customWidth="1"/>
    <col min="2055" max="2055" width="6.375" style="288" customWidth="1"/>
    <col min="2056" max="2056" width="6.625" style="288" bestFit="1" customWidth="1"/>
    <col min="2057" max="2057" width="8.25" style="288" bestFit="1" customWidth="1"/>
    <col min="2058" max="2058" width="4.125" style="288" customWidth="1"/>
    <col min="2059" max="2059" width="8.5" style="288" customWidth="1"/>
    <col min="2060" max="2060" width="40" style="288" customWidth="1"/>
    <col min="2061" max="2061" width="6.375" style="288" customWidth="1"/>
    <col min="2062" max="2062" width="6.625" style="288" bestFit="1" customWidth="1"/>
    <col min="2063" max="2063" width="8.25" style="288" bestFit="1" customWidth="1"/>
    <col min="2064" max="2302" width="9" style="288"/>
    <col min="2303" max="2303" width="8.5" style="288" customWidth="1"/>
    <col min="2304" max="2304" width="40" style="288" customWidth="1"/>
    <col min="2305" max="2305" width="6.375" style="288" bestFit="1" customWidth="1"/>
    <col min="2306" max="2306" width="6.625" style="288" bestFit="1" customWidth="1"/>
    <col min="2307" max="2307" width="8.25" style="288" bestFit="1" customWidth="1"/>
    <col min="2308" max="2308" width="4.125" style="288" customWidth="1"/>
    <col min="2309" max="2309" width="8.5" style="288" customWidth="1"/>
    <col min="2310" max="2310" width="40" style="288" customWidth="1"/>
    <col min="2311" max="2311" width="6.375" style="288" customWidth="1"/>
    <col min="2312" max="2312" width="6.625" style="288" bestFit="1" customWidth="1"/>
    <col min="2313" max="2313" width="8.25" style="288" bestFit="1" customWidth="1"/>
    <col min="2314" max="2314" width="4.125" style="288" customWidth="1"/>
    <col min="2315" max="2315" width="8.5" style="288" customWidth="1"/>
    <col min="2316" max="2316" width="40" style="288" customWidth="1"/>
    <col min="2317" max="2317" width="6.375" style="288" customWidth="1"/>
    <col min="2318" max="2318" width="6.625" style="288" bestFit="1" customWidth="1"/>
    <col min="2319" max="2319" width="8.25" style="288" bestFit="1" customWidth="1"/>
    <col min="2320" max="2558" width="9" style="288"/>
    <col min="2559" max="2559" width="8.5" style="288" customWidth="1"/>
    <col min="2560" max="2560" width="40" style="288" customWidth="1"/>
    <col min="2561" max="2561" width="6.375" style="288" bestFit="1" customWidth="1"/>
    <col min="2562" max="2562" width="6.625" style="288" bestFit="1" customWidth="1"/>
    <col min="2563" max="2563" width="8.25" style="288" bestFit="1" customWidth="1"/>
    <col min="2564" max="2564" width="4.125" style="288" customWidth="1"/>
    <col min="2565" max="2565" width="8.5" style="288" customWidth="1"/>
    <col min="2566" max="2566" width="40" style="288" customWidth="1"/>
    <col min="2567" max="2567" width="6.375" style="288" customWidth="1"/>
    <col min="2568" max="2568" width="6.625" style="288" bestFit="1" customWidth="1"/>
    <col min="2569" max="2569" width="8.25" style="288" bestFit="1" customWidth="1"/>
    <col min="2570" max="2570" width="4.125" style="288" customWidth="1"/>
    <col min="2571" max="2571" width="8.5" style="288" customWidth="1"/>
    <col min="2572" max="2572" width="40" style="288" customWidth="1"/>
    <col min="2573" max="2573" width="6.375" style="288" customWidth="1"/>
    <col min="2574" max="2574" width="6.625" style="288" bestFit="1" customWidth="1"/>
    <col min="2575" max="2575" width="8.25" style="288" bestFit="1" customWidth="1"/>
    <col min="2576" max="2814" width="9" style="288"/>
    <col min="2815" max="2815" width="8.5" style="288" customWidth="1"/>
    <col min="2816" max="2816" width="40" style="288" customWidth="1"/>
    <col min="2817" max="2817" width="6.375" style="288" bestFit="1" customWidth="1"/>
    <col min="2818" max="2818" width="6.625" style="288" bestFit="1" customWidth="1"/>
    <col min="2819" max="2819" width="8.25" style="288" bestFit="1" customWidth="1"/>
    <col min="2820" max="2820" width="4.125" style="288" customWidth="1"/>
    <col min="2821" max="2821" width="8.5" style="288" customWidth="1"/>
    <col min="2822" max="2822" width="40" style="288" customWidth="1"/>
    <col min="2823" max="2823" width="6.375" style="288" customWidth="1"/>
    <col min="2824" max="2824" width="6.625" style="288" bestFit="1" customWidth="1"/>
    <col min="2825" max="2825" width="8.25" style="288" bestFit="1" customWidth="1"/>
    <col min="2826" max="2826" width="4.125" style="288" customWidth="1"/>
    <col min="2827" max="2827" width="8.5" style="288" customWidth="1"/>
    <col min="2828" max="2828" width="40" style="288" customWidth="1"/>
    <col min="2829" max="2829" width="6.375" style="288" customWidth="1"/>
    <col min="2830" max="2830" width="6.625" style="288" bestFit="1" customWidth="1"/>
    <col min="2831" max="2831" width="8.25" style="288" bestFit="1" customWidth="1"/>
    <col min="2832" max="3070" width="9" style="288"/>
    <col min="3071" max="3071" width="8.5" style="288" customWidth="1"/>
    <col min="3072" max="3072" width="40" style="288" customWidth="1"/>
    <col min="3073" max="3073" width="6.375" style="288" bestFit="1" customWidth="1"/>
    <col min="3074" max="3074" width="6.625" style="288" bestFit="1" customWidth="1"/>
    <col min="3075" max="3075" width="8.25" style="288" bestFit="1" customWidth="1"/>
    <col min="3076" max="3076" width="4.125" style="288" customWidth="1"/>
    <col min="3077" max="3077" width="8.5" style="288" customWidth="1"/>
    <col min="3078" max="3078" width="40" style="288" customWidth="1"/>
    <col min="3079" max="3079" width="6.375" style="288" customWidth="1"/>
    <col min="3080" max="3080" width="6.625" style="288" bestFit="1" customWidth="1"/>
    <col min="3081" max="3081" width="8.25" style="288" bestFit="1" customWidth="1"/>
    <col min="3082" max="3082" width="4.125" style="288" customWidth="1"/>
    <col min="3083" max="3083" width="8.5" style="288" customWidth="1"/>
    <col min="3084" max="3084" width="40" style="288" customWidth="1"/>
    <col min="3085" max="3085" width="6.375" style="288" customWidth="1"/>
    <col min="3086" max="3086" width="6.625" style="288" bestFit="1" customWidth="1"/>
    <col min="3087" max="3087" width="8.25" style="288" bestFit="1" customWidth="1"/>
    <col min="3088" max="3326" width="9" style="288"/>
    <col min="3327" max="3327" width="8.5" style="288" customWidth="1"/>
    <col min="3328" max="3328" width="40" style="288" customWidth="1"/>
    <col min="3329" max="3329" width="6.375" style="288" bestFit="1" customWidth="1"/>
    <col min="3330" max="3330" width="6.625" style="288" bestFit="1" customWidth="1"/>
    <col min="3331" max="3331" width="8.25" style="288" bestFit="1" customWidth="1"/>
    <col min="3332" max="3332" width="4.125" style="288" customWidth="1"/>
    <col min="3333" max="3333" width="8.5" style="288" customWidth="1"/>
    <col min="3334" max="3334" width="40" style="288" customWidth="1"/>
    <col min="3335" max="3335" width="6.375" style="288" customWidth="1"/>
    <col min="3336" max="3336" width="6.625" style="288" bestFit="1" customWidth="1"/>
    <col min="3337" max="3337" width="8.25" style="288" bestFit="1" customWidth="1"/>
    <col min="3338" max="3338" width="4.125" style="288" customWidth="1"/>
    <col min="3339" max="3339" width="8.5" style="288" customWidth="1"/>
    <col min="3340" max="3340" width="40" style="288" customWidth="1"/>
    <col min="3341" max="3341" width="6.375" style="288" customWidth="1"/>
    <col min="3342" max="3342" width="6.625" style="288" bestFit="1" customWidth="1"/>
    <col min="3343" max="3343" width="8.25" style="288" bestFit="1" customWidth="1"/>
    <col min="3344" max="3582" width="9" style="288"/>
    <col min="3583" max="3583" width="8.5" style="288" customWidth="1"/>
    <col min="3584" max="3584" width="40" style="288" customWidth="1"/>
    <col min="3585" max="3585" width="6.375" style="288" bestFit="1" customWidth="1"/>
    <col min="3586" max="3586" width="6.625" style="288" bestFit="1" customWidth="1"/>
    <col min="3587" max="3587" width="8.25" style="288" bestFit="1" customWidth="1"/>
    <col min="3588" max="3588" width="4.125" style="288" customWidth="1"/>
    <col min="3589" max="3589" width="8.5" style="288" customWidth="1"/>
    <col min="3590" max="3590" width="40" style="288" customWidth="1"/>
    <col min="3591" max="3591" width="6.375" style="288" customWidth="1"/>
    <col min="3592" max="3592" width="6.625" style="288" bestFit="1" customWidth="1"/>
    <col min="3593" max="3593" width="8.25" style="288" bestFit="1" customWidth="1"/>
    <col min="3594" max="3594" width="4.125" style="288" customWidth="1"/>
    <col min="3595" max="3595" width="8.5" style="288" customWidth="1"/>
    <col min="3596" max="3596" width="40" style="288" customWidth="1"/>
    <col min="3597" max="3597" width="6.375" style="288" customWidth="1"/>
    <col min="3598" max="3598" width="6.625" style="288" bestFit="1" customWidth="1"/>
    <col min="3599" max="3599" width="8.25" style="288" bestFit="1" customWidth="1"/>
    <col min="3600" max="3838" width="9" style="288"/>
    <col min="3839" max="3839" width="8.5" style="288" customWidth="1"/>
    <col min="3840" max="3840" width="40" style="288" customWidth="1"/>
    <col min="3841" max="3841" width="6.375" style="288" bestFit="1" customWidth="1"/>
    <col min="3842" max="3842" width="6.625" style="288" bestFit="1" customWidth="1"/>
    <col min="3843" max="3843" width="8.25" style="288" bestFit="1" customWidth="1"/>
    <col min="3844" max="3844" width="4.125" style="288" customWidth="1"/>
    <col min="3845" max="3845" width="8.5" style="288" customWidth="1"/>
    <col min="3846" max="3846" width="40" style="288" customWidth="1"/>
    <col min="3847" max="3847" width="6.375" style="288" customWidth="1"/>
    <col min="3848" max="3848" width="6.625" style="288" bestFit="1" customWidth="1"/>
    <col min="3849" max="3849" width="8.25" style="288" bestFit="1" customWidth="1"/>
    <col min="3850" max="3850" width="4.125" style="288" customWidth="1"/>
    <col min="3851" max="3851" width="8.5" style="288" customWidth="1"/>
    <col min="3852" max="3852" width="40" style="288" customWidth="1"/>
    <col min="3853" max="3853" width="6.375" style="288" customWidth="1"/>
    <col min="3854" max="3854" width="6.625" style="288" bestFit="1" customWidth="1"/>
    <col min="3855" max="3855" width="8.25" style="288" bestFit="1" customWidth="1"/>
    <col min="3856" max="4094" width="9" style="288"/>
    <col min="4095" max="4095" width="8.5" style="288" customWidth="1"/>
    <col min="4096" max="4096" width="40" style="288" customWidth="1"/>
    <col min="4097" max="4097" width="6.375" style="288" bestFit="1" customWidth="1"/>
    <col min="4098" max="4098" width="6.625" style="288" bestFit="1" customWidth="1"/>
    <col min="4099" max="4099" width="8.25" style="288" bestFit="1" customWidth="1"/>
    <col min="4100" max="4100" width="4.125" style="288" customWidth="1"/>
    <col min="4101" max="4101" width="8.5" style="288" customWidth="1"/>
    <col min="4102" max="4102" width="40" style="288" customWidth="1"/>
    <col min="4103" max="4103" width="6.375" style="288" customWidth="1"/>
    <col min="4104" max="4104" width="6.625" style="288" bestFit="1" customWidth="1"/>
    <col min="4105" max="4105" width="8.25" style="288" bestFit="1" customWidth="1"/>
    <col min="4106" max="4106" width="4.125" style="288" customWidth="1"/>
    <col min="4107" max="4107" width="8.5" style="288" customWidth="1"/>
    <col min="4108" max="4108" width="40" style="288" customWidth="1"/>
    <col min="4109" max="4109" width="6.375" style="288" customWidth="1"/>
    <col min="4110" max="4110" width="6.625" style="288" bestFit="1" customWidth="1"/>
    <col min="4111" max="4111" width="8.25" style="288" bestFit="1" customWidth="1"/>
    <col min="4112" max="4350" width="9" style="288"/>
    <col min="4351" max="4351" width="8.5" style="288" customWidth="1"/>
    <col min="4352" max="4352" width="40" style="288" customWidth="1"/>
    <col min="4353" max="4353" width="6.375" style="288" bestFit="1" customWidth="1"/>
    <col min="4354" max="4354" width="6.625" style="288" bestFit="1" customWidth="1"/>
    <col min="4355" max="4355" width="8.25" style="288" bestFit="1" customWidth="1"/>
    <col min="4356" max="4356" width="4.125" style="288" customWidth="1"/>
    <col min="4357" max="4357" width="8.5" style="288" customWidth="1"/>
    <col min="4358" max="4358" width="40" style="288" customWidth="1"/>
    <col min="4359" max="4359" width="6.375" style="288" customWidth="1"/>
    <col min="4360" max="4360" width="6.625" style="288" bestFit="1" customWidth="1"/>
    <col min="4361" max="4361" width="8.25" style="288" bestFit="1" customWidth="1"/>
    <col min="4362" max="4362" width="4.125" style="288" customWidth="1"/>
    <col min="4363" max="4363" width="8.5" style="288" customWidth="1"/>
    <col min="4364" max="4364" width="40" style="288" customWidth="1"/>
    <col min="4365" max="4365" width="6.375" style="288" customWidth="1"/>
    <col min="4366" max="4366" width="6.625" style="288" bestFit="1" customWidth="1"/>
    <col min="4367" max="4367" width="8.25" style="288" bestFit="1" customWidth="1"/>
    <col min="4368" max="4606" width="9" style="288"/>
    <col min="4607" max="4607" width="8.5" style="288" customWidth="1"/>
    <col min="4608" max="4608" width="40" style="288" customWidth="1"/>
    <col min="4609" max="4609" width="6.375" style="288" bestFit="1" customWidth="1"/>
    <col min="4610" max="4610" width="6.625" style="288" bestFit="1" customWidth="1"/>
    <col min="4611" max="4611" width="8.25" style="288" bestFit="1" customWidth="1"/>
    <col min="4612" max="4612" width="4.125" style="288" customWidth="1"/>
    <col min="4613" max="4613" width="8.5" style="288" customWidth="1"/>
    <col min="4614" max="4614" width="40" style="288" customWidth="1"/>
    <col min="4615" max="4615" width="6.375" style="288" customWidth="1"/>
    <col min="4616" max="4616" width="6.625" style="288" bestFit="1" customWidth="1"/>
    <col min="4617" max="4617" width="8.25" style="288" bestFit="1" customWidth="1"/>
    <col min="4618" max="4618" width="4.125" style="288" customWidth="1"/>
    <col min="4619" max="4619" width="8.5" style="288" customWidth="1"/>
    <col min="4620" max="4620" width="40" style="288" customWidth="1"/>
    <col min="4621" max="4621" width="6.375" style="288" customWidth="1"/>
    <col min="4622" max="4622" width="6.625" style="288" bestFit="1" customWidth="1"/>
    <col min="4623" max="4623" width="8.25" style="288" bestFit="1" customWidth="1"/>
    <col min="4624" max="4862" width="9" style="288"/>
    <col min="4863" max="4863" width="8.5" style="288" customWidth="1"/>
    <col min="4864" max="4864" width="40" style="288" customWidth="1"/>
    <col min="4865" max="4865" width="6.375" style="288" bestFit="1" customWidth="1"/>
    <col min="4866" max="4866" width="6.625" style="288" bestFit="1" customWidth="1"/>
    <col min="4867" max="4867" width="8.25" style="288" bestFit="1" customWidth="1"/>
    <col min="4868" max="4868" width="4.125" style="288" customWidth="1"/>
    <col min="4869" max="4869" width="8.5" style="288" customWidth="1"/>
    <col min="4870" max="4870" width="40" style="288" customWidth="1"/>
    <col min="4871" max="4871" width="6.375" style="288" customWidth="1"/>
    <col min="4872" max="4872" width="6.625" style="288" bestFit="1" customWidth="1"/>
    <col min="4873" max="4873" width="8.25" style="288" bestFit="1" customWidth="1"/>
    <col min="4874" max="4874" width="4.125" style="288" customWidth="1"/>
    <col min="4875" max="4875" width="8.5" style="288" customWidth="1"/>
    <col min="4876" max="4876" width="40" style="288" customWidth="1"/>
    <col min="4877" max="4877" width="6.375" style="288" customWidth="1"/>
    <col min="4878" max="4878" width="6.625" style="288" bestFit="1" customWidth="1"/>
    <col min="4879" max="4879" width="8.25" style="288" bestFit="1" customWidth="1"/>
    <col min="4880" max="5118" width="9" style="288"/>
    <col min="5119" max="5119" width="8.5" style="288" customWidth="1"/>
    <col min="5120" max="5120" width="40" style="288" customWidth="1"/>
    <col min="5121" max="5121" width="6.375" style="288" bestFit="1" customWidth="1"/>
    <col min="5122" max="5122" width="6.625" style="288" bestFit="1" customWidth="1"/>
    <col min="5123" max="5123" width="8.25" style="288" bestFit="1" customWidth="1"/>
    <col min="5124" max="5124" width="4.125" style="288" customWidth="1"/>
    <col min="5125" max="5125" width="8.5" style="288" customWidth="1"/>
    <col min="5126" max="5126" width="40" style="288" customWidth="1"/>
    <col min="5127" max="5127" width="6.375" style="288" customWidth="1"/>
    <col min="5128" max="5128" width="6.625" style="288" bestFit="1" customWidth="1"/>
    <col min="5129" max="5129" width="8.25" style="288" bestFit="1" customWidth="1"/>
    <col min="5130" max="5130" width="4.125" style="288" customWidth="1"/>
    <col min="5131" max="5131" width="8.5" style="288" customWidth="1"/>
    <col min="5132" max="5132" width="40" style="288" customWidth="1"/>
    <col min="5133" max="5133" width="6.375" style="288" customWidth="1"/>
    <col min="5134" max="5134" width="6.625" style="288" bestFit="1" customWidth="1"/>
    <col min="5135" max="5135" width="8.25" style="288" bestFit="1" customWidth="1"/>
    <col min="5136" max="5374" width="9" style="288"/>
    <col min="5375" max="5375" width="8.5" style="288" customWidth="1"/>
    <col min="5376" max="5376" width="40" style="288" customWidth="1"/>
    <col min="5377" max="5377" width="6.375" style="288" bestFit="1" customWidth="1"/>
    <col min="5378" max="5378" width="6.625" style="288" bestFit="1" customWidth="1"/>
    <col min="5379" max="5379" width="8.25" style="288" bestFit="1" customWidth="1"/>
    <col min="5380" max="5380" width="4.125" style="288" customWidth="1"/>
    <col min="5381" max="5381" width="8.5" style="288" customWidth="1"/>
    <col min="5382" max="5382" width="40" style="288" customWidth="1"/>
    <col min="5383" max="5383" width="6.375" style="288" customWidth="1"/>
    <col min="5384" max="5384" width="6.625" style="288" bestFit="1" customWidth="1"/>
    <col min="5385" max="5385" width="8.25" style="288" bestFit="1" customWidth="1"/>
    <col min="5386" max="5386" width="4.125" style="288" customWidth="1"/>
    <col min="5387" max="5387" width="8.5" style="288" customWidth="1"/>
    <col min="5388" max="5388" width="40" style="288" customWidth="1"/>
    <col min="5389" max="5389" width="6.375" style="288" customWidth="1"/>
    <col min="5390" max="5390" width="6.625" style="288" bestFit="1" customWidth="1"/>
    <col min="5391" max="5391" width="8.25" style="288" bestFit="1" customWidth="1"/>
    <col min="5392" max="5630" width="9" style="288"/>
    <col min="5631" max="5631" width="8.5" style="288" customWidth="1"/>
    <col min="5632" max="5632" width="40" style="288" customWidth="1"/>
    <col min="5633" max="5633" width="6.375" style="288" bestFit="1" customWidth="1"/>
    <col min="5634" max="5634" width="6.625" style="288" bestFit="1" customWidth="1"/>
    <col min="5635" max="5635" width="8.25" style="288" bestFit="1" customWidth="1"/>
    <col min="5636" max="5636" width="4.125" style="288" customWidth="1"/>
    <col min="5637" max="5637" width="8.5" style="288" customWidth="1"/>
    <col min="5638" max="5638" width="40" style="288" customWidth="1"/>
    <col min="5639" max="5639" width="6.375" style="288" customWidth="1"/>
    <col min="5640" max="5640" width="6.625" style="288" bestFit="1" customWidth="1"/>
    <col min="5641" max="5641" width="8.25" style="288" bestFit="1" customWidth="1"/>
    <col min="5642" max="5642" width="4.125" style="288" customWidth="1"/>
    <col min="5643" max="5643" width="8.5" style="288" customWidth="1"/>
    <col min="5644" max="5644" width="40" style="288" customWidth="1"/>
    <col min="5645" max="5645" width="6.375" style="288" customWidth="1"/>
    <col min="5646" max="5646" width="6.625" style="288" bestFit="1" customWidth="1"/>
    <col min="5647" max="5647" width="8.25" style="288" bestFit="1" customWidth="1"/>
    <col min="5648" max="5886" width="9" style="288"/>
    <col min="5887" max="5887" width="8.5" style="288" customWidth="1"/>
    <col min="5888" max="5888" width="40" style="288" customWidth="1"/>
    <col min="5889" max="5889" width="6.375" style="288" bestFit="1" customWidth="1"/>
    <col min="5890" max="5890" width="6.625" style="288" bestFit="1" customWidth="1"/>
    <col min="5891" max="5891" width="8.25" style="288" bestFit="1" customWidth="1"/>
    <col min="5892" max="5892" width="4.125" style="288" customWidth="1"/>
    <col min="5893" max="5893" width="8.5" style="288" customWidth="1"/>
    <col min="5894" max="5894" width="40" style="288" customWidth="1"/>
    <col min="5895" max="5895" width="6.375" style="288" customWidth="1"/>
    <col min="5896" max="5896" width="6.625" style="288" bestFit="1" customWidth="1"/>
    <col min="5897" max="5897" width="8.25" style="288" bestFit="1" customWidth="1"/>
    <col min="5898" max="5898" width="4.125" style="288" customWidth="1"/>
    <col min="5899" max="5899" width="8.5" style="288" customWidth="1"/>
    <col min="5900" max="5900" width="40" style="288" customWidth="1"/>
    <col min="5901" max="5901" width="6.375" style="288" customWidth="1"/>
    <col min="5902" max="5902" width="6.625" style="288" bestFit="1" customWidth="1"/>
    <col min="5903" max="5903" width="8.25" style="288" bestFit="1" customWidth="1"/>
    <col min="5904" max="6142" width="9" style="288"/>
    <col min="6143" max="6143" width="8.5" style="288" customWidth="1"/>
    <col min="6144" max="6144" width="40" style="288" customWidth="1"/>
    <col min="6145" max="6145" width="6.375" style="288" bestFit="1" customWidth="1"/>
    <col min="6146" max="6146" width="6.625" style="288" bestFit="1" customWidth="1"/>
    <col min="6147" max="6147" width="8.25" style="288" bestFit="1" customWidth="1"/>
    <col min="6148" max="6148" width="4.125" style="288" customWidth="1"/>
    <col min="6149" max="6149" width="8.5" style="288" customWidth="1"/>
    <col min="6150" max="6150" width="40" style="288" customWidth="1"/>
    <col min="6151" max="6151" width="6.375" style="288" customWidth="1"/>
    <col min="6152" max="6152" width="6.625" style="288" bestFit="1" customWidth="1"/>
    <col min="6153" max="6153" width="8.25" style="288" bestFit="1" customWidth="1"/>
    <col min="6154" max="6154" width="4.125" style="288" customWidth="1"/>
    <col min="6155" max="6155" width="8.5" style="288" customWidth="1"/>
    <col min="6156" max="6156" width="40" style="288" customWidth="1"/>
    <col min="6157" max="6157" width="6.375" style="288" customWidth="1"/>
    <col min="6158" max="6158" width="6.625" style="288" bestFit="1" customWidth="1"/>
    <col min="6159" max="6159" width="8.25" style="288" bestFit="1" customWidth="1"/>
    <col min="6160" max="6398" width="9" style="288"/>
    <col min="6399" max="6399" width="8.5" style="288" customWidth="1"/>
    <col min="6400" max="6400" width="40" style="288" customWidth="1"/>
    <col min="6401" max="6401" width="6.375" style="288" bestFit="1" customWidth="1"/>
    <col min="6402" max="6402" width="6.625" style="288" bestFit="1" customWidth="1"/>
    <col min="6403" max="6403" width="8.25" style="288" bestFit="1" customWidth="1"/>
    <col min="6404" max="6404" width="4.125" style="288" customWidth="1"/>
    <col min="6405" max="6405" width="8.5" style="288" customWidth="1"/>
    <col min="6406" max="6406" width="40" style="288" customWidth="1"/>
    <col min="6407" max="6407" width="6.375" style="288" customWidth="1"/>
    <col min="6408" max="6408" width="6.625" style="288" bestFit="1" customWidth="1"/>
    <col min="6409" max="6409" width="8.25" style="288" bestFit="1" customWidth="1"/>
    <col min="6410" max="6410" width="4.125" style="288" customWidth="1"/>
    <col min="6411" max="6411" width="8.5" style="288" customWidth="1"/>
    <col min="6412" max="6412" width="40" style="288" customWidth="1"/>
    <col min="6413" max="6413" width="6.375" style="288" customWidth="1"/>
    <col min="6414" max="6414" width="6.625" style="288" bestFit="1" customWidth="1"/>
    <col min="6415" max="6415" width="8.25" style="288" bestFit="1" customWidth="1"/>
    <col min="6416" max="6654" width="9" style="288"/>
    <col min="6655" max="6655" width="8.5" style="288" customWidth="1"/>
    <col min="6656" max="6656" width="40" style="288" customWidth="1"/>
    <col min="6657" max="6657" width="6.375" style="288" bestFit="1" customWidth="1"/>
    <col min="6658" max="6658" width="6.625" style="288" bestFit="1" customWidth="1"/>
    <col min="6659" max="6659" width="8.25" style="288" bestFit="1" customWidth="1"/>
    <col min="6660" max="6660" width="4.125" style="288" customWidth="1"/>
    <col min="6661" max="6661" width="8.5" style="288" customWidth="1"/>
    <col min="6662" max="6662" width="40" style="288" customWidth="1"/>
    <col min="6663" max="6663" width="6.375" style="288" customWidth="1"/>
    <col min="6664" max="6664" width="6.625" style="288" bestFit="1" customWidth="1"/>
    <col min="6665" max="6665" width="8.25" style="288" bestFit="1" customWidth="1"/>
    <col min="6666" max="6666" width="4.125" style="288" customWidth="1"/>
    <col min="6667" max="6667" width="8.5" style="288" customWidth="1"/>
    <col min="6668" max="6668" width="40" style="288" customWidth="1"/>
    <col min="6669" max="6669" width="6.375" style="288" customWidth="1"/>
    <col min="6670" max="6670" width="6.625" style="288" bestFit="1" customWidth="1"/>
    <col min="6671" max="6671" width="8.25" style="288" bestFit="1" customWidth="1"/>
    <col min="6672" max="6910" width="9" style="288"/>
    <col min="6911" max="6911" width="8.5" style="288" customWidth="1"/>
    <col min="6912" max="6912" width="40" style="288" customWidth="1"/>
    <col min="6913" max="6913" width="6.375" style="288" bestFit="1" customWidth="1"/>
    <col min="6914" max="6914" width="6.625" style="288" bestFit="1" customWidth="1"/>
    <col min="6915" max="6915" width="8.25" style="288" bestFit="1" customWidth="1"/>
    <col min="6916" max="6916" width="4.125" style="288" customWidth="1"/>
    <col min="6917" max="6917" width="8.5" style="288" customWidth="1"/>
    <col min="6918" max="6918" width="40" style="288" customWidth="1"/>
    <col min="6919" max="6919" width="6.375" style="288" customWidth="1"/>
    <col min="6920" max="6920" width="6.625" style="288" bestFit="1" customWidth="1"/>
    <col min="6921" max="6921" width="8.25" style="288" bestFit="1" customWidth="1"/>
    <col min="6922" max="6922" width="4.125" style="288" customWidth="1"/>
    <col min="6923" max="6923" width="8.5" style="288" customWidth="1"/>
    <col min="6924" max="6924" width="40" style="288" customWidth="1"/>
    <col min="6925" max="6925" width="6.375" style="288" customWidth="1"/>
    <col min="6926" max="6926" width="6.625" style="288" bestFit="1" customWidth="1"/>
    <col min="6927" max="6927" width="8.25" style="288" bestFit="1" customWidth="1"/>
    <col min="6928" max="7166" width="9" style="288"/>
    <col min="7167" max="7167" width="8.5" style="288" customWidth="1"/>
    <col min="7168" max="7168" width="40" style="288" customWidth="1"/>
    <col min="7169" max="7169" width="6.375" style="288" bestFit="1" customWidth="1"/>
    <col min="7170" max="7170" width="6.625" style="288" bestFit="1" customWidth="1"/>
    <col min="7171" max="7171" width="8.25" style="288" bestFit="1" customWidth="1"/>
    <col min="7172" max="7172" width="4.125" style="288" customWidth="1"/>
    <col min="7173" max="7173" width="8.5" style="288" customWidth="1"/>
    <col min="7174" max="7174" width="40" style="288" customWidth="1"/>
    <col min="7175" max="7175" width="6.375" style="288" customWidth="1"/>
    <col min="7176" max="7176" width="6.625" style="288" bestFit="1" customWidth="1"/>
    <col min="7177" max="7177" width="8.25" style="288" bestFit="1" customWidth="1"/>
    <col min="7178" max="7178" width="4.125" style="288" customWidth="1"/>
    <col min="7179" max="7179" width="8.5" style="288" customWidth="1"/>
    <col min="7180" max="7180" width="40" style="288" customWidth="1"/>
    <col min="7181" max="7181" width="6.375" style="288" customWidth="1"/>
    <col min="7182" max="7182" width="6.625" style="288" bestFit="1" customWidth="1"/>
    <col min="7183" max="7183" width="8.25" style="288" bestFit="1" customWidth="1"/>
    <col min="7184" max="7422" width="9" style="288"/>
    <col min="7423" max="7423" width="8.5" style="288" customWidth="1"/>
    <col min="7424" max="7424" width="40" style="288" customWidth="1"/>
    <col min="7425" max="7425" width="6.375" style="288" bestFit="1" customWidth="1"/>
    <col min="7426" max="7426" width="6.625" style="288" bestFit="1" customWidth="1"/>
    <col min="7427" max="7427" width="8.25" style="288" bestFit="1" customWidth="1"/>
    <col min="7428" max="7428" width="4.125" style="288" customWidth="1"/>
    <col min="7429" max="7429" width="8.5" style="288" customWidth="1"/>
    <col min="7430" max="7430" width="40" style="288" customWidth="1"/>
    <col min="7431" max="7431" width="6.375" style="288" customWidth="1"/>
    <col min="7432" max="7432" width="6.625" style="288" bestFit="1" customWidth="1"/>
    <col min="7433" max="7433" width="8.25" style="288" bestFit="1" customWidth="1"/>
    <col min="7434" max="7434" width="4.125" style="288" customWidth="1"/>
    <col min="7435" max="7435" width="8.5" style="288" customWidth="1"/>
    <col min="7436" max="7436" width="40" style="288" customWidth="1"/>
    <col min="7437" max="7437" width="6.375" style="288" customWidth="1"/>
    <col min="7438" max="7438" width="6.625" style="288" bestFit="1" customWidth="1"/>
    <col min="7439" max="7439" width="8.25" style="288" bestFit="1" customWidth="1"/>
    <col min="7440" max="7678" width="9" style="288"/>
    <col min="7679" max="7679" width="8.5" style="288" customWidth="1"/>
    <col min="7680" max="7680" width="40" style="288" customWidth="1"/>
    <col min="7681" max="7681" width="6.375" style="288" bestFit="1" customWidth="1"/>
    <col min="7682" max="7682" width="6.625" style="288" bestFit="1" customWidth="1"/>
    <col min="7683" max="7683" width="8.25" style="288" bestFit="1" customWidth="1"/>
    <col min="7684" max="7684" width="4.125" style="288" customWidth="1"/>
    <col min="7685" max="7685" width="8.5" style="288" customWidth="1"/>
    <col min="7686" max="7686" width="40" style="288" customWidth="1"/>
    <col min="7687" max="7687" width="6.375" style="288" customWidth="1"/>
    <col min="7688" max="7688" width="6.625" style="288" bestFit="1" customWidth="1"/>
    <col min="7689" max="7689" width="8.25" style="288" bestFit="1" customWidth="1"/>
    <col min="7690" max="7690" width="4.125" style="288" customWidth="1"/>
    <col min="7691" max="7691" width="8.5" style="288" customWidth="1"/>
    <col min="7692" max="7692" width="40" style="288" customWidth="1"/>
    <col min="7693" max="7693" width="6.375" style="288" customWidth="1"/>
    <col min="7694" max="7694" width="6.625" style="288" bestFit="1" customWidth="1"/>
    <col min="7695" max="7695" width="8.25" style="288" bestFit="1" customWidth="1"/>
    <col min="7696" max="7934" width="9" style="288"/>
    <col min="7935" max="7935" width="8.5" style="288" customWidth="1"/>
    <col min="7936" max="7936" width="40" style="288" customWidth="1"/>
    <col min="7937" max="7937" width="6.375" style="288" bestFit="1" customWidth="1"/>
    <col min="7938" max="7938" width="6.625" style="288" bestFit="1" customWidth="1"/>
    <col min="7939" max="7939" width="8.25" style="288" bestFit="1" customWidth="1"/>
    <col min="7940" max="7940" width="4.125" style="288" customWidth="1"/>
    <col min="7941" max="7941" width="8.5" style="288" customWidth="1"/>
    <col min="7942" max="7942" width="40" style="288" customWidth="1"/>
    <col min="7943" max="7943" width="6.375" style="288" customWidth="1"/>
    <col min="7944" max="7944" width="6.625" style="288" bestFit="1" customWidth="1"/>
    <col min="7945" max="7945" width="8.25" style="288" bestFit="1" customWidth="1"/>
    <col min="7946" max="7946" width="4.125" style="288" customWidth="1"/>
    <col min="7947" max="7947" width="8.5" style="288" customWidth="1"/>
    <col min="7948" max="7948" width="40" style="288" customWidth="1"/>
    <col min="7949" max="7949" width="6.375" style="288" customWidth="1"/>
    <col min="7950" max="7950" width="6.625" style="288" bestFit="1" customWidth="1"/>
    <col min="7951" max="7951" width="8.25" style="288" bestFit="1" customWidth="1"/>
    <col min="7952" max="8190" width="9" style="288"/>
    <col min="8191" max="8191" width="8.5" style="288" customWidth="1"/>
    <col min="8192" max="8192" width="40" style="288" customWidth="1"/>
    <col min="8193" max="8193" width="6.375" style="288" bestFit="1" customWidth="1"/>
    <col min="8194" max="8194" width="6.625" style="288" bestFit="1" customWidth="1"/>
    <col min="8195" max="8195" width="8.25" style="288" bestFit="1" customWidth="1"/>
    <col min="8196" max="8196" width="4.125" style="288" customWidth="1"/>
    <col min="8197" max="8197" width="8.5" style="288" customWidth="1"/>
    <col min="8198" max="8198" width="40" style="288" customWidth="1"/>
    <col min="8199" max="8199" width="6.375" style="288" customWidth="1"/>
    <col min="8200" max="8200" width="6.625" style="288" bestFit="1" customWidth="1"/>
    <col min="8201" max="8201" width="8.25" style="288" bestFit="1" customWidth="1"/>
    <col min="8202" max="8202" width="4.125" style="288" customWidth="1"/>
    <col min="8203" max="8203" width="8.5" style="288" customWidth="1"/>
    <col min="8204" max="8204" width="40" style="288" customWidth="1"/>
    <col min="8205" max="8205" width="6.375" style="288" customWidth="1"/>
    <col min="8206" max="8206" width="6.625" style="288" bestFit="1" customWidth="1"/>
    <col min="8207" max="8207" width="8.25" style="288" bestFit="1" customWidth="1"/>
    <col min="8208" max="8446" width="9" style="288"/>
    <col min="8447" max="8447" width="8.5" style="288" customWidth="1"/>
    <col min="8448" max="8448" width="40" style="288" customWidth="1"/>
    <col min="8449" max="8449" width="6.375" style="288" bestFit="1" customWidth="1"/>
    <col min="8450" max="8450" width="6.625" style="288" bestFit="1" customWidth="1"/>
    <col min="8451" max="8451" width="8.25" style="288" bestFit="1" customWidth="1"/>
    <col min="8452" max="8452" width="4.125" style="288" customWidth="1"/>
    <col min="8453" max="8453" width="8.5" style="288" customWidth="1"/>
    <col min="8454" max="8454" width="40" style="288" customWidth="1"/>
    <col min="8455" max="8455" width="6.375" style="288" customWidth="1"/>
    <col min="8456" max="8456" width="6.625" style="288" bestFit="1" customWidth="1"/>
    <col min="8457" max="8457" width="8.25" style="288" bestFit="1" customWidth="1"/>
    <col min="8458" max="8458" width="4.125" style="288" customWidth="1"/>
    <col min="8459" max="8459" width="8.5" style="288" customWidth="1"/>
    <col min="8460" max="8460" width="40" style="288" customWidth="1"/>
    <col min="8461" max="8461" width="6.375" style="288" customWidth="1"/>
    <col min="8462" max="8462" width="6.625" style="288" bestFit="1" customWidth="1"/>
    <col min="8463" max="8463" width="8.25" style="288" bestFit="1" customWidth="1"/>
    <col min="8464" max="8702" width="9" style="288"/>
    <col min="8703" max="8703" width="8.5" style="288" customWidth="1"/>
    <col min="8704" max="8704" width="40" style="288" customWidth="1"/>
    <col min="8705" max="8705" width="6.375" style="288" bestFit="1" customWidth="1"/>
    <col min="8706" max="8706" width="6.625" style="288" bestFit="1" customWidth="1"/>
    <col min="8707" max="8707" width="8.25" style="288" bestFit="1" customWidth="1"/>
    <col min="8708" max="8708" width="4.125" style="288" customWidth="1"/>
    <col min="8709" max="8709" width="8.5" style="288" customWidth="1"/>
    <col min="8710" max="8710" width="40" style="288" customWidth="1"/>
    <col min="8711" max="8711" width="6.375" style="288" customWidth="1"/>
    <col min="8712" max="8712" width="6.625" style="288" bestFit="1" customWidth="1"/>
    <col min="8713" max="8713" width="8.25" style="288" bestFit="1" customWidth="1"/>
    <col min="8714" max="8714" width="4.125" style="288" customWidth="1"/>
    <col min="8715" max="8715" width="8.5" style="288" customWidth="1"/>
    <col min="8716" max="8716" width="40" style="288" customWidth="1"/>
    <col min="8717" max="8717" width="6.375" style="288" customWidth="1"/>
    <col min="8718" max="8718" width="6.625" style="288" bestFit="1" customWidth="1"/>
    <col min="8719" max="8719" width="8.25" style="288" bestFit="1" customWidth="1"/>
    <col min="8720" max="8958" width="9" style="288"/>
    <col min="8959" max="8959" width="8.5" style="288" customWidth="1"/>
    <col min="8960" max="8960" width="40" style="288" customWidth="1"/>
    <col min="8961" max="8961" width="6.375" style="288" bestFit="1" customWidth="1"/>
    <col min="8962" max="8962" width="6.625" style="288" bestFit="1" customWidth="1"/>
    <col min="8963" max="8963" width="8.25" style="288" bestFit="1" customWidth="1"/>
    <col min="8964" max="8964" width="4.125" style="288" customWidth="1"/>
    <col min="8965" max="8965" width="8.5" style="288" customWidth="1"/>
    <col min="8966" max="8966" width="40" style="288" customWidth="1"/>
    <col min="8967" max="8967" width="6.375" style="288" customWidth="1"/>
    <col min="8968" max="8968" width="6.625" style="288" bestFit="1" customWidth="1"/>
    <col min="8969" max="8969" width="8.25" style="288" bestFit="1" customWidth="1"/>
    <col min="8970" max="8970" width="4.125" style="288" customWidth="1"/>
    <col min="8971" max="8971" width="8.5" style="288" customWidth="1"/>
    <col min="8972" max="8972" width="40" style="288" customWidth="1"/>
    <col min="8973" max="8973" width="6.375" style="288" customWidth="1"/>
    <col min="8974" max="8974" width="6.625" style="288" bestFit="1" customWidth="1"/>
    <col min="8975" max="8975" width="8.25" style="288" bestFit="1" customWidth="1"/>
    <col min="8976" max="9214" width="9" style="288"/>
    <col min="9215" max="9215" width="8.5" style="288" customWidth="1"/>
    <col min="9216" max="9216" width="40" style="288" customWidth="1"/>
    <col min="9217" max="9217" width="6.375" style="288" bestFit="1" customWidth="1"/>
    <col min="9218" max="9218" width="6.625" style="288" bestFit="1" customWidth="1"/>
    <col min="9219" max="9219" width="8.25" style="288" bestFit="1" customWidth="1"/>
    <col min="9220" max="9220" width="4.125" style="288" customWidth="1"/>
    <col min="9221" max="9221" width="8.5" style="288" customWidth="1"/>
    <col min="9222" max="9222" width="40" style="288" customWidth="1"/>
    <col min="9223" max="9223" width="6.375" style="288" customWidth="1"/>
    <col min="9224" max="9224" width="6.625" style="288" bestFit="1" customWidth="1"/>
    <col min="9225" max="9225" width="8.25" style="288" bestFit="1" customWidth="1"/>
    <col min="9226" max="9226" width="4.125" style="288" customWidth="1"/>
    <col min="9227" max="9227" width="8.5" style="288" customWidth="1"/>
    <col min="9228" max="9228" width="40" style="288" customWidth="1"/>
    <col min="9229" max="9229" width="6.375" style="288" customWidth="1"/>
    <col min="9230" max="9230" width="6.625" style="288" bestFit="1" customWidth="1"/>
    <col min="9231" max="9231" width="8.25" style="288" bestFit="1" customWidth="1"/>
    <col min="9232" max="9470" width="9" style="288"/>
    <col min="9471" max="9471" width="8.5" style="288" customWidth="1"/>
    <col min="9472" max="9472" width="40" style="288" customWidth="1"/>
    <col min="9473" max="9473" width="6.375" style="288" bestFit="1" customWidth="1"/>
    <col min="9474" max="9474" width="6.625" style="288" bestFit="1" customWidth="1"/>
    <col min="9475" max="9475" width="8.25" style="288" bestFit="1" customWidth="1"/>
    <col min="9476" max="9476" width="4.125" style="288" customWidth="1"/>
    <col min="9477" max="9477" width="8.5" style="288" customWidth="1"/>
    <col min="9478" max="9478" width="40" style="288" customWidth="1"/>
    <col min="9479" max="9479" width="6.375" style="288" customWidth="1"/>
    <col min="9480" max="9480" width="6.625" style="288" bestFit="1" customWidth="1"/>
    <col min="9481" max="9481" width="8.25" style="288" bestFit="1" customWidth="1"/>
    <col min="9482" max="9482" width="4.125" style="288" customWidth="1"/>
    <col min="9483" max="9483" width="8.5" style="288" customWidth="1"/>
    <col min="9484" max="9484" width="40" style="288" customWidth="1"/>
    <col min="9485" max="9485" width="6.375" style="288" customWidth="1"/>
    <col min="9486" max="9486" width="6.625" style="288" bestFit="1" customWidth="1"/>
    <col min="9487" max="9487" width="8.25" style="288" bestFit="1" customWidth="1"/>
    <col min="9488" max="9726" width="9" style="288"/>
    <col min="9727" max="9727" width="8.5" style="288" customWidth="1"/>
    <col min="9728" max="9728" width="40" style="288" customWidth="1"/>
    <col min="9729" max="9729" width="6.375" style="288" bestFit="1" customWidth="1"/>
    <col min="9730" max="9730" width="6.625" style="288" bestFit="1" customWidth="1"/>
    <col min="9731" max="9731" width="8.25" style="288" bestFit="1" customWidth="1"/>
    <col min="9732" max="9732" width="4.125" style="288" customWidth="1"/>
    <col min="9733" max="9733" width="8.5" style="288" customWidth="1"/>
    <col min="9734" max="9734" width="40" style="288" customWidth="1"/>
    <col min="9735" max="9735" width="6.375" style="288" customWidth="1"/>
    <col min="9736" max="9736" width="6.625" style="288" bestFit="1" customWidth="1"/>
    <col min="9737" max="9737" width="8.25" style="288" bestFit="1" customWidth="1"/>
    <col min="9738" max="9738" width="4.125" style="288" customWidth="1"/>
    <col min="9739" max="9739" width="8.5" style="288" customWidth="1"/>
    <col min="9740" max="9740" width="40" style="288" customWidth="1"/>
    <col min="9741" max="9741" width="6.375" style="288" customWidth="1"/>
    <col min="9742" max="9742" width="6.625" style="288" bestFit="1" customWidth="1"/>
    <col min="9743" max="9743" width="8.25" style="288" bestFit="1" customWidth="1"/>
    <col min="9744" max="9982" width="9" style="288"/>
    <col min="9983" max="9983" width="8.5" style="288" customWidth="1"/>
    <col min="9984" max="9984" width="40" style="288" customWidth="1"/>
    <col min="9985" max="9985" width="6.375" style="288" bestFit="1" customWidth="1"/>
    <col min="9986" max="9986" width="6.625" style="288" bestFit="1" customWidth="1"/>
    <col min="9987" max="9987" width="8.25" style="288" bestFit="1" customWidth="1"/>
    <col min="9988" max="9988" width="4.125" style="288" customWidth="1"/>
    <col min="9989" max="9989" width="8.5" style="288" customWidth="1"/>
    <col min="9990" max="9990" width="40" style="288" customWidth="1"/>
    <col min="9991" max="9991" width="6.375" style="288" customWidth="1"/>
    <col min="9992" max="9992" width="6.625" style="288" bestFit="1" customWidth="1"/>
    <col min="9993" max="9993" width="8.25" style="288" bestFit="1" customWidth="1"/>
    <col min="9994" max="9994" width="4.125" style="288" customWidth="1"/>
    <col min="9995" max="9995" width="8.5" style="288" customWidth="1"/>
    <col min="9996" max="9996" width="40" style="288" customWidth="1"/>
    <col min="9997" max="9997" width="6.375" style="288" customWidth="1"/>
    <col min="9998" max="9998" width="6.625" style="288" bestFit="1" customWidth="1"/>
    <col min="9999" max="9999" width="8.25" style="288" bestFit="1" customWidth="1"/>
    <col min="10000" max="10238" width="9" style="288"/>
    <col min="10239" max="10239" width="8.5" style="288" customWidth="1"/>
    <col min="10240" max="10240" width="40" style="288" customWidth="1"/>
    <col min="10241" max="10241" width="6.375" style="288" bestFit="1" customWidth="1"/>
    <col min="10242" max="10242" width="6.625" style="288" bestFit="1" customWidth="1"/>
    <col min="10243" max="10243" width="8.25" style="288" bestFit="1" customWidth="1"/>
    <col min="10244" max="10244" width="4.125" style="288" customWidth="1"/>
    <col min="10245" max="10245" width="8.5" style="288" customWidth="1"/>
    <col min="10246" max="10246" width="40" style="288" customWidth="1"/>
    <col min="10247" max="10247" width="6.375" style="288" customWidth="1"/>
    <col min="10248" max="10248" width="6.625" style="288" bestFit="1" customWidth="1"/>
    <col min="10249" max="10249" width="8.25" style="288" bestFit="1" customWidth="1"/>
    <col min="10250" max="10250" width="4.125" style="288" customWidth="1"/>
    <col min="10251" max="10251" width="8.5" style="288" customWidth="1"/>
    <col min="10252" max="10252" width="40" style="288" customWidth="1"/>
    <col min="10253" max="10253" width="6.375" style="288" customWidth="1"/>
    <col min="10254" max="10254" width="6.625" style="288" bestFit="1" customWidth="1"/>
    <col min="10255" max="10255" width="8.25" style="288" bestFit="1" customWidth="1"/>
    <col min="10256" max="10494" width="9" style="288"/>
    <col min="10495" max="10495" width="8.5" style="288" customWidth="1"/>
    <col min="10496" max="10496" width="40" style="288" customWidth="1"/>
    <col min="10497" max="10497" width="6.375" style="288" bestFit="1" customWidth="1"/>
    <col min="10498" max="10498" width="6.625" style="288" bestFit="1" customWidth="1"/>
    <col min="10499" max="10499" width="8.25" style="288" bestFit="1" customWidth="1"/>
    <col min="10500" max="10500" width="4.125" style="288" customWidth="1"/>
    <col min="10501" max="10501" width="8.5" style="288" customWidth="1"/>
    <col min="10502" max="10502" width="40" style="288" customWidth="1"/>
    <col min="10503" max="10503" width="6.375" style="288" customWidth="1"/>
    <col min="10504" max="10504" width="6.625" style="288" bestFit="1" customWidth="1"/>
    <col min="10505" max="10505" width="8.25" style="288" bestFit="1" customWidth="1"/>
    <col min="10506" max="10506" width="4.125" style="288" customWidth="1"/>
    <col min="10507" max="10507" width="8.5" style="288" customWidth="1"/>
    <col min="10508" max="10508" width="40" style="288" customWidth="1"/>
    <col min="10509" max="10509" width="6.375" style="288" customWidth="1"/>
    <col min="10510" max="10510" width="6.625" style="288" bestFit="1" customWidth="1"/>
    <col min="10511" max="10511" width="8.25" style="288" bestFit="1" customWidth="1"/>
    <col min="10512" max="10750" width="9" style="288"/>
    <col min="10751" max="10751" width="8.5" style="288" customWidth="1"/>
    <col min="10752" max="10752" width="40" style="288" customWidth="1"/>
    <col min="10753" max="10753" width="6.375" style="288" bestFit="1" customWidth="1"/>
    <col min="10754" max="10754" width="6.625" style="288" bestFit="1" customWidth="1"/>
    <col min="10755" max="10755" width="8.25" style="288" bestFit="1" customWidth="1"/>
    <col min="10756" max="10756" width="4.125" style="288" customWidth="1"/>
    <col min="10757" max="10757" width="8.5" style="288" customWidth="1"/>
    <col min="10758" max="10758" width="40" style="288" customWidth="1"/>
    <col min="10759" max="10759" width="6.375" style="288" customWidth="1"/>
    <col min="10760" max="10760" width="6.625" style="288" bestFit="1" customWidth="1"/>
    <col min="10761" max="10761" width="8.25" style="288" bestFit="1" customWidth="1"/>
    <col min="10762" max="10762" width="4.125" style="288" customWidth="1"/>
    <col min="10763" max="10763" width="8.5" style="288" customWidth="1"/>
    <col min="10764" max="10764" width="40" style="288" customWidth="1"/>
    <col min="10765" max="10765" width="6.375" style="288" customWidth="1"/>
    <col min="10766" max="10766" width="6.625" style="288" bestFit="1" customWidth="1"/>
    <col min="10767" max="10767" width="8.25" style="288" bestFit="1" customWidth="1"/>
    <col min="10768" max="11006" width="9" style="288"/>
    <col min="11007" max="11007" width="8.5" style="288" customWidth="1"/>
    <col min="11008" max="11008" width="40" style="288" customWidth="1"/>
    <col min="11009" max="11009" width="6.375" style="288" bestFit="1" customWidth="1"/>
    <col min="11010" max="11010" width="6.625" style="288" bestFit="1" customWidth="1"/>
    <col min="11011" max="11011" width="8.25" style="288" bestFit="1" customWidth="1"/>
    <col min="11012" max="11012" width="4.125" style="288" customWidth="1"/>
    <col min="11013" max="11013" width="8.5" style="288" customWidth="1"/>
    <col min="11014" max="11014" width="40" style="288" customWidth="1"/>
    <col min="11015" max="11015" width="6.375" style="288" customWidth="1"/>
    <col min="11016" max="11016" width="6.625" style="288" bestFit="1" customWidth="1"/>
    <col min="11017" max="11017" width="8.25" style="288" bestFit="1" customWidth="1"/>
    <col min="11018" max="11018" width="4.125" style="288" customWidth="1"/>
    <col min="11019" max="11019" width="8.5" style="288" customWidth="1"/>
    <col min="11020" max="11020" width="40" style="288" customWidth="1"/>
    <col min="11021" max="11021" width="6.375" style="288" customWidth="1"/>
    <col min="11022" max="11022" width="6.625" style="288" bestFit="1" customWidth="1"/>
    <col min="11023" max="11023" width="8.25" style="288" bestFit="1" customWidth="1"/>
    <col min="11024" max="11262" width="9" style="288"/>
    <col min="11263" max="11263" width="8.5" style="288" customWidth="1"/>
    <col min="11264" max="11264" width="40" style="288" customWidth="1"/>
    <col min="11265" max="11265" width="6.375" style="288" bestFit="1" customWidth="1"/>
    <col min="11266" max="11266" width="6.625" style="288" bestFit="1" customWidth="1"/>
    <col min="11267" max="11267" width="8.25" style="288" bestFit="1" customWidth="1"/>
    <col min="11268" max="11268" width="4.125" style="288" customWidth="1"/>
    <col min="11269" max="11269" width="8.5" style="288" customWidth="1"/>
    <col min="11270" max="11270" width="40" style="288" customWidth="1"/>
    <col min="11271" max="11271" width="6.375" style="288" customWidth="1"/>
    <col min="11272" max="11272" width="6.625" style="288" bestFit="1" customWidth="1"/>
    <col min="11273" max="11273" width="8.25" style="288" bestFit="1" customWidth="1"/>
    <col min="11274" max="11274" width="4.125" style="288" customWidth="1"/>
    <col min="11275" max="11275" width="8.5" style="288" customWidth="1"/>
    <col min="11276" max="11276" width="40" style="288" customWidth="1"/>
    <col min="11277" max="11277" width="6.375" style="288" customWidth="1"/>
    <col min="11278" max="11278" width="6.625" style="288" bestFit="1" customWidth="1"/>
    <col min="11279" max="11279" width="8.25" style="288" bestFit="1" customWidth="1"/>
    <col min="11280" max="11518" width="9" style="288"/>
    <col min="11519" max="11519" width="8.5" style="288" customWidth="1"/>
    <col min="11520" max="11520" width="40" style="288" customWidth="1"/>
    <col min="11521" max="11521" width="6.375" style="288" bestFit="1" customWidth="1"/>
    <col min="11522" max="11522" width="6.625" style="288" bestFit="1" customWidth="1"/>
    <col min="11523" max="11523" width="8.25" style="288" bestFit="1" customWidth="1"/>
    <col min="11524" max="11524" width="4.125" style="288" customWidth="1"/>
    <col min="11525" max="11525" width="8.5" style="288" customWidth="1"/>
    <col min="11526" max="11526" width="40" style="288" customWidth="1"/>
    <col min="11527" max="11527" width="6.375" style="288" customWidth="1"/>
    <col min="11528" max="11528" width="6.625" style="288" bestFit="1" customWidth="1"/>
    <col min="11529" max="11529" width="8.25" style="288" bestFit="1" customWidth="1"/>
    <col min="11530" max="11530" width="4.125" style="288" customWidth="1"/>
    <col min="11531" max="11531" width="8.5" style="288" customWidth="1"/>
    <col min="11532" max="11532" width="40" style="288" customWidth="1"/>
    <col min="11533" max="11533" width="6.375" style="288" customWidth="1"/>
    <col min="11534" max="11534" width="6.625" style="288" bestFit="1" customWidth="1"/>
    <col min="11535" max="11535" width="8.25" style="288" bestFit="1" customWidth="1"/>
    <col min="11536" max="11774" width="9" style="288"/>
    <col min="11775" max="11775" width="8.5" style="288" customWidth="1"/>
    <col min="11776" max="11776" width="40" style="288" customWidth="1"/>
    <col min="11777" max="11777" width="6.375" style="288" bestFit="1" customWidth="1"/>
    <col min="11778" max="11778" width="6.625" style="288" bestFit="1" customWidth="1"/>
    <col min="11779" max="11779" width="8.25" style="288" bestFit="1" customWidth="1"/>
    <col min="11780" max="11780" width="4.125" style="288" customWidth="1"/>
    <col min="11781" max="11781" width="8.5" style="288" customWidth="1"/>
    <col min="11782" max="11782" width="40" style="288" customWidth="1"/>
    <col min="11783" max="11783" width="6.375" style="288" customWidth="1"/>
    <col min="11784" max="11784" width="6.625" style="288" bestFit="1" customWidth="1"/>
    <col min="11785" max="11785" width="8.25" style="288" bestFit="1" customWidth="1"/>
    <col min="11786" max="11786" width="4.125" style="288" customWidth="1"/>
    <col min="11787" max="11787" width="8.5" style="288" customWidth="1"/>
    <col min="11788" max="11788" width="40" style="288" customWidth="1"/>
    <col min="11789" max="11789" width="6.375" style="288" customWidth="1"/>
    <col min="11790" max="11790" width="6.625" style="288" bestFit="1" customWidth="1"/>
    <col min="11791" max="11791" width="8.25" style="288" bestFit="1" customWidth="1"/>
    <col min="11792" max="12030" width="9" style="288"/>
    <col min="12031" max="12031" width="8.5" style="288" customWidth="1"/>
    <col min="12032" max="12032" width="40" style="288" customWidth="1"/>
    <col min="12033" max="12033" width="6.375" style="288" bestFit="1" customWidth="1"/>
    <col min="12034" max="12034" width="6.625" style="288" bestFit="1" customWidth="1"/>
    <col min="12035" max="12035" width="8.25" style="288" bestFit="1" customWidth="1"/>
    <col min="12036" max="12036" width="4.125" style="288" customWidth="1"/>
    <col min="12037" max="12037" width="8.5" style="288" customWidth="1"/>
    <col min="12038" max="12038" width="40" style="288" customWidth="1"/>
    <col min="12039" max="12039" width="6.375" style="288" customWidth="1"/>
    <col min="12040" max="12040" width="6.625" style="288" bestFit="1" customWidth="1"/>
    <col min="12041" max="12041" width="8.25" style="288" bestFit="1" customWidth="1"/>
    <col min="12042" max="12042" width="4.125" style="288" customWidth="1"/>
    <col min="12043" max="12043" width="8.5" style="288" customWidth="1"/>
    <col min="12044" max="12044" width="40" style="288" customWidth="1"/>
    <col min="12045" max="12045" width="6.375" style="288" customWidth="1"/>
    <col min="12046" max="12046" width="6.625" style="288" bestFit="1" customWidth="1"/>
    <col min="12047" max="12047" width="8.25" style="288" bestFit="1" customWidth="1"/>
    <col min="12048" max="12286" width="9" style="288"/>
    <col min="12287" max="12287" width="8.5" style="288" customWidth="1"/>
    <col min="12288" max="12288" width="40" style="288" customWidth="1"/>
    <col min="12289" max="12289" width="6.375" style="288" bestFit="1" customWidth="1"/>
    <col min="12290" max="12290" width="6.625" style="288" bestFit="1" customWidth="1"/>
    <col min="12291" max="12291" width="8.25" style="288" bestFit="1" customWidth="1"/>
    <col min="12292" max="12292" width="4.125" style="288" customWidth="1"/>
    <col min="12293" max="12293" width="8.5" style="288" customWidth="1"/>
    <col min="12294" max="12294" width="40" style="288" customWidth="1"/>
    <col min="12295" max="12295" width="6.375" style="288" customWidth="1"/>
    <col min="12296" max="12296" width="6.625" style="288" bestFit="1" customWidth="1"/>
    <col min="12297" max="12297" width="8.25" style="288" bestFit="1" customWidth="1"/>
    <col min="12298" max="12298" width="4.125" style="288" customWidth="1"/>
    <col min="12299" max="12299" width="8.5" style="288" customWidth="1"/>
    <col min="12300" max="12300" width="40" style="288" customWidth="1"/>
    <col min="12301" max="12301" width="6.375" style="288" customWidth="1"/>
    <col min="12302" max="12302" width="6.625" style="288" bestFit="1" customWidth="1"/>
    <col min="12303" max="12303" width="8.25" style="288" bestFit="1" customWidth="1"/>
    <col min="12304" max="12542" width="9" style="288"/>
    <col min="12543" max="12543" width="8.5" style="288" customWidth="1"/>
    <col min="12544" max="12544" width="40" style="288" customWidth="1"/>
    <col min="12545" max="12545" width="6.375" style="288" bestFit="1" customWidth="1"/>
    <col min="12546" max="12546" width="6.625" style="288" bestFit="1" customWidth="1"/>
    <col min="12547" max="12547" width="8.25" style="288" bestFit="1" customWidth="1"/>
    <col min="12548" max="12548" width="4.125" style="288" customWidth="1"/>
    <col min="12549" max="12549" width="8.5" style="288" customWidth="1"/>
    <col min="12550" max="12550" width="40" style="288" customWidth="1"/>
    <col min="12551" max="12551" width="6.375" style="288" customWidth="1"/>
    <col min="12552" max="12552" width="6.625" style="288" bestFit="1" customWidth="1"/>
    <col min="12553" max="12553" width="8.25" style="288" bestFit="1" customWidth="1"/>
    <col min="12554" max="12554" width="4.125" style="288" customWidth="1"/>
    <col min="12555" max="12555" width="8.5" style="288" customWidth="1"/>
    <col min="12556" max="12556" width="40" style="288" customWidth="1"/>
    <col min="12557" max="12557" width="6.375" style="288" customWidth="1"/>
    <col min="12558" max="12558" width="6.625" style="288" bestFit="1" customWidth="1"/>
    <col min="12559" max="12559" width="8.25" style="288" bestFit="1" customWidth="1"/>
    <col min="12560" max="12798" width="9" style="288"/>
    <col min="12799" max="12799" width="8.5" style="288" customWidth="1"/>
    <col min="12800" max="12800" width="40" style="288" customWidth="1"/>
    <col min="12801" max="12801" width="6.375" style="288" bestFit="1" customWidth="1"/>
    <col min="12802" max="12802" width="6.625" style="288" bestFit="1" customWidth="1"/>
    <col min="12803" max="12803" width="8.25" style="288" bestFit="1" customWidth="1"/>
    <col min="12804" max="12804" width="4.125" style="288" customWidth="1"/>
    <col min="12805" max="12805" width="8.5" style="288" customWidth="1"/>
    <col min="12806" max="12806" width="40" style="288" customWidth="1"/>
    <col min="12807" max="12807" width="6.375" style="288" customWidth="1"/>
    <col min="12808" max="12808" width="6.625" style="288" bestFit="1" customWidth="1"/>
    <col min="12809" max="12809" width="8.25" style="288" bestFit="1" customWidth="1"/>
    <col min="12810" max="12810" width="4.125" style="288" customWidth="1"/>
    <col min="12811" max="12811" width="8.5" style="288" customWidth="1"/>
    <col min="12812" max="12812" width="40" style="288" customWidth="1"/>
    <col min="12813" max="12813" width="6.375" style="288" customWidth="1"/>
    <col min="12814" max="12814" width="6.625" style="288" bestFit="1" customWidth="1"/>
    <col min="12815" max="12815" width="8.25" style="288" bestFit="1" customWidth="1"/>
    <col min="12816" max="13054" width="9" style="288"/>
    <col min="13055" max="13055" width="8.5" style="288" customWidth="1"/>
    <col min="13056" max="13056" width="40" style="288" customWidth="1"/>
    <col min="13057" max="13057" width="6.375" style="288" bestFit="1" customWidth="1"/>
    <col min="13058" max="13058" width="6.625" style="288" bestFit="1" customWidth="1"/>
    <col min="13059" max="13059" width="8.25" style="288" bestFit="1" customWidth="1"/>
    <col min="13060" max="13060" width="4.125" style="288" customWidth="1"/>
    <col min="13061" max="13061" width="8.5" style="288" customWidth="1"/>
    <col min="13062" max="13062" width="40" style="288" customWidth="1"/>
    <col min="13063" max="13063" width="6.375" style="288" customWidth="1"/>
    <col min="13064" max="13064" width="6.625" style="288" bestFit="1" customWidth="1"/>
    <col min="13065" max="13065" width="8.25" style="288" bestFit="1" customWidth="1"/>
    <col min="13066" max="13066" width="4.125" style="288" customWidth="1"/>
    <col min="13067" max="13067" width="8.5" style="288" customWidth="1"/>
    <col min="13068" max="13068" width="40" style="288" customWidth="1"/>
    <col min="13069" max="13069" width="6.375" style="288" customWidth="1"/>
    <col min="13070" max="13070" width="6.625" style="288" bestFit="1" customWidth="1"/>
    <col min="13071" max="13071" width="8.25" style="288" bestFit="1" customWidth="1"/>
    <col min="13072" max="13310" width="9" style="288"/>
    <col min="13311" max="13311" width="8.5" style="288" customWidth="1"/>
    <col min="13312" max="13312" width="40" style="288" customWidth="1"/>
    <col min="13313" max="13313" width="6.375" style="288" bestFit="1" customWidth="1"/>
    <col min="13314" max="13314" width="6.625" style="288" bestFit="1" customWidth="1"/>
    <col min="13315" max="13315" width="8.25" style="288" bestFit="1" customWidth="1"/>
    <col min="13316" max="13316" width="4.125" style="288" customWidth="1"/>
    <col min="13317" max="13317" width="8.5" style="288" customWidth="1"/>
    <col min="13318" max="13318" width="40" style="288" customWidth="1"/>
    <col min="13319" max="13319" width="6.375" style="288" customWidth="1"/>
    <col min="13320" max="13320" width="6.625" style="288" bestFit="1" customWidth="1"/>
    <col min="13321" max="13321" width="8.25" style="288" bestFit="1" customWidth="1"/>
    <col min="13322" max="13322" width="4.125" style="288" customWidth="1"/>
    <col min="13323" max="13323" width="8.5" style="288" customWidth="1"/>
    <col min="13324" max="13324" width="40" style="288" customWidth="1"/>
    <col min="13325" max="13325" width="6.375" style="288" customWidth="1"/>
    <col min="13326" max="13326" width="6.625" style="288" bestFit="1" customWidth="1"/>
    <col min="13327" max="13327" width="8.25" style="288" bestFit="1" customWidth="1"/>
    <col min="13328" max="13566" width="9" style="288"/>
    <col min="13567" max="13567" width="8.5" style="288" customWidth="1"/>
    <col min="13568" max="13568" width="40" style="288" customWidth="1"/>
    <col min="13569" max="13569" width="6.375" style="288" bestFit="1" customWidth="1"/>
    <col min="13570" max="13570" width="6.625" style="288" bestFit="1" customWidth="1"/>
    <col min="13571" max="13571" width="8.25" style="288" bestFit="1" customWidth="1"/>
    <col min="13572" max="13572" width="4.125" style="288" customWidth="1"/>
    <col min="13573" max="13573" width="8.5" style="288" customWidth="1"/>
    <col min="13574" max="13574" width="40" style="288" customWidth="1"/>
    <col min="13575" max="13575" width="6.375" style="288" customWidth="1"/>
    <col min="13576" max="13576" width="6.625" style="288" bestFit="1" customWidth="1"/>
    <col min="13577" max="13577" width="8.25" style="288" bestFit="1" customWidth="1"/>
    <col min="13578" max="13578" width="4.125" style="288" customWidth="1"/>
    <col min="13579" max="13579" width="8.5" style="288" customWidth="1"/>
    <col min="13580" max="13580" width="40" style="288" customWidth="1"/>
    <col min="13581" max="13581" width="6.375" style="288" customWidth="1"/>
    <col min="13582" max="13582" width="6.625" style="288" bestFit="1" customWidth="1"/>
    <col min="13583" max="13583" width="8.25" style="288" bestFit="1" customWidth="1"/>
    <col min="13584" max="13822" width="9" style="288"/>
    <col min="13823" max="13823" width="8.5" style="288" customWidth="1"/>
    <col min="13824" max="13824" width="40" style="288" customWidth="1"/>
    <col min="13825" max="13825" width="6.375" style="288" bestFit="1" customWidth="1"/>
    <col min="13826" max="13826" width="6.625" style="288" bestFit="1" customWidth="1"/>
    <col min="13827" max="13827" width="8.25" style="288" bestFit="1" customWidth="1"/>
    <col min="13828" max="13828" width="4.125" style="288" customWidth="1"/>
    <col min="13829" max="13829" width="8.5" style="288" customWidth="1"/>
    <col min="13830" max="13830" width="40" style="288" customWidth="1"/>
    <col min="13831" max="13831" width="6.375" style="288" customWidth="1"/>
    <col min="13832" max="13832" width="6.625" style="288" bestFit="1" customWidth="1"/>
    <col min="13833" max="13833" width="8.25" style="288" bestFit="1" customWidth="1"/>
    <col min="13834" max="13834" width="4.125" style="288" customWidth="1"/>
    <col min="13835" max="13835" width="8.5" style="288" customWidth="1"/>
    <col min="13836" max="13836" width="40" style="288" customWidth="1"/>
    <col min="13837" max="13837" width="6.375" style="288" customWidth="1"/>
    <col min="13838" max="13838" width="6.625" style="288" bestFit="1" customWidth="1"/>
    <col min="13839" max="13839" width="8.25" style="288" bestFit="1" customWidth="1"/>
    <col min="13840" max="14078" width="9" style="288"/>
    <col min="14079" max="14079" width="8.5" style="288" customWidth="1"/>
    <col min="14080" max="14080" width="40" style="288" customWidth="1"/>
    <col min="14081" max="14081" width="6.375" style="288" bestFit="1" customWidth="1"/>
    <col min="14082" max="14082" width="6.625" style="288" bestFit="1" customWidth="1"/>
    <col min="14083" max="14083" width="8.25" style="288" bestFit="1" customWidth="1"/>
    <col min="14084" max="14084" width="4.125" style="288" customWidth="1"/>
    <col min="14085" max="14085" width="8.5" style="288" customWidth="1"/>
    <col min="14086" max="14086" width="40" style="288" customWidth="1"/>
    <col min="14087" max="14087" width="6.375" style="288" customWidth="1"/>
    <col min="14088" max="14088" width="6.625" style="288" bestFit="1" customWidth="1"/>
    <col min="14089" max="14089" width="8.25" style="288" bestFit="1" customWidth="1"/>
    <col min="14090" max="14090" width="4.125" style="288" customWidth="1"/>
    <col min="14091" max="14091" width="8.5" style="288" customWidth="1"/>
    <col min="14092" max="14092" width="40" style="288" customWidth="1"/>
    <col min="14093" max="14093" width="6.375" style="288" customWidth="1"/>
    <col min="14094" max="14094" width="6.625" style="288" bestFit="1" customWidth="1"/>
    <col min="14095" max="14095" width="8.25" style="288" bestFit="1" customWidth="1"/>
    <col min="14096" max="14334" width="9" style="288"/>
    <col min="14335" max="14335" width="8.5" style="288" customWidth="1"/>
    <col min="14336" max="14336" width="40" style="288" customWidth="1"/>
    <col min="14337" max="14337" width="6.375" style="288" bestFit="1" customWidth="1"/>
    <col min="14338" max="14338" width="6.625" style="288" bestFit="1" customWidth="1"/>
    <col min="14339" max="14339" width="8.25" style="288" bestFit="1" customWidth="1"/>
    <col min="14340" max="14340" width="4.125" style="288" customWidth="1"/>
    <col min="14341" max="14341" width="8.5" style="288" customWidth="1"/>
    <col min="14342" max="14342" width="40" style="288" customWidth="1"/>
    <col min="14343" max="14343" width="6.375" style="288" customWidth="1"/>
    <col min="14344" max="14344" width="6.625" style="288" bestFit="1" customWidth="1"/>
    <col min="14345" max="14345" width="8.25" style="288" bestFit="1" customWidth="1"/>
    <col min="14346" max="14346" width="4.125" style="288" customWidth="1"/>
    <col min="14347" max="14347" width="8.5" style="288" customWidth="1"/>
    <col min="14348" max="14348" width="40" style="288" customWidth="1"/>
    <col min="14349" max="14349" width="6.375" style="288" customWidth="1"/>
    <col min="14350" max="14350" width="6.625" style="288" bestFit="1" customWidth="1"/>
    <col min="14351" max="14351" width="8.25" style="288" bestFit="1" customWidth="1"/>
    <col min="14352" max="14590" width="9" style="288"/>
    <col min="14591" max="14591" width="8.5" style="288" customWidth="1"/>
    <col min="14592" max="14592" width="40" style="288" customWidth="1"/>
    <col min="14593" max="14593" width="6.375" style="288" bestFit="1" customWidth="1"/>
    <col min="14594" max="14594" width="6.625" style="288" bestFit="1" customWidth="1"/>
    <col min="14595" max="14595" width="8.25" style="288" bestFit="1" customWidth="1"/>
    <col min="14596" max="14596" width="4.125" style="288" customWidth="1"/>
    <col min="14597" max="14597" width="8.5" style="288" customWidth="1"/>
    <col min="14598" max="14598" width="40" style="288" customWidth="1"/>
    <col min="14599" max="14599" width="6.375" style="288" customWidth="1"/>
    <col min="14600" max="14600" width="6.625" style="288" bestFit="1" customWidth="1"/>
    <col min="14601" max="14601" width="8.25" style="288" bestFit="1" customWidth="1"/>
    <col min="14602" max="14602" width="4.125" style="288" customWidth="1"/>
    <col min="14603" max="14603" width="8.5" style="288" customWidth="1"/>
    <col min="14604" max="14604" width="40" style="288" customWidth="1"/>
    <col min="14605" max="14605" width="6.375" style="288" customWidth="1"/>
    <col min="14606" max="14606" width="6.625" style="288" bestFit="1" customWidth="1"/>
    <col min="14607" max="14607" width="8.25" style="288" bestFit="1" customWidth="1"/>
    <col min="14608" max="14846" width="9" style="288"/>
    <col min="14847" max="14847" width="8.5" style="288" customWidth="1"/>
    <col min="14848" max="14848" width="40" style="288" customWidth="1"/>
    <col min="14849" max="14849" width="6.375" style="288" bestFit="1" customWidth="1"/>
    <col min="14850" max="14850" width="6.625" style="288" bestFit="1" customWidth="1"/>
    <col min="14851" max="14851" width="8.25" style="288" bestFit="1" customWidth="1"/>
    <col min="14852" max="14852" width="4.125" style="288" customWidth="1"/>
    <col min="14853" max="14853" width="8.5" style="288" customWidth="1"/>
    <col min="14854" max="14854" width="40" style="288" customWidth="1"/>
    <col min="14855" max="14855" width="6.375" style="288" customWidth="1"/>
    <col min="14856" max="14856" width="6.625" style="288" bestFit="1" customWidth="1"/>
    <col min="14857" max="14857" width="8.25" style="288" bestFit="1" customWidth="1"/>
    <col min="14858" max="14858" width="4.125" style="288" customWidth="1"/>
    <col min="14859" max="14859" width="8.5" style="288" customWidth="1"/>
    <col min="14860" max="14860" width="40" style="288" customWidth="1"/>
    <col min="14861" max="14861" width="6.375" style="288" customWidth="1"/>
    <col min="14862" max="14862" width="6.625" style="288" bestFit="1" customWidth="1"/>
    <col min="14863" max="14863" width="8.25" style="288" bestFit="1" customWidth="1"/>
    <col min="14864" max="15102" width="9" style="288"/>
    <col min="15103" max="15103" width="8.5" style="288" customWidth="1"/>
    <col min="15104" max="15104" width="40" style="288" customWidth="1"/>
    <col min="15105" max="15105" width="6.375" style="288" bestFit="1" customWidth="1"/>
    <col min="15106" max="15106" width="6.625" style="288" bestFit="1" customWidth="1"/>
    <col min="15107" max="15107" width="8.25" style="288" bestFit="1" customWidth="1"/>
    <col min="15108" max="15108" width="4.125" style="288" customWidth="1"/>
    <col min="15109" max="15109" width="8.5" style="288" customWidth="1"/>
    <col min="15110" max="15110" width="40" style="288" customWidth="1"/>
    <col min="15111" max="15111" width="6.375" style="288" customWidth="1"/>
    <col min="15112" max="15112" width="6.625" style="288" bestFit="1" customWidth="1"/>
    <col min="15113" max="15113" width="8.25" style="288" bestFit="1" customWidth="1"/>
    <col min="15114" max="15114" width="4.125" style="288" customWidth="1"/>
    <col min="15115" max="15115" width="8.5" style="288" customWidth="1"/>
    <col min="15116" max="15116" width="40" style="288" customWidth="1"/>
    <col min="15117" max="15117" width="6.375" style="288" customWidth="1"/>
    <col min="15118" max="15118" width="6.625" style="288" bestFit="1" customWidth="1"/>
    <col min="15119" max="15119" width="8.25" style="288" bestFit="1" customWidth="1"/>
    <col min="15120" max="15358" width="9" style="288"/>
    <col min="15359" max="15359" width="8.5" style="288" customWidth="1"/>
    <col min="15360" max="15360" width="40" style="288" customWidth="1"/>
    <col min="15361" max="15361" width="6.375" style="288" bestFit="1" customWidth="1"/>
    <col min="15362" max="15362" width="6.625" style="288" bestFit="1" customWidth="1"/>
    <col min="15363" max="15363" width="8.25" style="288" bestFit="1" customWidth="1"/>
    <col min="15364" max="15364" width="4.125" style="288" customWidth="1"/>
    <col min="15365" max="15365" width="8.5" style="288" customWidth="1"/>
    <col min="15366" max="15366" width="40" style="288" customWidth="1"/>
    <col min="15367" max="15367" width="6.375" style="288" customWidth="1"/>
    <col min="15368" max="15368" width="6.625" style="288" bestFit="1" customWidth="1"/>
    <col min="15369" max="15369" width="8.25" style="288" bestFit="1" customWidth="1"/>
    <col min="15370" max="15370" width="4.125" style="288" customWidth="1"/>
    <col min="15371" max="15371" width="8.5" style="288" customWidth="1"/>
    <col min="15372" max="15372" width="40" style="288" customWidth="1"/>
    <col min="15373" max="15373" width="6.375" style="288" customWidth="1"/>
    <col min="15374" max="15374" width="6.625" style="288" bestFit="1" customWidth="1"/>
    <col min="15375" max="15375" width="8.25" style="288" bestFit="1" customWidth="1"/>
    <col min="15376" max="15614" width="9" style="288"/>
    <col min="15615" max="15615" width="8.5" style="288" customWidth="1"/>
    <col min="15616" max="15616" width="40" style="288" customWidth="1"/>
    <col min="15617" max="15617" width="6.375" style="288" bestFit="1" customWidth="1"/>
    <col min="15618" max="15618" width="6.625" style="288" bestFit="1" customWidth="1"/>
    <col min="15619" max="15619" width="8.25" style="288" bestFit="1" customWidth="1"/>
    <col min="15620" max="15620" width="4.125" style="288" customWidth="1"/>
    <col min="15621" max="15621" width="8.5" style="288" customWidth="1"/>
    <col min="15622" max="15622" width="40" style="288" customWidth="1"/>
    <col min="15623" max="15623" width="6.375" style="288" customWidth="1"/>
    <col min="15624" max="15624" width="6.625" style="288" bestFit="1" customWidth="1"/>
    <col min="15625" max="15625" width="8.25" style="288" bestFit="1" customWidth="1"/>
    <col min="15626" max="15626" width="4.125" style="288" customWidth="1"/>
    <col min="15627" max="15627" width="8.5" style="288" customWidth="1"/>
    <col min="15628" max="15628" width="40" style="288" customWidth="1"/>
    <col min="15629" max="15629" width="6.375" style="288" customWidth="1"/>
    <col min="15630" max="15630" width="6.625" style="288" bestFit="1" customWidth="1"/>
    <col min="15631" max="15631" width="8.25" style="288" bestFit="1" customWidth="1"/>
    <col min="15632" max="15870" width="9" style="288"/>
    <col min="15871" max="15871" width="8.5" style="288" customWidth="1"/>
    <col min="15872" max="15872" width="40" style="288" customWidth="1"/>
    <col min="15873" max="15873" width="6.375" style="288" bestFit="1" customWidth="1"/>
    <col min="15874" max="15874" width="6.625" style="288" bestFit="1" customWidth="1"/>
    <col min="15875" max="15875" width="8.25" style="288" bestFit="1" customWidth="1"/>
    <col min="15876" max="15876" width="4.125" style="288" customWidth="1"/>
    <col min="15877" max="15877" width="8.5" style="288" customWidth="1"/>
    <col min="15878" max="15878" width="40" style="288" customWidth="1"/>
    <col min="15879" max="15879" width="6.375" style="288" customWidth="1"/>
    <col min="15880" max="15880" width="6.625" style="288" bestFit="1" customWidth="1"/>
    <col min="15881" max="15881" width="8.25" style="288" bestFit="1" customWidth="1"/>
    <col min="15882" max="15882" width="4.125" style="288" customWidth="1"/>
    <col min="15883" max="15883" width="8.5" style="288" customWidth="1"/>
    <col min="15884" max="15884" width="40" style="288" customWidth="1"/>
    <col min="15885" max="15885" width="6.375" style="288" customWidth="1"/>
    <col min="15886" max="15886" width="6.625" style="288" bestFit="1" customWidth="1"/>
    <col min="15887" max="15887" width="8.25" style="288" bestFit="1" customWidth="1"/>
    <col min="15888" max="16126" width="9" style="288"/>
    <col min="16127" max="16127" width="8.5" style="288" customWidth="1"/>
    <col min="16128" max="16128" width="40" style="288" customWidth="1"/>
    <col min="16129" max="16129" width="6.375" style="288" bestFit="1" customWidth="1"/>
    <col min="16130" max="16130" width="6.625" style="288" bestFit="1" customWidth="1"/>
    <col min="16131" max="16131" width="8.25" style="288" bestFit="1" customWidth="1"/>
    <col min="16132" max="16132" width="4.125" style="288" customWidth="1"/>
    <col min="16133" max="16133" width="8.5" style="288" customWidth="1"/>
    <col min="16134" max="16134" width="40" style="288" customWidth="1"/>
    <col min="16135" max="16135" width="6.375" style="288" customWidth="1"/>
    <col min="16136" max="16136" width="6.625" style="288" bestFit="1" customWidth="1"/>
    <col min="16137" max="16137" width="8.25" style="288" bestFit="1" customWidth="1"/>
    <col min="16138" max="16138" width="4.125" style="288" customWidth="1"/>
    <col min="16139" max="16139" width="8.5" style="288" customWidth="1"/>
    <col min="16140" max="16140" width="40" style="288" customWidth="1"/>
    <col min="16141" max="16141" width="6.375" style="288" customWidth="1"/>
    <col min="16142" max="16142" width="6.625" style="288" bestFit="1" customWidth="1"/>
    <col min="16143" max="16143" width="8.25" style="288" bestFit="1" customWidth="1"/>
    <col min="16144" max="16384" width="9" style="288"/>
  </cols>
  <sheetData>
    <row r="1" spans="1:19" ht="15" customHeight="1" x14ac:dyDescent="0.25">
      <c r="A1" s="275" t="s">
        <v>549</v>
      </c>
      <c r="B1" s="280"/>
      <c r="C1" s="281"/>
      <c r="D1" s="282"/>
      <c r="F1" s="288"/>
      <c r="G1" s="280"/>
      <c r="H1" s="286"/>
      <c r="I1" s="287"/>
      <c r="J1" s="283"/>
      <c r="K1" s="284"/>
      <c r="L1" s="280"/>
      <c r="M1" s="286"/>
      <c r="N1" s="287"/>
      <c r="O1" s="283"/>
      <c r="P1" s="284"/>
      <c r="Q1" s="280"/>
      <c r="R1" s="286"/>
      <c r="S1" s="287"/>
    </row>
    <row r="2" spans="1:19" s="199" customFormat="1" ht="15" customHeight="1" x14ac:dyDescent="0.2">
      <c r="A2" s="500" t="s">
        <v>585</v>
      </c>
    </row>
    <row r="3" spans="1:19" s="20" customFormat="1" ht="15" customHeight="1" x14ac:dyDescent="0.2">
      <c r="A3" s="335"/>
      <c r="B3" s="631" t="s">
        <v>327</v>
      </c>
      <c r="C3" s="631"/>
      <c r="D3" s="631"/>
      <c r="E3" s="289"/>
      <c r="F3" s="15"/>
      <c r="G3" s="631" t="s">
        <v>339</v>
      </c>
      <c r="H3" s="631"/>
      <c r="I3" s="631"/>
      <c r="J3" s="289"/>
      <c r="K3" s="15"/>
      <c r="L3" s="631" t="s">
        <v>325</v>
      </c>
      <c r="M3" s="631"/>
      <c r="N3" s="631"/>
      <c r="O3" s="289"/>
      <c r="P3" s="15"/>
      <c r="Q3" s="631" t="s">
        <v>324</v>
      </c>
      <c r="R3" s="631"/>
      <c r="S3" s="631"/>
    </row>
    <row r="4" spans="1:19" s="20" customFormat="1" ht="39.950000000000003" customHeight="1" x14ac:dyDescent="0.2">
      <c r="A4" s="15" t="s">
        <v>74</v>
      </c>
      <c r="B4" s="336" t="s">
        <v>40</v>
      </c>
      <c r="C4" s="17" t="s">
        <v>75</v>
      </c>
      <c r="D4" s="18" t="s">
        <v>38</v>
      </c>
      <c r="E4" s="19"/>
      <c r="F4" s="110" t="s">
        <v>74</v>
      </c>
      <c r="G4" s="336" t="s">
        <v>40</v>
      </c>
      <c r="H4" s="17" t="s">
        <v>75</v>
      </c>
      <c r="I4" s="18" t="s">
        <v>38</v>
      </c>
      <c r="J4" s="19"/>
      <c r="K4" s="110" t="s">
        <v>74</v>
      </c>
      <c r="L4" s="336" t="s">
        <v>40</v>
      </c>
      <c r="M4" s="17" t="s">
        <v>75</v>
      </c>
      <c r="N4" s="18" t="s">
        <v>38</v>
      </c>
      <c r="O4" s="19"/>
      <c r="P4" s="110" t="s">
        <v>74</v>
      </c>
      <c r="Q4" s="336" t="s">
        <v>40</v>
      </c>
      <c r="R4" s="17" t="s">
        <v>75</v>
      </c>
      <c r="S4" s="18" t="s">
        <v>38</v>
      </c>
    </row>
    <row r="5" spans="1:19" s="337" customFormat="1" ht="15" customHeight="1" x14ac:dyDescent="0.2">
      <c r="A5" s="299" t="s">
        <v>272</v>
      </c>
      <c r="B5" s="270"/>
      <c r="C5" s="113"/>
      <c r="D5" s="104"/>
      <c r="E5" s="113"/>
      <c r="F5" s="299" t="s">
        <v>272</v>
      </c>
      <c r="G5" s="270"/>
      <c r="H5" s="113"/>
      <c r="I5" s="104"/>
      <c r="J5" s="113"/>
      <c r="K5" s="299" t="s">
        <v>272</v>
      </c>
      <c r="L5" s="270"/>
      <c r="M5" s="113"/>
      <c r="N5" s="104"/>
      <c r="O5" s="113"/>
      <c r="P5" s="299" t="s">
        <v>272</v>
      </c>
      <c r="Q5" s="270"/>
      <c r="R5" s="113"/>
      <c r="S5" s="104"/>
    </row>
    <row r="6" spans="1:19" s="337" customFormat="1" ht="15" customHeight="1" x14ac:dyDescent="0.2">
      <c r="A6" s="249">
        <v>1</v>
      </c>
      <c r="B6" s="218" t="s">
        <v>340</v>
      </c>
      <c r="C6" s="88">
        <v>852</v>
      </c>
      <c r="D6" s="89">
        <v>61.605206073752697</v>
      </c>
      <c r="E6" s="279"/>
      <c r="F6" s="338">
        <v>1</v>
      </c>
      <c r="G6" s="218" t="s">
        <v>340</v>
      </c>
      <c r="H6" s="88">
        <v>785</v>
      </c>
      <c r="I6" s="89">
        <v>56.760665220535103</v>
      </c>
      <c r="J6" s="279"/>
      <c r="K6" s="339">
        <v>1</v>
      </c>
      <c r="L6" s="245" t="s">
        <v>303</v>
      </c>
      <c r="M6" s="340">
        <v>54</v>
      </c>
      <c r="N6" s="279">
        <v>3.9045553145336198</v>
      </c>
      <c r="O6" s="279"/>
      <c r="P6" s="339">
        <v>1</v>
      </c>
      <c r="Q6" s="245" t="s">
        <v>341</v>
      </c>
      <c r="R6" s="340">
        <v>50</v>
      </c>
      <c r="S6" s="279">
        <v>3.6153289949385399</v>
      </c>
    </row>
    <row r="7" spans="1:19" s="337" customFormat="1" ht="15" customHeight="1" x14ac:dyDescent="0.2">
      <c r="A7" s="249">
        <v>2</v>
      </c>
      <c r="B7" s="218" t="s">
        <v>330</v>
      </c>
      <c r="C7" s="88">
        <v>100</v>
      </c>
      <c r="D7" s="89">
        <v>7.2306579898770797</v>
      </c>
      <c r="E7" s="279"/>
      <c r="F7" s="338">
        <v>2</v>
      </c>
      <c r="G7" s="218" t="s">
        <v>330</v>
      </c>
      <c r="H7" s="88">
        <v>100</v>
      </c>
      <c r="I7" s="89">
        <v>7.2306579898770797</v>
      </c>
      <c r="J7" s="279"/>
      <c r="K7" s="339">
        <v>2</v>
      </c>
      <c r="L7" s="245" t="s">
        <v>310</v>
      </c>
      <c r="M7" s="340">
        <v>41</v>
      </c>
      <c r="N7" s="279">
        <v>2.9645697758496001</v>
      </c>
      <c r="O7" s="279"/>
      <c r="P7" s="339">
        <v>2</v>
      </c>
      <c r="Q7" s="245" t="s">
        <v>340</v>
      </c>
      <c r="R7" s="340">
        <v>41</v>
      </c>
      <c r="S7" s="279">
        <v>2.9645697758496001</v>
      </c>
    </row>
    <row r="8" spans="1:19" s="337" customFormat="1" ht="15" customHeight="1" x14ac:dyDescent="0.2">
      <c r="A8" s="249">
        <v>3</v>
      </c>
      <c r="B8" s="218" t="s">
        <v>303</v>
      </c>
      <c r="C8" s="88">
        <v>90</v>
      </c>
      <c r="D8" s="89">
        <v>6.5075921908893699</v>
      </c>
      <c r="E8" s="279"/>
      <c r="F8" s="338">
        <v>3</v>
      </c>
      <c r="G8" s="218" t="s">
        <v>342</v>
      </c>
      <c r="H8" s="88">
        <v>39</v>
      </c>
      <c r="I8" s="89">
        <v>2.8199566160520599</v>
      </c>
      <c r="J8" s="279"/>
      <c r="K8" s="339">
        <v>3</v>
      </c>
      <c r="L8" s="245" t="s">
        <v>335</v>
      </c>
      <c r="M8" s="340">
        <v>41</v>
      </c>
      <c r="N8" s="279">
        <v>2.9645697758496001</v>
      </c>
      <c r="O8" s="279"/>
      <c r="P8" s="339">
        <v>3</v>
      </c>
      <c r="Q8" s="245" t="s">
        <v>343</v>
      </c>
      <c r="R8" s="340">
        <v>29</v>
      </c>
      <c r="S8" s="279">
        <v>2.0968908170643501</v>
      </c>
    </row>
    <row r="9" spans="1:19" s="337" customFormat="1" ht="15" customHeight="1" x14ac:dyDescent="0.2">
      <c r="A9" s="249">
        <v>4</v>
      </c>
      <c r="B9" s="218" t="s">
        <v>344</v>
      </c>
      <c r="C9" s="88">
        <v>67</v>
      </c>
      <c r="D9" s="89">
        <v>4.8445408532176399</v>
      </c>
      <c r="E9" s="279"/>
      <c r="F9" s="338">
        <v>4</v>
      </c>
      <c r="G9" s="218" t="s">
        <v>345</v>
      </c>
      <c r="H9" s="88">
        <v>38</v>
      </c>
      <c r="I9" s="89">
        <v>2.7476500361532898</v>
      </c>
      <c r="J9" s="279"/>
      <c r="K9" s="339">
        <v>4</v>
      </c>
      <c r="L9" s="245" t="s">
        <v>295</v>
      </c>
      <c r="M9" s="340">
        <v>34</v>
      </c>
      <c r="N9" s="279">
        <v>2.4584237165582099</v>
      </c>
      <c r="O9" s="279"/>
      <c r="P9" s="339">
        <v>4</v>
      </c>
      <c r="Q9" s="245" t="s">
        <v>346</v>
      </c>
      <c r="R9" s="340">
        <v>26</v>
      </c>
      <c r="S9" s="279">
        <v>1.87997107736804</v>
      </c>
    </row>
    <row r="10" spans="1:19" s="337" customFormat="1" ht="15" customHeight="1" x14ac:dyDescent="0.2">
      <c r="A10" s="249">
        <v>5</v>
      </c>
      <c r="B10" s="218" t="s">
        <v>345</v>
      </c>
      <c r="C10" s="88">
        <v>55</v>
      </c>
      <c r="D10" s="89">
        <v>3.9768618944323899</v>
      </c>
      <c r="E10" s="279"/>
      <c r="F10" s="338">
        <v>5</v>
      </c>
      <c r="G10" s="218" t="s">
        <v>347</v>
      </c>
      <c r="H10" s="88">
        <v>35</v>
      </c>
      <c r="I10" s="89">
        <v>2.53073029645698</v>
      </c>
      <c r="J10" s="279"/>
      <c r="K10" s="339">
        <v>5</v>
      </c>
      <c r="L10" s="245" t="s">
        <v>348</v>
      </c>
      <c r="M10" s="340">
        <v>33</v>
      </c>
      <c r="N10" s="279">
        <v>2.3861171366594398</v>
      </c>
      <c r="O10" s="279"/>
      <c r="P10" s="339">
        <v>5</v>
      </c>
      <c r="Q10" s="245" t="s">
        <v>349</v>
      </c>
      <c r="R10" s="340">
        <v>19</v>
      </c>
      <c r="S10" s="279">
        <v>1.37382501807665</v>
      </c>
    </row>
    <row r="11" spans="1:19" s="337" customFormat="1" ht="15" customHeight="1" x14ac:dyDescent="0.2">
      <c r="A11" s="249">
        <v>6</v>
      </c>
      <c r="B11" s="218" t="s">
        <v>341</v>
      </c>
      <c r="C11" s="88">
        <v>50</v>
      </c>
      <c r="D11" s="89">
        <v>3.6153289949385399</v>
      </c>
      <c r="E11" s="279"/>
      <c r="F11" s="338">
        <v>6</v>
      </c>
      <c r="G11" s="218" t="s">
        <v>127</v>
      </c>
      <c r="H11" s="88">
        <v>30</v>
      </c>
      <c r="I11" s="89">
        <v>2.1691973969631202</v>
      </c>
      <c r="J11" s="279"/>
      <c r="K11" s="339">
        <v>6</v>
      </c>
      <c r="L11" s="245" t="s">
        <v>301</v>
      </c>
      <c r="M11" s="340">
        <v>31</v>
      </c>
      <c r="N11" s="279">
        <v>2.2415039768618898</v>
      </c>
      <c r="O11" s="279"/>
      <c r="P11" s="339">
        <v>6</v>
      </c>
      <c r="Q11" s="245" t="s">
        <v>350</v>
      </c>
      <c r="R11" s="340">
        <v>17</v>
      </c>
      <c r="S11" s="279">
        <v>1.2292118582791001</v>
      </c>
    </row>
    <row r="12" spans="1:19" s="337" customFormat="1" ht="15" customHeight="1" x14ac:dyDescent="0.2">
      <c r="A12" s="249">
        <v>7</v>
      </c>
      <c r="B12" s="218" t="s">
        <v>295</v>
      </c>
      <c r="C12" s="88">
        <v>49</v>
      </c>
      <c r="D12" s="89">
        <v>3.5430224150397698</v>
      </c>
      <c r="E12" s="279"/>
      <c r="F12" s="338">
        <v>7</v>
      </c>
      <c r="G12" s="218" t="s">
        <v>351</v>
      </c>
      <c r="H12" s="88">
        <v>29</v>
      </c>
      <c r="I12" s="89">
        <v>2.0968908170643501</v>
      </c>
      <c r="J12" s="279"/>
      <c r="K12" s="339">
        <v>7</v>
      </c>
      <c r="L12" s="245" t="s">
        <v>319</v>
      </c>
      <c r="M12" s="340">
        <v>30</v>
      </c>
      <c r="N12" s="279">
        <v>2.1691973969631202</v>
      </c>
      <c r="O12" s="279"/>
      <c r="P12" s="339">
        <v>7</v>
      </c>
      <c r="Q12" s="245" t="s">
        <v>344</v>
      </c>
      <c r="R12" s="340">
        <v>17</v>
      </c>
      <c r="S12" s="279">
        <v>1.2292118582791001</v>
      </c>
    </row>
    <row r="13" spans="1:19" s="337" customFormat="1" ht="15" customHeight="1" x14ac:dyDescent="0.2">
      <c r="A13" s="249">
        <v>8</v>
      </c>
      <c r="B13" s="218" t="s">
        <v>319</v>
      </c>
      <c r="C13" s="88">
        <v>44</v>
      </c>
      <c r="D13" s="89">
        <v>3.1814895155459202</v>
      </c>
      <c r="E13" s="279"/>
      <c r="F13" s="338">
        <v>8</v>
      </c>
      <c r="G13" s="218" t="s">
        <v>344</v>
      </c>
      <c r="H13" s="88">
        <v>27</v>
      </c>
      <c r="I13" s="89">
        <v>1.9522776572668099</v>
      </c>
      <c r="J13" s="279"/>
      <c r="K13" s="339">
        <v>8</v>
      </c>
      <c r="L13" s="245" t="s">
        <v>340</v>
      </c>
      <c r="M13" s="340">
        <v>26</v>
      </c>
      <c r="N13" s="279">
        <v>1.87997107736804</v>
      </c>
      <c r="O13" s="279"/>
      <c r="P13" s="339">
        <v>8</v>
      </c>
      <c r="Q13" s="245" t="s">
        <v>352</v>
      </c>
      <c r="R13" s="340">
        <v>14</v>
      </c>
      <c r="S13" s="279">
        <v>1.01229211858279</v>
      </c>
    </row>
    <row r="14" spans="1:19" s="337" customFormat="1" ht="15" customHeight="1" x14ac:dyDescent="0.2">
      <c r="A14" s="249">
        <v>9</v>
      </c>
      <c r="B14" s="218" t="s">
        <v>350</v>
      </c>
      <c r="C14" s="88">
        <v>43</v>
      </c>
      <c r="D14" s="89">
        <v>3.1091829356471399</v>
      </c>
      <c r="E14" s="279"/>
      <c r="F14" s="338">
        <v>9</v>
      </c>
      <c r="G14" s="218" t="s">
        <v>309</v>
      </c>
      <c r="H14" s="88">
        <v>27</v>
      </c>
      <c r="I14" s="89">
        <v>1.9522776572668099</v>
      </c>
      <c r="J14" s="279"/>
      <c r="K14" s="339">
        <v>9</v>
      </c>
      <c r="L14" s="245" t="s">
        <v>353</v>
      </c>
      <c r="M14" s="340">
        <v>26</v>
      </c>
      <c r="N14" s="279">
        <v>1.87997107736804</v>
      </c>
      <c r="O14" s="279"/>
      <c r="P14" s="339">
        <v>9</v>
      </c>
      <c r="Q14" s="245" t="s">
        <v>295</v>
      </c>
      <c r="R14" s="340">
        <v>13</v>
      </c>
      <c r="S14" s="279">
        <v>0.93998553868402002</v>
      </c>
    </row>
    <row r="15" spans="1:19" s="337" customFormat="1" ht="15" customHeight="1" x14ac:dyDescent="0.2">
      <c r="A15" s="249">
        <v>10</v>
      </c>
      <c r="B15" s="218" t="s">
        <v>301</v>
      </c>
      <c r="C15" s="88">
        <v>43</v>
      </c>
      <c r="D15" s="89">
        <v>3.1091829356471399</v>
      </c>
      <c r="E15" s="279"/>
      <c r="F15" s="338">
        <v>10</v>
      </c>
      <c r="G15" s="218" t="s">
        <v>331</v>
      </c>
      <c r="H15" s="88">
        <v>26</v>
      </c>
      <c r="I15" s="89">
        <v>1.87997107736804</v>
      </c>
      <c r="J15" s="279"/>
      <c r="K15" s="339">
        <v>10</v>
      </c>
      <c r="L15" s="245" t="s">
        <v>293</v>
      </c>
      <c r="M15" s="340">
        <v>25</v>
      </c>
      <c r="N15" s="279">
        <v>1.8076644974692699</v>
      </c>
      <c r="O15" s="279"/>
      <c r="P15" s="339">
        <v>10</v>
      </c>
      <c r="Q15" s="245" t="s">
        <v>354</v>
      </c>
      <c r="R15" s="340">
        <v>12</v>
      </c>
      <c r="S15" s="279">
        <v>0.86767895878525003</v>
      </c>
    </row>
    <row r="16" spans="1:19" s="20" customFormat="1" ht="15" customHeight="1" x14ac:dyDescent="0.2">
      <c r="A16" s="303"/>
      <c r="B16" s="68" t="s">
        <v>329</v>
      </c>
      <c r="C16" s="304">
        <v>1383</v>
      </c>
      <c r="D16" s="240" t="s">
        <v>70</v>
      </c>
      <c r="E16" s="305"/>
      <c r="F16" s="303"/>
      <c r="G16" s="68" t="s">
        <v>329</v>
      </c>
      <c r="H16" s="304">
        <v>1383</v>
      </c>
      <c r="I16" s="240" t="s">
        <v>70</v>
      </c>
      <c r="J16" s="239"/>
      <c r="K16" s="303"/>
      <c r="L16" s="68" t="s">
        <v>329</v>
      </c>
      <c r="M16" s="304">
        <v>1383</v>
      </c>
      <c r="N16" s="240" t="s">
        <v>70</v>
      </c>
      <c r="O16" s="239"/>
      <c r="P16" s="303"/>
      <c r="Q16" s="68" t="s">
        <v>329</v>
      </c>
      <c r="R16" s="304">
        <v>1383</v>
      </c>
      <c r="S16" s="240" t="s">
        <v>70</v>
      </c>
    </row>
    <row r="17" spans="1:19" s="298" customFormat="1" ht="15" customHeight="1" x14ac:dyDescent="0.2">
      <c r="A17" s="236"/>
      <c r="B17" s="292"/>
      <c r="C17" s="293"/>
      <c r="D17" s="294"/>
      <c r="E17" s="295"/>
      <c r="F17" s="296"/>
      <c r="G17" s="292"/>
      <c r="H17" s="297"/>
      <c r="I17" s="295"/>
      <c r="J17" s="295"/>
      <c r="K17" s="236"/>
      <c r="L17" s="292"/>
      <c r="M17" s="297"/>
      <c r="N17" s="295"/>
      <c r="O17" s="295"/>
      <c r="P17" s="236"/>
      <c r="Q17" s="292"/>
      <c r="R17" s="297"/>
      <c r="S17" s="295"/>
    </row>
    <row r="18" spans="1:19" s="298" customFormat="1" ht="15" customHeight="1" x14ac:dyDescent="0.2">
      <c r="A18" s="299" t="s">
        <v>273</v>
      </c>
      <c r="B18" s="292"/>
      <c r="C18" s="293"/>
      <c r="D18" s="294"/>
      <c r="E18" s="295"/>
      <c r="F18" s="299" t="s">
        <v>273</v>
      </c>
      <c r="G18" s="292"/>
      <c r="H18" s="297"/>
      <c r="I18" s="295"/>
      <c r="J18" s="295"/>
      <c r="K18" s="299" t="s">
        <v>273</v>
      </c>
      <c r="L18" s="292"/>
      <c r="M18" s="297"/>
      <c r="N18" s="295"/>
      <c r="O18" s="295"/>
      <c r="P18" s="299" t="s">
        <v>273</v>
      </c>
      <c r="Q18" s="292"/>
      <c r="R18" s="297"/>
      <c r="S18" s="295"/>
    </row>
    <row r="19" spans="1:19" s="337" customFormat="1" ht="15" customHeight="1" x14ac:dyDescent="0.2">
      <c r="A19" s="249">
        <v>1</v>
      </c>
      <c r="B19" s="218" t="s">
        <v>309</v>
      </c>
      <c r="C19" s="88">
        <v>365</v>
      </c>
      <c r="D19" s="89">
        <v>32.853285328532898</v>
      </c>
      <c r="E19" s="279"/>
      <c r="F19" s="338">
        <v>1</v>
      </c>
      <c r="G19" s="218" t="s">
        <v>309</v>
      </c>
      <c r="H19" s="88">
        <v>365</v>
      </c>
      <c r="I19" s="89">
        <v>32.853285328532898</v>
      </c>
      <c r="J19" s="279"/>
      <c r="K19" s="339">
        <v>1</v>
      </c>
      <c r="L19" s="245" t="s">
        <v>335</v>
      </c>
      <c r="M19" s="340">
        <v>262</v>
      </c>
      <c r="N19" s="279">
        <v>23.582358235823602</v>
      </c>
      <c r="O19" s="279"/>
      <c r="P19" s="339">
        <v>1</v>
      </c>
      <c r="Q19" s="245" t="s">
        <v>298</v>
      </c>
      <c r="R19" s="340">
        <v>196</v>
      </c>
      <c r="S19" s="279">
        <v>17.641764176417599</v>
      </c>
    </row>
    <row r="20" spans="1:19" s="337" customFormat="1" ht="15" customHeight="1" x14ac:dyDescent="0.2">
      <c r="A20" s="249">
        <v>2</v>
      </c>
      <c r="B20" s="218" t="s">
        <v>335</v>
      </c>
      <c r="C20" s="88">
        <v>262</v>
      </c>
      <c r="D20" s="89">
        <v>23.582358235823602</v>
      </c>
      <c r="E20" s="279"/>
      <c r="F20" s="338">
        <v>2</v>
      </c>
      <c r="G20" s="218" t="s">
        <v>347</v>
      </c>
      <c r="H20" s="88">
        <v>226</v>
      </c>
      <c r="I20" s="89">
        <v>20.342034203420301</v>
      </c>
      <c r="J20" s="279"/>
      <c r="K20" s="339">
        <v>2</v>
      </c>
      <c r="L20" s="245" t="s">
        <v>348</v>
      </c>
      <c r="M20" s="340">
        <v>245</v>
      </c>
      <c r="N20" s="279">
        <v>22.052205220522101</v>
      </c>
      <c r="O20" s="279"/>
      <c r="P20" s="339">
        <v>2</v>
      </c>
      <c r="Q20" s="245" t="s">
        <v>343</v>
      </c>
      <c r="R20" s="340">
        <v>129</v>
      </c>
      <c r="S20" s="279">
        <v>11.6111611161116</v>
      </c>
    </row>
    <row r="21" spans="1:19" s="337" customFormat="1" ht="15" customHeight="1" x14ac:dyDescent="0.2">
      <c r="A21" s="249">
        <v>3</v>
      </c>
      <c r="B21" s="218" t="s">
        <v>348</v>
      </c>
      <c r="C21" s="88">
        <v>245</v>
      </c>
      <c r="D21" s="89">
        <v>22.052205220522101</v>
      </c>
      <c r="E21" s="279"/>
      <c r="F21" s="338">
        <v>3</v>
      </c>
      <c r="G21" s="218" t="s">
        <v>130</v>
      </c>
      <c r="H21" s="88">
        <v>56</v>
      </c>
      <c r="I21" s="89">
        <v>5.0405040504050396</v>
      </c>
      <c r="J21" s="279"/>
      <c r="K21" s="339">
        <v>3</v>
      </c>
      <c r="L21" s="245" t="s">
        <v>364</v>
      </c>
      <c r="M21" s="340">
        <v>107</v>
      </c>
      <c r="N21" s="279">
        <v>9.63096309630963</v>
      </c>
      <c r="O21" s="279"/>
      <c r="P21" s="339">
        <v>3</v>
      </c>
      <c r="Q21" s="245" t="s">
        <v>300</v>
      </c>
      <c r="R21" s="340">
        <v>125</v>
      </c>
      <c r="S21" s="279">
        <v>11.2511251125113</v>
      </c>
    </row>
    <row r="22" spans="1:19" s="337" customFormat="1" ht="15" customHeight="1" x14ac:dyDescent="0.2">
      <c r="A22" s="249">
        <v>4</v>
      </c>
      <c r="B22" s="218" t="s">
        <v>347</v>
      </c>
      <c r="C22" s="88">
        <v>227</v>
      </c>
      <c r="D22" s="89">
        <v>20.432043204320401</v>
      </c>
      <c r="E22" s="279"/>
      <c r="F22" s="338">
        <v>4</v>
      </c>
      <c r="G22" s="218" t="s">
        <v>330</v>
      </c>
      <c r="H22" s="88">
        <v>48</v>
      </c>
      <c r="I22" s="89">
        <v>4.3204320432043204</v>
      </c>
      <c r="J22" s="279"/>
      <c r="K22" s="339">
        <v>4</v>
      </c>
      <c r="L22" s="245" t="s">
        <v>355</v>
      </c>
      <c r="M22" s="340">
        <v>100</v>
      </c>
      <c r="N22" s="279">
        <v>9.0009000900090008</v>
      </c>
      <c r="O22" s="279"/>
      <c r="P22" s="339">
        <v>4</v>
      </c>
      <c r="Q22" s="245" t="s">
        <v>311</v>
      </c>
      <c r="R22" s="340">
        <v>122</v>
      </c>
      <c r="S22" s="279">
        <v>10.981098109811001</v>
      </c>
    </row>
    <row r="23" spans="1:19" s="337" customFormat="1" ht="15" customHeight="1" x14ac:dyDescent="0.2">
      <c r="A23" s="249">
        <v>5</v>
      </c>
      <c r="B23" s="218" t="s">
        <v>298</v>
      </c>
      <c r="C23" s="88">
        <v>222</v>
      </c>
      <c r="D23" s="89">
        <v>19.981998199820001</v>
      </c>
      <c r="E23" s="279"/>
      <c r="F23" s="338">
        <v>5</v>
      </c>
      <c r="G23" s="218" t="s">
        <v>370</v>
      </c>
      <c r="H23" s="88">
        <v>32</v>
      </c>
      <c r="I23" s="89">
        <v>2.8802880288028798</v>
      </c>
      <c r="J23" s="279"/>
      <c r="K23" s="339">
        <v>5</v>
      </c>
      <c r="L23" s="245" t="s">
        <v>358</v>
      </c>
      <c r="M23" s="340">
        <v>76</v>
      </c>
      <c r="N23" s="279">
        <v>6.8406840684068397</v>
      </c>
      <c r="O23" s="279"/>
      <c r="P23" s="339">
        <v>5</v>
      </c>
      <c r="Q23" s="245" t="s">
        <v>354</v>
      </c>
      <c r="R23" s="340">
        <v>121</v>
      </c>
      <c r="S23" s="279">
        <v>10.891089108910901</v>
      </c>
    </row>
    <row r="24" spans="1:19" s="337" customFormat="1" ht="15" customHeight="1" x14ac:dyDescent="0.2">
      <c r="A24" s="249">
        <v>6</v>
      </c>
      <c r="B24" s="218" t="s">
        <v>300</v>
      </c>
      <c r="C24" s="88">
        <v>146</v>
      </c>
      <c r="D24" s="89">
        <v>13.1413141314131</v>
      </c>
      <c r="E24" s="279"/>
      <c r="F24" s="338">
        <v>6</v>
      </c>
      <c r="G24" s="218" t="s">
        <v>331</v>
      </c>
      <c r="H24" s="88">
        <v>31</v>
      </c>
      <c r="I24" s="89">
        <v>2.7902790279027898</v>
      </c>
      <c r="J24" s="279"/>
      <c r="K24" s="339">
        <v>6</v>
      </c>
      <c r="L24" s="245" t="s">
        <v>303</v>
      </c>
      <c r="M24" s="340">
        <v>52</v>
      </c>
      <c r="N24" s="279">
        <v>4.6804680468046804</v>
      </c>
      <c r="O24" s="279"/>
      <c r="P24" s="339">
        <v>6</v>
      </c>
      <c r="Q24" s="245" t="s">
        <v>357</v>
      </c>
      <c r="R24" s="340">
        <v>119</v>
      </c>
      <c r="S24" s="279">
        <v>10.711071107110699</v>
      </c>
    </row>
    <row r="25" spans="1:19" s="337" customFormat="1" ht="15" customHeight="1" x14ac:dyDescent="0.2">
      <c r="A25" s="249">
        <v>7</v>
      </c>
      <c r="B25" s="218" t="s">
        <v>343</v>
      </c>
      <c r="C25" s="88">
        <v>140</v>
      </c>
      <c r="D25" s="89">
        <v>12.601260126012599</v>
      </c>
      <c r="E25" s="279"/>
      <c r="F25" s="338">
        <v>7</v>
      </c>
      <c r="G25" s="218" t="s">
        <v>340</v>
      </c>
      <c r="H25" s="88">
        <v>31</v>
      </c>
      <c r="I25" s="89">
        <v>2.7902790279027898</v>
      </c>
      <c r="J25" s="279"/>
      <c r="K25" s="339">
        <v>7</v>
      </c>
      <c r="L25" s="245" t="s">
        <v>353</v>
      </c>
      <c r="M25" s="340">
        <v>39</v>
      </c>
      <c r="N25" s="279">
        <v>3.5103510351035099</v>
      </c>
      <c r="O25" s="279"/>
      <c r="P25" s="339">
        <v>7</v>
      </c>
      <c r="Q25" s="245" t="s">
        <v>346</v>
      </c>
      <c r="R25" s="340">
        <v>98</v>
      </c>
      <c r="S25" s="279">
        <v>8.8208820882088208</v>
      </c>
    </row>
    <row r="26" spans="1:19" s="337" customFormat="1" ht="15" customHeight="1" x14ac:dyDescent="0.2">
      <c r="A26" s="249">
        <v>8</v>
      </c>
      <c r="B26" s="218" t="s">
        <v>311</v>
      </c>
      <c r="C26" s="88">
        <v>131</v>
      </c>
      <c r="D26" s="89">
        <v>11.791179117911801</v>
      </c>
      <c r="E26" s="279"/>
      <c r="F26" s="338">
        <v>8</v>
      </c>
      <c r="G26" s="218" t="s">
        <v>366</v>
      </c>
      <c r="H26" s="88">
        <v>29</v>
      </c>
      <c r="I26" s="89">
        <v>2.6102610261026098</v>
      </c>
      <c r="J26" s="279"/>
      <c r="K26" s="339">
        <v>8</v>
      </c>
      <c r="L26" s="245" t="s">
        <v>310</v>
      </c>
      <c r="M26" s="340">
        <v>37</v>
      </c>
      <c r="N26" s="279">
        <v>3.3303330333033299</v>
      </c>
      <c r="O26" s="279"/>
      <c r="P26" s="339">
        <v>8</v>
      </c>
      <c r="Q26" s="245" t="s">
        <v>371</v>
      </c>
      <c r="R26" s="340">
        <v>94</v>
      </c>
      <c r="S26" s="279">
        <v>8.4608460846084608</v>
      </c>
    </row>
    <row r="27" spans="1:19" s="337" customFormat="1" ht="15" customHeight="1" x14ac:dyDescent="0.2">
      <c r="A27" s="249">
        <v>9</v>
      </c>
      <c r="B27" s="218" t="s">
        <v>357</v>
      </c>
      <c r="C27" s="88">
        <v>126</v>
      </c>
      <c r="D27" s="89">
        <v>11.3411341134113</v>
      </c>
      <c r="E27" s="279"/>
      <c r="F27" s="338">
        <v>9</v>
      </c>
      <c r="G27" s="218" t="s">
        <v>356</v>
      </c>
      <c r="H27" s="88">
        <v>25</v>
      </c>
      <c r="I27" s="89">
        <v>2.2502250225022502</v>
      </c>
      <c r="J27" s="279"/>
      <c r="K27" s="339">
        <v>9</v>
      </c>
      <c r="L27" s="245" t="s">
        <v>372</v>
      </c>
      <c r="M27" s="340">
        <v>32</v>
      </c>
      <c r="N27" s="279">
        <v>2.8802880288028798</v>
      </c>
      <c r="O27" s="279"/>
      <c r="P27" s="339">
        <v>9</v>
      </c>
      <c r="Q27" s="245" t="s">
        <v>361</v>
      </c>
      <c r="R27" s="340">
        <v>82</v>
      </c>
      <c r="S27" s="279">
        <v>7.3807380738073798</v>
      </c>
    </row>
    <row r="28" spans="1:19" s="337" customFormat="1" ht="15" customHeight="1" x14ac:dyDescent="0.2">
      <c r="A28" s="249">
        <v>10</v>
      </c>
      <c r="B28" s="218" t="s">
        <v>354</v>
      </c>
      <c r="C28" s="88">
        <v>121</v>
      </c>
      <c r="D28" s="89">
        <v>10.891089108910901</v>
      </c>
      <c r="E28" s="279"/>
      <c r="F28" s="338">
        <v>10</v>
      </c>
      <c r="G28" s="218" t="s">
        <v>127</v>
      </c>
      <c r="H28" s="88">
        <v>21</v>
      </c>
      <c r="I28" s="89">
        <v>1.89018901890189</v>
      </c>
      <c r="J28" s="279"/>
      <c r="K28" s="339">
        <v>10</v>
      </c>
      <c r="L28" s="245" t="s">
        <v>298</v>
      </c>
      <c r="M28" s="340">
        <v>25</v>
      </c>
      <c r="N28" s="279">
        <v>2.2502250225022502</v>
      </c>
      <c r="O28" s="279"/>
      <c r="P28" s="339">
        <v>10</v>
      </c>
      <c r="Q28" s="245" t="s">
        <v>373</v>
      </c>
      <c r="R28" s="340">
        <v>65</v>
      </c>
      <c r="S28" s="279">
        <v>5.8505850585058496</v>
      </c>
    </row>
    <row r="29" spans="1:19" s="337" customFormat="1" ht="15" customHeight="1" x14ac:dyDescent="0.2">
      <c r="A29" s="249">
        <v>11</v>
      </c>
      <c r="B29" s="218" t="s">
        <v>364</v>
      </c>
      <c r="C29" s="88">
        <v>109</v>
      </c>
      <c r="D29" s="89">
        <v>9.81098109810981</v>
      </c>
      <c r="E29" s="279"/>
      <c r="F29" s="338">
        <v>11</v>
      </c>
      <c r="G29" s="218" t="s">
        <v>350</v>
      </c>
      <c r="H29" s="88">
        <v>20</v>
      </c>
      <c r="I29" s="89">
        <v>1.8001800180017999</v>
      </c>
      <c r="J29" s="279"/>
      <c r="K29" s="339">
        <v>11</v>
      </c>
      <c r="L29" s="245" t="s">
        <v>295</v>
      </c>
      <c r="M29" s="340">
        <v>24</v>
      </c>
      <c r="N29" s="279">
        <v>2.1602160216021602</v>
      </c>
      <c r="O29" s="279"/>
      <c r="P29" s="339">
        <v>11</v>
      </c>
      <c r="Q29" s="245" t="s">
        <v>352</v>
      </c>
      <c r="R29" s="340">
        <v>47</v>
      </c>
      <c r="S29" s="279">
        <v>4.2304230423042304</v>
      </c>
    </row>
    <row r="30" spans="1:19" s="337" customFormat="1" ht="15" customHeight="1" x14ac:dyDescent="0.2">
      <c r="A30" s="249">
        <v>12</v>
      </c>
      <c r="B30" s="218" t="s">
        <v>355</v>
      </c>
      <c r="C30" s="88">
        <v>101</v>
      </c>
      <c r="D30" s="89">
        <v>9.0909090909090899</v>
      </c>
      <c r="E30" s="279"/>
      <c r="F30" s="338">
        <v>12</v>
      </c>
      <c r="G30" s="218" t="s">
        <v>351</v>
      </c>
      <c r="H30" s="88">
        <v>20</v>
      </c>
      <c r="I30" s="89">
        <v>1.8001800180017999</v>
      </c>
      <c r="J30" s="279"/>
      <c r="K30" s="339">
        <v>12</v>
      </c>
      <c r="L30" s="245" t="s">
        <v>300</v>
      </c>
      <c r="M30" s="340">
        <v>21</v>
      </c>
      <c r="N30" s="279">
        <v>1.89018901890189</v>
      </c>
      <c r="O30" s="279"/>
      <c r="P30" s="339">
        <v>12</v>
      </c>
      <c r="Q30" s="245" t="s">
        <v>349</v>
      </c>
      <c r="R30" s="340">
        <v>37</v>
      </c>
      <c r="S30" s="279">
        <v>3.3303330333033299</v>
      </c>
    </row>
    <row r="31" spans="1:19" s="337" customFormat="1" ht="15" customHeight="1" x14ac:dyDescent="0.2">
      <c r="A31" s="249">
        <v>13</v>
      </c>
      <c r="B31" s="218" t="s">
        <v>346</v>
      </c>
      <c r="C31" s="88">
        <v>99</v>
      </c>
      <c r="D31" s="89">
        <v>8.9108910891089099</v>
      </c>
      <c r="E31" s="279"/>
      <c r="F31" s="338">
        <v>13</v>
      </c>
      <c r="G31" s="218" t="s">
        <v>303</v>
      </c>
      <c r="H31" s="88">
        <v>19</v>
      </c>
      <c r="I31" s="89">
        <v>1.7101710171017099</v>
      </c>
      <c r="J31" s="279"/>
      <c r="K31" s="339">
        <v>13</v>
      </c>
      <c r="L31" s="245" t="s">
        <v>301</v>
      </c>
      <c r="M31" s="340">
        <v>21</v>
      </c>
      <c r="N31" s="279">
        <v>1.89018901890189</v>
      </c>
      <c r="O31" s="279"/>
      <c r="P31" s="339">
        <v>13</v>
      </c>
      <c r="Q31" s="245" t="s">
        <v>374</v>
      </c>
      <c r="R31" s="340">
        <v>30</v>
      </c>
      <c r="S31" s="279">
        <v>2.7002700270026998</v>
      </c>
    </row>
    <row r="32" spans="1:19" s="337" customFormat="1" ht="15" customHeight="1" x14ac:dyDescent="0.2">
      <c r="A32" s="249">
        <v>14</v>
      </c>
      <c r="B32" s="218" t="s">
        <v>371</v>
      </c>
      <c r="C32" s="88">
        <v>94</v>
      </c>
      <c r="D32" s="89">
        <v>8.4608460846084608</v>
      </c>
      <c r="E32" s="279"/>
      <c r="F32" s="338">
        <v>14</v>
      </c>
      <c r="G32" s="218" t="s">
        <v>342</v>
      </c>
      <c r="H32" s="88">
        <v>15</v>
      </c>
      <c r="I32" s="89">
        <v>1.3501350135013499</v>
      </c>
      <c r="J32" s="279"/>
      <c r="K32" s="339">
        <v>14</v>
      </c>
      <c r="L32" s="245" t="s">
        <v>319</v>
      </c>
      <c r="M32" s="340">
        <v>20</v>
      </c>
      <c r="N32" s="279">
        <v>1.8001800180017999</v>
      </c>
      <c r="O32" s="279"/>
      <c r="P32" s="339">
        <v>14</v>
      </c>
      <c r="Q32" s="245" t="s">
        <v>375</v>
      </c>
      <c r="R32" s="340">
        <v>26</v>
      </c>
      <c r="S32" s="279">
        <v>2.3402340234023402</v>
      </c>
    </row>
    <row r="33" spans="1:19" s="337" customFormat="1" ht="15" customHeight="1" x14ac:dyDescent="0.2">
      <c r="A33" s="249">
        <v>15</v>
      </c>
      <c r="B33" s="218" t="s">
        <v>361</v>
      </c>
      <c r="C33" s="88">
        <v>92</v>
      </c>
      <c r="D33" s="89">
        <v>8.2808280828082808</v>
      </c>
      <c r="E33" s="279"/>
      <c r="F33" s="338">
        <v>15</v>
      </c>
      <c r="G33" s="218" t="s">
        <v>376</v>
      </c>
      <c r="H33" s="88">
        <v>13</v>
      </c>
      <c r="I33" s="89">
        <v>1.1701170117011701</v>
      </c>
      <c r="J33" s="279"/>
      <c r="K33" s="339">
        <v>15</v>
      </c>
      <c r="L33" s="245" t="s">
        <v>302</v>
      </c>
      <c r="M33" s="340">
        <v>19</v>
      </c>
      <c r="N33" s="279">
        <v>1.7101710171017099</v>
      </c>
      <c r="O33" s="279"/>
      <c r="P33" s="339">
        <v>15</v>
      </c>
      <c r="Q33" s="245" t="s">
        <v>341</v>
      </c>
      <c r="R33" s="340">
        <v>25</v>
      </c>
      <c r="S33" s="279">
        <v>2.2502250225022502</v>
      </c>
    </row>
    <row r="34" spans="1:19" s="337" customFormat="1" ht="15" customHeight="1" x14ac:dyDescent="0.2">
      <c r="A34" s="249">
        <v>16</v>
      </c>
      <c r="B34" s="218" t="s">
        <v>303</v>
      </c>
      <c r="C34" s="88">
        <v>86</v>
      </c>
      <c r="D34" s="89">
        <v>7.7407740774077398</v>
      </c>
      <c r="E34" s="279"/>
      <c r="F34" s="338">
        <v>16</v>
      </c>
      <c r="G34" s="218" t="s">
        <v>345</v>
      </c>
      <c r="H34" s="88">
        <v>10</v>
      </c>
      <c r="I34" s="89">
        <v>0.90009000900089997</v>
      </c>
      <c r="J34" s="279"/>
      <c r="K34" s="339">
        <v>16</v>
      </c>
      <c r="L34" s="245" t="s">
        <v>293</v>
      </c>
      <c r="M34" s="340">
        <v>15</v>
      </c>
      <c r="N34" s="279">
        <v>1.3501350135013499</v>
      </c>
      <c r="O34" s="279"/>
      <c r="P34" s="339">
        <v>16</v>
      </c>
      <c r="Q34" s="245" t="s">
        <v>377</v>
      </c>
      <c r="R34" s="340">
        <v>23</v>
      </c>
      <c r="S34" s="279">
        <v>2.0702070207020702</v>
      </c>
    </row>
    <row r="35" spans="1:19" s="337" customFormat="1" ht="15" customHeight="1" x14ac:dyDescent="0.2">
      <c r="A35" s="249">
        <v>17</v>
      </c>
      <c r="B35" s="218" t="s">
        <v>358</v>
      </c>
      <c r="C35" s="88">
        <v>77</v>
      </c>
      <c r="D35" s="89">
        <v>6.9306930693069297</v>
      </c>
      <c r="E35" s="279"/>
      <c r="F35" s="338">
        <v>17</v>
      </c>
      <c r="G35" s="218" t="s">
        <v>363</v>
      </c>
      <c r="H35" s="88">
        <v>8</v>
      </c>
      <c r="I35" s="89">
        <v>0.72007200720071995</v>
      </c>
      <c r="J35" s="279"/>
      <c r="K35" s="339">
        <v>17</v>
      </c>
      <c r="L35" s="245" t="s">
        <v>378</v>
      </c>
      <c r="M35" s="340">
        <v>13</v>
      </c>
      <c r="N35" s="279">
        <v>1.1701170117011701</v>
      </c>
      <c r="O35" s="279"/>
      <c r="P35" s="339">
        <v>17</v>
      </c>
      <c r="Q35" s="245" t="s">
        <v>379</v>
      </c>
      <c r="R35" s="340">
        <v>20</v>
      </c>
      <c r="S35" s="279">
        <v>1.8001800180017999</v>
      </c>
    </row>
    <row r="36" spans="1:19" s="337" customFormat="1" ht="15" customHeight="1" x14ac:dyDescent="0.2">
      <c r="A36" s="249">
        <v>18</v>
      </c>
      <c r="B36" s="218" t="s">
        <v>373</v>
      </c>
      <c r="C36" s="88">
        <v>65</v>
      </c>
      <c r="D36" s="89">
        <v>5.8505850585058496</v>
      </c>
      <c r="E36" s="279"/>
      <c r="F36" s="338">
        <v>18</v>
      </c>
      <c r="G36" s="218" t="s">
        <v>296</v>
      </c>
      <c r="H36" s="88">
        <v>8</v>
      </c>
      <c r="I36" s="89">
        <v>0.72007200720071995</v>
      </c>
      <c r="J36" s="279"/>
      <c r="K36" s="339">
        <v>18</v>
      </c>
      <c r="L36" s="245" t="s">
        <v>361</v>
      </c>
      <c r="M36" s="340">
        <v>10</v>
      </c>
      <c r="N36" s="279">
        <v>0.90009000900089997</v>
      </c>
      <c r="O36" s="279"/>
      <c r="P36" s="339">
        <v>18</v>
      </c>
      <c r="Q36" s="245" t="s">
        <v>350</v>
      </c>
      <c r="R36" s="340">
        <v>20</v>
      </c>
      <c r="S36" s="279">
        <v>1.8001800180017999</v>
      </c>
    </row>
    <row r="37" spans="1:19" s="337" customFormat="1" ht="15" customHeight="1" x14ac:dyDescent="0.2">
      <c r="A37" s="249">
        <v>19</v>
      </c>
      <c r="B37" s="218" t="s">
        <v>130</v>
      </c>
      <c r="C37" s="88">
        <v>57</v>
      </c>
      <c r="D37" s="89">
        <v>5.1305130513051296</v>
      </c>
      <c r="E37" s="279"/>
      <c r="F37" s="338">
        <v>19</v>
      </c>
      <c r="G37" s="218" t="s">
        <v>380</v>
      </c>
      <c r="H37" s="88">
        <v>7</v>
      </c>
      <c r="I37" s="89">
        <v>0.63006300630062995</v>
      </c>
      <c r="J37" s="279"/>
      <c r="K37" s="339">
        <v>19</v>
      </c>
      <c r="L37" s="245" t="s">
        <v>381</v>
      </c>
      <c r="M37" s="340">
        <v>10</v>
      </c>
      <c r="N37" s="279">
        <v>0.90009000900089997</v>
      </c>
      <c r="O37" s="279"/>
      <c r="P37" s="339">
        <v>19</v>
      </c>
      <c r="Q37" s="245" t="s">
        <v>382</v>
      </c>
      <c r="R37" s="340">
        <v>18</v>
      </c>
      <c r="S37" s="279">
        <v>1.6201620162016199</v>
      </c>
    </row>
    <row r="38" spans="1:19" s="337" customFormat="1" ht="15" customHeight="1" x14ac:dyDescent="0.2">
      <c r="A38" s="249">
        <v>20</v>
      </c>
      <c r="B38" s="218" t="s">
        <v>340</v>
      </c>
      <c r="C38" s="341">
        <v>50</v>
      </c>
      <c r="D38" s="342">
        <v>4.5004500450045004</v>
      </c>
      <c r="E38" s="279"/>
      <c r="F38" s="343">
        <v>20</v>
      </c>
      <c r="G38" s="218" t="s">
        <v>383</v>
      </c>
      <c r="H38" s="341">
        <v>7</v>
      </c>
      <c r="I38" s="342">
        <v>0.63006300630062995</v>
      </c>
      <c r="J38" s="279"/>
      <c r="K38" s="339">
        <v>20</v>
      </c>
      <c r="L38" s="245" t="s">
        <v>297</v>
      </c>
      <c r="M38" s="340">
        <v>9</v>
      </c>
      <c r="N38" s="279">
        <v>0.81008100810080996</v>
      </c>
      <c r="O38" s="279"/>
      <c r="P38" s="339">
        <v>20</v>
      </c>
      <c r="Q38" s="245" t="s">
        <v>369</v>
      </c>
      <c r="R38" s="340">
        <v>17</v>
      </c>
      <c r="S38" s="279">
        <v>1.5301530153015299</v>
      </c>
    </row>
    <row r="39" spans="1:19" s="20" customFormat="1" ht="15" customHeight="1" x14ac:dyDescent="0.2">
      <c r="A39" s="303"/>
      <c r="B39" s="68" t="s">
        <v>329</v>
      </c>
      <c r="C39" s="304">
        <v>1111</v>
      </c>
      <c r="D39" s="344" t="s">
        <v>70</v>
      </c>
      <c r="E39" s="305"/>
      <c r="F39" s="303"/>
      <c r="G39" s="68" t="s">
        <v>329</v>
      </c>
      <c r="H39" s="304">
        <v>1111</v>
      </c>
      <c r="I39" s="344" t="s">
        <v>70</v>
      </c>
      <c r="J39" s="239"/>
      <c r="K39" s="303"/>
      <c r="L39" s="68" t="s">
        <v>329</v>
      </c>
      <c r="M39" s="304">
        <v>1111</v>
      </c>
      <c r="N39" s="344" t="s">
        <v>70</v>
      </c>
      <c r="O39" s="239"/>
      <c r="P39" s="303"/>
      <c r="Q39" s="68" t="s">
        <v>329</v>
      </c>
      <c r="R39" s="304">
        <v>1111</v>
      </c>
      <c r="S39" s="344" t="s">
        <v>70</v>
      </c>
    </row>
    <row r="40" spans="1:19" s="298" customFormat="1" ht="15" customHeight="1" x14ac:dyDescent="0.2">
      <c r="A40" s="345"/>
      <c r="B40" s="292"/>
      <c r="C40" s="293"/>
      <c r="D40" s="294"/>
      <c r="E40" s="295"/>
      <c r="F40" s="346"/>
      <c r="G40" s="292"/>
      <c r="H40" s="297"/>
      <c r="I40" s="295"/>
      <c r="J40" s="295"/>
      <c r="K40" s="345"/>
      <c r="L40" s="292"/>
      <c r="M40" s="297"/>
      <c r="N40" s="295"/>
      <c r="O40" s="295"/>
      <c r="P40" s="345"/>
      <c r="Q40" s="292"/>
      <c r="R40" s="297"/>
      <c r="S40" s="295"/>
    </row>
    <row r="41" spans="1:19" s="298" customFormat="1" ht="15" customHeight="1" x14ac:dyDescent="0.2">
      <c r="A41" s="236" t="s">
        <v>274</v>
      </c>
      <c r="B41" s="292"/>
      <c r="C41" s="293"/>
      <c r="D41" s="294"/>
      <c r="E41" s="295"/>
      <c r="F41" s="236" t="s">
        <v>274</v>
      </c>
      <c r="G41" s="292"/>
      <c r="H41" s="297"/>
      <c r="I41" s="295"/>
      <c r="J41" s="295"/>
      <c r="K41" s="236" t="s">
        <v>274</v>
      </c>
      <c r="L41" s="292"/>
      <c r="M41" s="297"/>
      <c r="N41" s="295"/>
      <c r="O41" s="295"/>
      <c r="P41" s="236" t="s">
        <v>274</v>
      </c>
      <c r="Q41" s="292"/>
      <c r="R41" s="297"/>
      <c r="S41" s="295"/>
    </row>
    <row r="42" spans="1:19" s="337" customFormat="1" ht="15" customHeight="1" x14ac:dyDescent="0.2">
      <c r="A42" s="249">
        <v>1</v>
      </c>
      <c r="B42" s="218" t="s">
        <v>309</v>
      </c>
      <c r="C42" s="88">
        <v>1191</v>
      </c>
      <c r="D42" s="89">
        <v>21.619168633145801</v>
      </c>
      <c r="E42" s="279"/>
      <c r="F42" s="338">
        <v>1</v>
      </c>
      <c r="G42" s="218" t="s">
        <v>309</v>
      </c>
      <c r="H42" s="88">
        <v>1190</v>
      </c>
      <c r="I42" s="89">
        <v>21.601016518424402</v>
      </c>
      <c r="J42" s="279"/>
      <c r="K42" s="339">
        <v>1</v>
      </c>
      <c r="L42" s="245" t="s">
        <v>335</v>
      </c>
      <c r="M42" s="340">
        <v>873</v>
      </c>
      <c r="N42" s="279">
        <v>15.8467961517517</v>
      </c>
      <c r="O42" s="279"/>
      <c r="P42" s="339">
        <v>1</v>
      </c>
      <c r="Q42" s="245" t="s">
        <v>298</v>
      </c>
      <c r="R42" s="340">
        <v>950</v>
      </c>
      <c r="S42" s="279">
        <v>17.2445089852968</v>
      </c>
    </row>
    <row r="43" spans="1:19" s="337" customFormat="1" ht="15" customHeight="1" x14ac:dyDescent="0.2">
      <c r="A43" s="249">
        <v>2</v>
      </c>
      <c r="B43" s="218" t="s">
        <v>298</v>
      </c>
      <c r="C43" s="88">
        <v>1107</v>
      </c>
      <c r="D43" s="89">
        <v>20.094390996551098</v>
      </c>
      <c r="E43" s="279"/>
      <c r="F43" s="338">
        <v>2</v>
      </c>
      <c r="G43" s="218" t="s">
        <v>130</v>
      </c>
      <c r="H43" s="88">
        <v>491</v>
      </c>
      <c r="I43" s="89">
        <v>8.9126883281902405</v>
      </c>
      <c r="J43" s="279"/>
      <c r="K43" s="339">
        <v>2</v>
      </c>
      <c r="L43" s="245" t="s">
        <v>364</v>
      </c>
      <c r="M43" s="340">
        <v>734</v>
      </c>
      <c r="N43" s="279">
        <v>13.323652205481901</v>
      </c>
      <c r="O43" s="279"/>
      <c r="P43" s="339">
        <v>2</v>
      </c>
      <c r="Q43" s="245" t="s">
        <v>300</v>
      </c>
      <c r="R43" s="340">
        <v>599</v>
      </c>
      <c r="S43" s="279">
        <v>10.8731167180977</v>
      </c>
    </row>
    <row r="44" spans="1:19" s="337" customFormat="1" ht="15" customHeight="1" x14ac:dyDescent="0.2">
      <c r="A44" s="249">
        <v>3</v>
      </c>
      <c r="B44" s="218" t="s">
        <v>335</v>
      </c>
      <c r="C44" s="88">
        <v>874</v>
      </c>
      <c r="D44" s="89">
        <v>15.864948266473</v>
      </c>
      <c r="E44" s="279"/>
      <c r="F44" s="338">
        <v>3</v>
      </c>
      <c r="G44" s="218" t="s">
        <v>347</v>
      </c>
      <c r="H44" s="88">
        <v>363</v>
      </c>
      <c r="I44" s="89">
        <v>6.5892176438555099</v>
      </c>
      <c r="J44" s="279"/>
      <c r="K44" s="339">
        <v>3</v>
      </c>
      <c r="L44" s="245" t="s">
        <v>348</v>
      </c>
      <c r="M44" s="340">
        <v>408</v>
      </c>
      <c r="N44" s="279">
        <v>7.4060628063169398</v>
      </c>
      <c r="O44" s="279"/>
      <c r="P44" s="339">
        <v>3</v>
      </c>
      <c r="Q44" s="245" t="s">
        <v>311</v>
      </c>
      <c r="R44" s="340">
        <v>552</v>
      </c>
      <c r="S44" s="279">
        <v>10.0199673261935</v>
      </c>
    </row>
    <row r="45" spans="1:19" s="337" customFormat="1" ht="15" customHeight="1" x14ac:dyDescent="0.2">
      <c r="A45" s="249">
        <v>4</v>
      </c>
      <c r="B45" s="218" t="s">
        <v>300</v>
      </c>
      <c r="C45" s="88">
        <v>821</v>
      </c>
      <c r="D45" s="89">
        <v>14.9028861862407</v>
      </c>
      <c r="E45" s="279"/>
      <c r="F45" s="338">
        <v>4</v>
      </c>
      <c r="G45" s="218" t="s">
        <v>330</v>
      </c>
      <c r="H45" s="88">
        <v>256</v>
      </c>
      <c r="I45" s="89">
        <v>4.6469413686694496</v>
      </c>
      <c r="J45" s="279"/>
      <c r="K45" s="339">
        <v>4</v>
      </c>
      <c r="L45" s="245" t="s">
        <v>355</v>
      </c>
      <c r="M45" s="340">
        <v>265</v>
      </c>
      <c r="N45" s="279">
        <v>4.8103104011617397</v>
      </c>
      <c r="O45" s="279"/>
      <c r="P45" s="339">
        <v>4</v>
      </c>
      <c r="Q45" s="245" t="s">
        <v>371</v>
      </c>
      <c r="R45" s="340">
        <v>466</v>
      </c>
      <c r="S45" s="279">
        <v>8.4588854601561092</v>
      </c>
    </row>
    <row r="46" spans="1:19" s="337" customFormat="1" ht="15" customHeight="1" x14ac:dyDescent="0.2">
      <c r="A46" s="249">
        <v>5</v>
      </c>
      <c r="B46" s="218" t="s">
        <v>364</v>
      </c>
      <c r="C46" s="88">
        <v>749</v>
      </c>
      <c r="D46" s="89">
        <v>13.595933926302401</v>
      </c>
      <c r="E46" s="279"/>
      <c r="F46" s="338">
        <v>5</v>
      </c>
      <c r="G46" s="218" t="s">
        <v>287</v>
      </c>
      <c r="H46" s="88">
        <v>220</v>
      </c>
      <c r="I46" s="89">
        <v>3.9934652387003098</v>
      </c>
      <c r="J46" s="279"/>
      <c r="K46" s="339">
        <v>5</v>
      </c>
      <c r="L46" s="245" t="s">
        <v>358</v>
      </c>
      <c r="M46" s="340">
        <v>252</v>
      </c>
      <c r="N46" s="279">
        <v>4.5743329097839904</v>
      </c>
      <c r="O46" s="279"/>
      <c r="P46" s="339">
        <v>5</v>
      </c>
      <c r="Q46" s="245" t="s">
        <v>357</v>
      </c>
      <c r="R46" s="340">
        <v>381</v>
      </c>
      <c r="S46" s="279">
        <v>6.9159557088400803</v>
      </c>
    </row>
    <row r="47" spans="1:19" s="337" customFormat="1" ht="15" customHeight="1" x14ac:dyDescent="0.2">
      <c r="A47" s="249">
        <v>6</v>
      </c>
      <c r="B47" s="218" t="s">
        <v>311</v>
      </c>
      <c r="C47" s="88">
        <v>635</v>
      </c>
      <c r="D47" s="89">
        <v>11.5265928480668</v>
      </c>
      <c r="E47" s="279"/>
      <c r="F47" s="338">
        <v>6</v>
      </c>
      <c r="G47" s="218" t="s">
        <v>315</v>
      </c>
      <c r="H47" s="88">
        <v>215</v>
      </c>
      <c r="I47" s="89">
        <v>3.9027046650934798</v>
      </c>
      <c r="J47" s="279"/>
      <c r="K47" s="339">
        <v>6</v>
      </c>
      <c r="L47" s="245" t="s">
        <v>303</v>
      </c>
      <c r="M47" s="340">
        <v>193</v>
      </c>
      <c r="N47" s="279">
        <v>3.5033581412234498</v>
      </c>
      <c r="O47" s="279"/>
      <c r="P47" s="339">
        <v>6</v>
      </c>
      <c r="Q47" s="245" t="s">
        <v>373</v>
      </c>
      <c r="R47" s="340">
        <v>342</v>
      </c>
      <c r="S47" s="279">
        <v>6.2080232347068502</v>
      </c>
    </row>
    <row r="48" spans="1:19" s="337" customFormat="1" ht="15" customHeight="1" x14ac:dyDescent="0.2">
      <c r="A48" s="249">
        <v>7</v>
      </c>
      <c r="B48" s="218" t="s">
        <v>130</v>
      </c>
      <c r="C48" s="88">
        <v>506</v>
      </c>
      <c r="D48" s="89">
        <v>9.18497004901071</v>
      </c>
      <c r="E48" s="279"/>
      <c r="F48" s="338">
        <v>7</v>
      </c>
      <c r="G48" s="218" t="s">
        <v>323</v>
      </c>
      <c r="H48" s="88">
        <v>191</v>
      </c>
      <c r="I48" s="89">
        <v>3.4670539117807202</v>
      </c>
      <c r="J48" s="279"/>
      <c r="K48" s="339">
        <v>7</v>
      </c>
      <c r="L48" s="245" t="s">
        <v>310</v>
      </c>
      <c r="M48" s="340">
        <v>188</v>
      </c>
      <c r="N48" s="279">
        <v>3.41259756761663</v>
      </c>
      <c r="O48" s="279"/>
      <c r="P48" s="339">
        <v>7</v>
      </c>
      <c r="Q48" s="245" t="s">
        <v>361</v>
      </c>
      <c r="R48" s="340">
        <v>327</v>
      </c>
      <c r="S48" s="279">
        <v>5.9357415138863701</v>
      </c>
    </row>
    <row r="49" spans="1:19" s="337" customFormat="1" ht="15" customHeight="1" x14ac:dyDescent="0.2">
      <c r="A49" s="249">
        <v>8</v>
      </c>
      <c r="B49" s="218" t="s">
        <v>371</v>
      </c>
      <c r="C49" s="88">
        <v>468</v>
      </c>
      <c r="D49" s="89">
        <v>8.4951896895988401</v>
      </c>
      <c r="E49" s="279"/>
      <c r="F49" s="338">
        <v>8</v>
      </c>
      <c r="G49" s="218" t="s">
        <v>313</v>
      </c>
      <c r="H49" s="88">
        <v>121</v>
      </c>
      <c r="I49" s="89">
        <v>2.1964058812851701</v>
      </c>
      <c r="J49" s="279"/>
      <c r="K49" s="339">
        <v>8</v>
      </c>
      <c r="L49" s="245" t="s">
        <v>300</v>
      </c>
      <c r="M49" s="340">
        <v>184</v>
      </c>
      <c r="N49" s="279">
        <v>3.3399891087311699</v>
      </c>
      <c r="O49" s="279"/>
      <c r="P49" s="339">
        <v>8</v>
      </c>
      <c r="Q49" s="245" t="s">
        <v>346</v>
      </c>
      <c r="R49" s="340">
        <v>326</v>
      </c>
      <c r="S49" s="279">
        <v>5.9175893991650002</v>
      </c>
    </row>
    <row r="50" spans="1:19" s="337" customFormat="1" ht="15" customHeight="1" x14ac:dyDescent="0.2">
      <c r="A50" s="249">
        <v>9</v>
      </c>
      <c r="B50" s="218" t="s">
        <v>287</v>
      </c>
      <c r="C50" s="88">
        <v>463</v>
      </c>
      <c r="D50" s="89">
        <v>8.4044291159920093</v>
      </c>
      <c r="E50" s="279"/>
      <c r="F50" s="338">
        <v>9</v>
      </c>
      <c r="G50" s="218" t="s">
        <v>342</v>
      </c>
      <c r="H50" s="88">
        <v>115</v>
      </c>
      <c r="I50" s="89">
        <v>2.08749319295698</v>
      </c>
      <c r="J50" s="279"/>
      <c r="K50" s="339">
        <v>9</v>
      </c>
      <c r="L50" s="245" t="s">
        <v>319</v>
      </c>
      <c r="M50" s="340">
        <v>179</v>
      </c>
      <c r="N50" s="279">
        <v>3.24922853512434</v>
      </c>
      <c r="O50" s="279"/>
      <c r="P50" s="339">
        <v>9</v>
      </c>
      <c r="Q50" s="245" t="s">
        <v>343</v>
      </c>
      <c r="R50" s="340">
        <v>325</v>
      </c>
      <c r="S50" s="279">
        <v>5.89943728444364</v>
      </c>
    </row>
    <row r="51" spans="1:19" s="337" customFormat="1" ht="15" customHeight="1" x14ac:dyDescent="0.2">
      <c r="A51" s="249">
        <v>10</v>
      </c>
      <c r="B51" s="218" t="s">
        <v>357</v>
      </c>
      <c r="C51" s="88">
        <v>425</v>
      </c>
      <c r="D51" s="89">
        <v>7.7146487565801403</v>
      </c>
      <c r="E51" s="279"/>
      <c r="F51" s="338">
        <v>10</v>
      </c>
      <c r="G51" s="218" t="s">
        <v>340</v>
      </c>
      <c r="H51" s="88">
        <v>109</v>
      </c>
      <c r="I51" s="89">
        <v>1.9785805046287901</v>
      </c>
      <c r="J51" s="279"/>
      <c r="K51" s="339">
        <v>10</v>
      </c>
      <c r="L51" s="245" t="s">
        <v>298</v>
      </c>
      <c r="M51" s="340">
        <v>141</v>
      </c>
      <c r="N51" s="279">
        <v>2.5594481757124701</v>
      </c>
      <c r="O51" s="279"/>
      <c r="P51" s="339">
        <v>10</v>
      </c>
      <c r="Q51" s="245" t="s">
        <v>354</v>
      </c>
      <c r="R51" s="340">
        <v>324</v>
      </c>
      <c r="S51" s="279">
        <v>5.8812851697222701</v>
      </c>
    </row>
    <row r="52" spans="1:19" s="337" customFormat="1" ht="15" customHeight="1" x14ac:dyDescent="0.2">
      <c r="A52" s="249">
        <v>11</v>
      </c>
      <c r="B52" s="218" t="s">
        <v>303</v>
      </c>
      <c r="C52" s="88">
        <v>413</v>
      </c>
      <c r="D52" s="89">
        <v>7.49682337992376</v>
      </c>
      <c r="E52" s="279"/>
      <c r="F52" s="338">
        <v>11</v>
      </c>
      <c r="G52" s="218" t="s">
        <v>331</v>
      </c>
      <c r="H52" s="88">
        <v>104</v>
      </c>
      <c r="I52" s="89">
        <v>1.8878199310219601</v>
      </c>
      <c r="J52" s="279"/>
      <c r="K52" s="339">
        <v>11</v>
      </c>
      <c r="L52" s="245" t="s">
        <v>297</v>
      </c>
      <c r="M52" s="340">
        <v>139</v>
      </c>
      <c r="N52" s="279">
        <v>2.52314394626974</v>
      </c>
      <c r="O52" s="279"/>
      <c r="P52" s="339">
        <v>11</v>
      </c>
      <c r="Q52" s="245" t="s">
        <v>352</v>
      </c>
      <c r="R52" s="340">
        <v>302</v>
      </c>
      <c r="S52" s="279">
        <v>5.4819386458522397</v>
      </c>
    </row>
    <row r="53" spans="1:19" s="337" customFormat="1" ht="15" customHeight="1" x14ac:dyDescent="0.2">
      <c r="A53" s="249">
        <v>12</v>
      </c>
      <c r="B53" s="218" t="s">
        <v>348</v>
      </c>
      <c r="C53" s="88">
        <v>410</v>
      </c>
      <c r="D53" s="89">
        <v>7.4423670357596698</v>
      </c>
      <c r="E53" s="279"/>
      <c r="F53" s="338">
        <v>12</v>
      </c>
      <c r="G53" s="218" t="s">
        <v>117</v>
      </c>
      <c r="H53" s="88">
        <v>104</v>
      </c>
      <c r="I53" s="89">
        <v>1.8878199310219601</v>
      </c>
      <c r="J53" s="279"/>
      <c r="K53" s="339">
        <v>12</v>
      </c>
      <c r="L53" s="245" t="s">
        <v>312</v>
      </c>
      <c r="M53" s="340">
        <v>130</v>
      </c>
      <c r="N53" s="279">
        <v>2.3597749137774602</v>
      </c>
      <c r="O53" s="279"/>
      <c r="P53" s="339">
        <v>12</v>
      </c>
      <c r="Q53" s="245" t="s">
        <v>382</v>
      </c>
      <c r="R53" s="340">
        <v>255</v>
      </c>
      <c r="S53" s="279">
        <v>4.6287892539480904</v>
      </c>
    </row>
    <row r="54" spans="1:19" s="337" customFormat="1" ht="15" customHeight="1" x14ac:dyDescent="0.2">
      <c r="A54" s="249">
        <v>13</v>
      </c>
      <c r="B54" s="218" t="s">
        <v>315</v>
      </c>
      <c r="C54" s="88">
        <v>407</v>
      </c>
      <c r="D54" s="89">
        <v>7.3879106915955699</v>
      </c>
      <c r="E54" s="279"/>
      <c r="F54" s="338">
        <v>13</v>
      </c>
      <c r="G54" s="218" t="s">
        <v>370</v>
      </c>
      <c r="H54" s="88">
        <v>98</v>
      </c>
      <c r="I54" s="89">
        <v>1.77890724269377</v>
      </c>
      <c r="J54" s="279"/>
      <c r="K54" s="339">
        <v>13</v>
      </c>
      <c r="L54" s="245" t="s">
        <v>301</v>
      </c>
      <c r="M54" s="340">
        <v>127</v>
      </c>
      <c r="N54" s="279">
        <v>2.3053185696133598</v>
      </c>
      <c r="O54" s="279"/>
      <c r="P54" s="339">
        <v>13</v>
      </c>
      <c r="Q54" s="245" t="s">
        <v>374</v>
      </c>
      <c r="R54" s="340">
        <v>211</v>
      </c>
      <c r="S54" s="279">
        <v>3.8300962062080202</v>
      </c>
    </row>
    <row r="55" spans="1:19" s="337" customFormat="1" ht="15" customHeight="1" x14ac:dyDescent="0.2">
      <c r="A55" s="249">
        <v>14</v>
      </c>
      <c r="B55" s="218" t="s">
        <v>361</v>
      </c>
      <c r="C55" s="88">
        <v>394</v>
      </c>
      <c r="D55" s="89">
        <v>7.1519332002178304</v>
      </c>
      <c r="E55" s="279"/>
      <c r="F55" s="338">
        <v>14</v>
      </c>
      <c r="G55" s="218" t="s">
        <v>120</v>
      </c>
      <c r="H55" s="88">
        <v>96</v>
      </c>
      <c r="I55" s="89">
        <v>1.7426030132510399</v>
      </c>
      <c r="J55" s="279"/>
      <c r="K55" s="339">
        <v>14</v>
      </c>
      <c r="L55" s="245" t="s">
        <v>295</v>
      </c>
      <c r="M55" s="340">
        <v>106</v>
      </c>
      <c r="N55" s="279">
        <v>1.9241241604646899</v>
      </c>
      <c r="O55" s="279"/>
      <c r="P55" s="339">
        <v>14</v>
      </c>
      <c r="Q55" s="245" t="s">
        <v>379</v>
      </c>
      <c r="R55" s="340">
        <v>185</v>
      </c>
      <c r="S55" s="279">
        <v>3.3581412234525301</v>
      </c>
    </row>
    <row r="56" spans="1:19" s="337" customFormat="1" ht="15" customHeight="1" x14ac:dyDescent="0.2">
      <c r="A56" s="249">
        <v>15</v>
      </c>
      <c r="B56" s="218" t="s">
        <v>343</v>
      </c>
      <c r="C56" s="88">
        <v>380</v>
      </c>
      <c r="D56" s="89">
        <v>6.8978035941187201</v>
      </c>
      <c r="E56" s="279"/>
      <c r="F56" s="338">
        <v>15</v>
      </c>
      <c r="G56" s="218" t="s">
        <v>306</v>
      </c>
      <c r="H56" s="88">
        <v>96</v>
      </c>
      <c r="I56" s="89">
        <v>1.7426030132510399</v>
      </c>
      <c r="J56" s="279"/>
      <c r="K56" s="339">
        <v>15</v>
      </c>
      <c r="L56" s="245" t="s">
        <v>293</v>
      </c>
      <c r="M56" s="340">
        <v>97</v>
      </c>
      <c r="N56" s="279">
        <v>1.7607551279724101</v>
      </c>
      <c r="O56" s="279"/>
      <c r="P56" s="339">
        <v>15</v>
      </c>
      <c r="Q56" s="245" t="s">
        <v>287</v>
      </c>
      <c r="R56" s="340">
        <v>176</v>
      </c>
      <c r="S56" s="279">
        <v>3.1947721909602498</v>
      </c>
    </row>
    <row r="57" spans="1:19" s="337" customFormat="1" ht="15" customHeight="1" x14ac:dyDescent="0.2">
      <c r="A57" s="249">
        <v>16</v>
      </c>
      <c r="B57" s="218" t="s">
        <v>347</v>
      </c>
      <c r="C57" s="88">
        <v>379</v>
      </c>
      <c r="D57" s="89">
        <v>6.8796514793973502</v>
      </c>
      <c r="E57" s="279"/>
      <c r="F57" s="338">
        <v>16</v>
      </c>
      <c r="G57" s="218" t="s">
        <v>366</v>
      </c>
      <c r="H57" s="88">
        <v>95</v>
      </c>
      <c r="I57" s="89">
        <v>1.72445089852968</v>
      </c>
      <c r="J57" s="279"/>
      <c r="K57" s="339">
        <v>16</v>
      </c>
      <c r="L57" s="245" t="s">
        <v>353</v>
      </c>
      <c r="M57" s="340">
        <v>85</v>
      </c>
      <c r="N57" s="279">
        <v>1.5429297513160301</v>
      </c>
      <c r="O57" s="279"/>
      <c r="P57" s="339">
        <v>16</v>
      </c>
      <c r="Q57" s="245" t="s">
        <v>336</v>
      </c>
      <c r="R57" s="340">
        <v>171</v>
      </c>
      <c r="S57" s="279">
        <v>3.1040116173534198</v>
      </c>
    </row>
    <row r="58" spans="1:19" s="337" customFormat="1" ht="15" customHeight="1" x14ac:dyDescent="0.2">
      <c r="A58" s="249">
        <v>17</v>
      </c>
      <c r="B58" s="218" t="s">
        <v>382</v>
      </c>
      <c r="C58" s="88">
        <v>369</v>
      </c>
      <c r="D58" s="89">
        <v>6.6981303321837</v>
      </c>
      <c r="E58" s="279"/>
      <c r="F58" s="338">
        <v>17</v>
      </c>
      <c r="G58" s="218" t="s">
        <v>382</v>
      </c>
      <c r="H58" s="88">
        <v>80</v>
      </c>
      <c r="I58" s="89">
        <v>1.4521691777092001</v>
      </c>
      <c r="J58" s="279"/>
      <c r="K58" s="339">
        <v>17</v>
      </c>
      <c r="L58" s="245" t="s">
        <v>296</v>
      </c>
      <c r="M58" s="340">
        <v>84</v>
      </c>
      <c r="N58" s="279">
        <v>1.5247776365946599</v>
      </c>
      <c r="O58" s="279"/>
      <c r="P58" s="339">
        <v>17</v>
      </c>
      <c r="Q58" s="245" t="s">
        <v>117</v>
      </c>
      <c r="R58" s="340">
        <v>165</v>
      </c>
      <c r="S58" s="279">
        <v>2.9950989290252301</v>
      </c>
    </row>
    <row r="59" spans="1:19" s="337" customFormat="1" ht="15" customHeight="1" x14ac:dyDescent="0.2">
      <c r="A59" s="249">
        <v>18</v>
      </c>
      <c r="B59" s="218" t="s">
        <v>373</v>
      </c>
      <c r="C59" s="88">
        <v>343</v>
      </c>
      <c r="D59" s="89">
        <v>6.2261753494282104</v>
      </c>
      <c r="E59" s="279"/>
      <c r="F59" s="338">
        <v>18</v>
      </c>
      <c r="G59" s="218" t="s">
        <v>380</v>
      </c>
      <c r="H59" s="88">
        <v>76</v>
      </c>
      <c r="I59" s="89">
        <v>1.37956071882374</v>
      </c>
      <c r="J59" s="279"/>
      <c r="K59" s="339">
        <v>18</v>
      </c>
      <c r="L59" s="245" t="s">
        <v>308</v>
      </c>
      <c r="M59" s="340">
        <v>83</v>
      </c>
      <c r="N59" s="279">
        <v>1.5066255218733</v>
      </c>
      <c r="O59" s="279"/>
      <c r="P59" s="339">
        <v>18</v>
      </c>
      <c r="Q59" s="245" t="s">
        <v>303</v>
      </c>
      <c r="R59" s="340">
        <v>164</v>
      </c>
      <c r="S59" s="279">
        <v>2.97694681430387</v>
      </c>
    </row>
    <row r="60" spans="1:19" s="337" customFormat="1" ht="15" customHeight="1" x14ac:dyDescent="0.2">
      <c r="A60" s="249">
        <v>19</v>
      </c>
      <c r="B60" s="218" t="s">
        <v>346</v>
      </c>
      <c r="C60" s="88">
        <v>326</v>
      </c>
      <c r="D60" s="89">
        <v>5.9175893991650002</v>
      </c>
      <c r="E60" s="279"/>
      <c r="F60" s="338">
        <v>19</v>
      </c>
      <c r="G60" s="218" t="s">
        <v>296</v>
      </c>
      <c r="H60" s="88">
        <v>66</v>
      </c>
      <c r="I60" s="89">
        <v>1.19803957161009</v>
      </c>
      <c r="J60" s="279"/>
      <c r="K60" s="339">
        <v>19</v>
      </c>
      <c r="L60" s="245" t="s">
        <v>122</v>
      </c>
      <c r="M60" s="340">
        <v>83</v>
      </c>
      <c r="N60" s="279">
        <v>1.5066255218733</v>
      </c>
      <c r="O60" s="279"/>
      <c r="P60" s="339">
        <v>19</v>
      </c>
      <c r="Q60" s="245" t="s">
        <v>320</v>
      </c>
      <c r="R60" s="340">
        <v>128</v>
      </c>
      <c r="S60" s="279">
        <v>2.3234706843347301</v>
      </c>
    </row>
    <row r="61" spans="1:19" s="337" customFormat="1" ht="15" customHeight="1" x14ac:dyDescent="0.2">
      <c r="A61" s="249">
        <v>20</v>
      </c>
      <c r="B61" s="218" t="s">
        <v>354</v>
      </c>
      <c r="C61" s="341">
        <v>324</v>
      </c>
      <c r="D61" s="342">
        <v>5.8812851697222701</v>
      </c>
      <c r="E61" s="279"/>
      <c r="F61" s="343">
        <v>20</v>
      </c>
      <c r="G61" s="218" t="s">
        <v>351</v>
      </c>
      <c r="H61" s="341">
        <v>63</v>
      </c>
      <c r="I61" s="342">
        <v>1.1435832274460001</v>
      </c>
      <c r="J61" s="279"/>
      <c r="K61" s="339">
        <v>20</v>
      </c>
      <c r="L61" s="245" t="s">
        <v>311</v>
      </c>
      <c r="M61" s="340">
        <v>83</v>
      </c>
      <c r="N61" s="279">
        <v>1.5066255218733</v>
      </c>
      <c r="O61" s="279"/>
      <c r="P61" s="339">
        <v>20</v>
      </c>
      <c r="Q61" s="245" t="s">
        <v>315</v>
      </c>
      <c r="R61" s="340">
        <v>127</v>
      </c>
      <c r="S61" s="279">
        <v>2.3053185696133598</v>
      </c>
    </row>
    <row r="62" spans="1:19" s="20" customFormat="1" ht="15" customHeight="1" x14ac:dyDescent="0.2">
      <c r="A62" s="303"/>
      <c r="B62" s="68" t="s">
        <v>329</v>
      </c>
      <c r="C62" s="304">
        <v>5509</v>
      </c>
      <c r="D62" s="344" t="s">
        <v>70</v>
      </c>
      <c r="E62" s="305"/>
      <c r="F62" s="303"/>
      <c r="G62" s="68" t="s">
        <v>329</v>
      </c>
      <c r="H62" s="304">
        <v>5509</v>
      </c>
      <c r="I62" s="344" t="s">
        <v>70</v>
      </c>
      <c r="J62" s="239"/>
      <c r="K62" s="303"/>
      <c r="L62" s="68" t="s">
        <v>329</v>
      </c>
      <c r="M62" s="304">
        <v>5509</v>
      </c>
      <c r="N62" s="344" t="s">
        <v>70</v>
      </c>
      <c r="O62" s="239"/>
      <c r="P62" s="303"/>
      <c r="Q62" s="68" t="s">
        <v>329</v>
      </c>
      <c r="R62" s="304">
        <v>5509</v>
      </c>
      <c r="S62" s="344" t="s">
        <v>70</v>
      </c>
    </row>
    <row r="63" spans="1:19" s="274" customFormat="1" ht="15" customHeight="1" x14ac:dyDescent="0.2">
      <c r="A63" s="273"/>
      <c r="B63" s="347"/>
      <c r="C63" s="348"/>
      <c r="D63" s="349"/>
      <c r="E63" s="350"/>
      <c r="F63" s="351"/>
      <c r="G63" s="347"/>
      <c r="H63" s="352"/>
      <c r="I63" s="350"/>
      <c r="J63" s="350"/>
      <c r="K63" s="273"/>
      <c r="L63" s="347"/>
      <c r="M63" s="352"/>
      <c r="N63" s="350"/>
      <c r="O63" s="350"/>
      <c r="P63" s="273"/>
      <c r="Q63" s="347"/>
      <c r="R63" s="352"/>
      <c r="S63" s="350"/>
    </row>
    <row r="64" spans="1:19" s="274" customFormat="1" ht="15" customHeight="1" x14ac:dyDescent="0.2">
      <c r="A64" s="236" t="s">
        <v>275</v>
      </c>
      <c r="B64" s="347"/>
      <c r="C64" s="348"/>
      <c r="D64" s="349"/>
      <c r="E64" s="350"/>
      <c r="F64" s="236" t="s">
        <v>275</v>
      </c>
      <c r="G64" s="347"/>
      <c r="H64" s="352"/>
      <c r="I64" s="350"/>
      <c r="J64" s="350"/>
      <c r="K64" s="236" t="s">
        <v>275</v>
      </c>
      <c r="L64" s="347"/>
      <c r="M64" s="352"/>
      <c r="N64" s="350"/>
      <c r="O64" s="350"/>
      <c r="P64" s="236" t="s">
        <v>275</v>
      </c>
      <c r="Q64" s="347"/>
      <c r="R64" s="352"/>
      <c r="S64" s="350"/>
    </row>
    <row r="65" spans="1:19" s="337" customFormat="1" ht="15" customHeight="1" x14ac:dyDescent="0.2">
      <c r="A65" s="249">
        <v>1</v>
      </c>
      <c r="B65" s="218" t="s">
        <v>315</v>
      </c>
      <c r="C65" s="88">
        <v>1084</v>
      </c>
      <c r="D65" s="89">
        <v>15.0974930362117</v>
      </c>
      <c r="E65" s="279"/>
      <c r="F65" s="338">
        <v>1</v>
      </c>
      <c r="G65" s="218" t="s">
        <v>315</v>
      </c>
      <c r="H65" s="88">
        <v>660</v>
      </c>
      <c r="I65" s="89">
        <v>9.1922005571030692</v>
      </c>
      <c r="J65" s="279"/>
      <c r="K65" s="339">
        <v>1</v>
      </c>
      <c r="L65" s="245" t="s">
        <v>364</v>
      </c>
      <c r="M65" s="340">
        <v>527</v>
      </c>
      <c r="N65" s="279">
        <v>7.3398328690807801</v>
      </c>
      <c r="O65" s="279"/>
      <c r="P65" s="339">
        <v>1</v>
      </c>
      <c r="Q65" s="245" t="s">
        <v>298</v>
      </c>
      <c r="R65" s="340">
        <v>553</v>
      </c>
      <c r="S65" s="279">
        <v>7.7019498607242403</v>
      </c>
    </row>
    <row r="66" spans="1:19" s="337" customFormat="1" ht="15" customHeight="1" x14ac:dyDescent="0.2">
      <c r="A66" s="249">
        <v>2</v>
      </c>
      <c r="B66" s="218" t="s">
        <v>287</v>
      </c>
      <c r="C66" s="88">
        <v>887</v>
      </c>
      <c r="D66" s="89">
        <v>12.3537604456825</v>
      </c>
      <c r="E66" s="279"/>
      <c r="F66" s="338">
        <v>2</v>
      </c>
      <c r="G66" s="218" t="s">
        <v>309</v>
      </c>
      <c r="H66" s="88">
        <v>588</v>
      </c>
      <c r="I66" s="89">
        <v>8.1894150417827305</v>
      </c>
      <c r="J66" s="279"/>
      <c r="K66" s="339">
        <v>2</v>
      </c>
      <c r="L66" s="245" t="s">
        <v>335</v>
      </c>
      <c r="M66" s="340">
        <v>378</v>
      </c>
      <c r="N66" s="279">
        <v>5.2646239554317598</v>
      </c>
      <c r="O66" s="279"/>
      <c r="P66" s="339">
        <v>2</v>
      </c>
      <c r="Q66" s="245" t="s">
        <v>300</v>
      </c>
      <c r="R66" s="340">
        <v>509</v>
      </c>
      <c r="S66" s="279">
        <v>7.0891364902507004</v>
      </c>
    </row>
    <row r="67" spans="1:19" s="337" customFormat="1" ht="15" customHeight="1" x14ac:dyDescent="0.2">
      <c r="A67" s="249">
        <v>3</v>
      </c>
      <c r="B67" s="218" t="s">
        <v>300</v>
      </c>
      <c r="C67" s="88">
        <v>793</v>
      </c>
      <c r="D67" s="89">
        <v>11.0445682451253</v>
      </c>
      <c r="E67" s="279"/>
      <c r="F67" s="338">
        <v>3</v>
      </c>
      <c r="G67" s="218" t="s">
        <v>287</v>
      </c>
      <c r="H67" s="88">
        <v>433</v>
      </c>
      <c r="I67" s="89">
        <v>6.03064066852368</v>
      </c>
      <c r="J67" s="279"/>
      <c r="K67" s="339">
        <v>3</v>
      </c>
      <c r="L67" s="245" t="s">
        <v>310</v>
      </c>
      <c r="M67" s="340">
        <v>365</v>
      </c>
      <c r="N67" s="279">
        <v>5.0835654596100301</v>
      </c>
      <c r="O67" s="279"/>
      <c r="P67" s="339">
        <v>3</v>
      </c>
      <c r="Q67" s="245" t="s">
        <v>117</v>
      </c>
      <c r="R67" s="340">
        <v>383</v>
      </c>
      <c r="S67" s="279">
        <v>5.3342618384401099</v>
      </c>
    </row>
    <row r="68" spans="1:19" s="337" customFormat="1" ht="15" customHeight="1" x14ac:dyDescent="0.2">
      <c r="A68" s="249">
        <v>4</v>
      </c>
      <c r="B68" s="218" t="s">
        <v>117</v>
      </c>
      <c r="C68" s="88">
        <v>647</v>
      </c>
      <c r="D68" s="89">
        <v>9.0111420612813404</v>
      </c>
      <c r="E68" s="279"/>
      <c r="F68" s="338">
        <v>4</v>
      </c>
      <c r="G68" s="218" t="s">
        <v>130</v>
      </c>
      <c r="H68" s="88">
        <v>362</v>
      </c>
      <c r="I68" s="89">
        <v>5.0417827298050204</v>
      </c>
      <c r="J68" s="279"/>
      <c r="K68" s="339">
        <v>4</v>
      </c>
      <c r="L68" s="245" t="s">
        <v>297</v>
      </c>
      <c r="M68" s="340">
        <v>332</v>
      </c>
      <c r="N68" s="279">
        <v>4.6239554317548803</v>
      </c>
      <c r="O68" s="279"/>
      <c r="P68" s="339">
        <v>4</v>
      </c>
      <c r="Q68" s="245" t="s">
        <v>311</v>
      </c>
      <c r="R68" s="340">
        <v>382</v>
      </c>
      <c r="S68" s="279">
        <v>5.3203342618384397</v>
      </c>
    </row>
    <row r="69" spans="1:19" s="337" customFormat="1" ht="15" customHeight="1" x14ac:dyDescent="0.2">
      <c r="A69" s="249">
        <v>5</v>
      </c>
      <c r="B69" s="218" t="s">
        <v>298</v>
      </c>
      <c r="C69" s="88">
        <v>646</v>
      </c>
      <c r="D69" s="89">
        <v>8.9972144846796702</v>
      </c>
      <c r="E69" s="279"/>
      <c r="F69" s="338">
        <v>5</v>
      </c>
      <c r="G69" s="218" t="s">
        <v>323</v>
      </c>
      <c r="H69" s="88">
        <v>352</v>
      </c>
      <c r="I69" s="89">
        <v>4.9025069637882996</v>
      </c>
      <c r="J69" s="279"/>
      <c r="K69" s="339">
        <v>5</v>
      </c>
      <c r="L69" s="245" t="s">
        <v>319</v>
      </c>
      <c r="M69" s="340">
        <v>291</v>
      </c>
      <c r="N69" s="279">
        <v>4.0529247910863502</v>
      </c>
      <c r="O69" s="279"/>
      <c r="P69" s="339">
        <v>5</v>
      </c>
      <c r="Q69" s="245" t="s">
        <v>336</v>
      </c>
      <c r="R69" s="340">
        <v>326</v>
      </c>
      <c r="S69" s="279">
        <v>4.5403899721448502</v>
      </c>
    </row>
    <row r="70" spans="1:19" s="337" customFormat="1" ht="15" customHeight="1" x14ac:dyDescent="0.2">
      <c r="A70" s="249">
        <v>6</v>
      </c>
      <c r="B70" s="218" t="s">
        <v>309</v>
      </c>
      <c r="C70" s="88">
        <v>589</v>
      </c>
      <c r="D70" s="89">
        <v>8.2033426183844007</v>
      </c>
      <c r="E70" s="279"/>
      <c r="F70" s="338">
        <v>6</v>
      </c>
      <c r="G70" s="218" t="s">
        <v>306</v>
      </c>
      <c r="H70" s="88">
        <v>313</v>
      </c>
      <c r="I70" s="89">
        <v>4.3593314763231197</v>
      </c>
      <c r="J70" s="279"/>
      <c r="K70" s="339">
        <v>6</v>
      </c>
      <c r="L70" s="245" t="s">
        <v>301</v>
      </c>
      <c r="M70" s="340">
        <v>270</v>
      </c>
      <c r="N70" s="279">
        <v>3.76044568245125</v>
      </c>
      <c r="O70" s="279"/>
      <c r="P70" s="339">
        <v>6</v>
      </c>
      <c r="Q70" s="245" t="s">
        <v>320</v>
      </c>
      <c r="R70" s="340">
        <v>323</v>
      </c>
      <c r="S70" s="279">
        <v>4.4986072423398298</v>
      </c>
    </row>
    <row r="71" spans="1:19" s="337" customFormat="1" ht="15" customHeight="1" x14ac:dyDescent="0.2">
      <c r="A71" s="249">
        <v>7</v>
      </c>
      <c r="B71" s="218" t="s">
        <v>364</v>
      </c>
      <c r="C71" s="88">
        <v>547</v>
      </c>
      <c r="D71" s="89">
        <v>7.6183844011142101</v>
      </c>
      <c r="E71" s="279"/>
      <c r="F71" s="338">
        <v>7</v>
      </c>
      <c r="G71" s="218" t="s">
        <v>313</v>
      </c>
      <c r="H71" s="88">
        <v>273</v>
      </c>
      <c r="I71" s="89">
        <v>3.80222841225627</v>
      </c>
      <c r="J71" s="279"/>
      <c r="K71" s="339">
        <v>7</v>
      </c>
      <c r="L71" s="245" t="s">
        <v>300</v>
      </c>
      <c r="M71" s="340">
        <v>214</v>
      </c>
      <c r="N71" s="279">
        <v>2.98050139275766</v>
      </c>
      <c r="O71" s="279"/>
      <c r="P71" s="339">
        <v>7</v>
      </c>
      <c r="Q71" s="245" t="s">
        <v>382</v>
      </c>
      <c r="R71" s="340">
        <v>290</v>
      </c>
      <c r="S71" s="279">
        <v>4.03899721448468</v>
      </c>
    </row>
    <row r="72" spans="1:19" s="337" customFormat="1" ht="15" customHeight="1" x14ac:dyDescent="0.2">
      <c r="A72" s="249">
        <v>8</v>
      </c>
      <c r="B72" s="218" t="s">
        <v>303</v>
      </c>
      <c r="C72" s="88">
        <v>508</v>
      </c>
      <c r="D72" s="89">
        <v>7.0752089136490302</v>
      </c>
      <c r="E72" s="279"/>
      <c r="F72" s="338">
        <v>8</v>
      </c>
      <c r="G72" s="218" t="s">
        <v>330</v>
      </c>
      <c r="H72" s="88">
        <v>271</v>
      </c>
      <c r="I72" s="89">
        <v>3.77437325905293</v>
      </c>
      <c r="J72" s="279"/>
      <c r="K72" s="339">
        <v>8</v>
      </c>
      <c r="L72" s="245" t="s">
        <v>303</v>
      </c>
      <c r="M72" s="340">
        <v>213</v>
      </c>
      <c r="N72" s="279">
        <v>2.9665738161559898</v>
      </c>
      <c r="O72" s="279"/>
      <c r="P72" s="339">
        <v>8</v>
      </c>
      <c r="Q72" s="245" t="s">
        <v>287</v>
      </c>
      <c r="R72" s="340">
        <v>264</v>
      </c>
      <c r="S72" s="279">
        <v>3.6768802228412301</v>
      </c>
    </row>
    <row r="73" spans="1:19" s="337" customFormat="1" ht="15" customHeight="1" x14ac:dyDescent="0.2">
      <c r="A73" s="249">
        <v>9</v>
      </c>
      <c r="B73" s="218" t="s">
        <v>320</v>
      </c>
      <c r="C73" s="88">
        <v>450</v>
      </c>
      <c r="D73" s="89">
        <v>6.2674094707520904</v>
      </c>
      <c r="E73" s="279"/>
      <c r="F73" s="338">
        <v>9</v>
      </c>
      <c r="G73" s="218" t="s">
        <v>120</v>
      </c>
      <c r="H73" s="88">
        <v>217</v>
      </c>
      <c r="I73" s="89">
        <v>3.0222841225626702</v>
      </c>
      <c r="J73" s="279"/>
      <c r="K73" s="339">
        <v>9</v>
      </c>
      <c r="L73" s="245" t="s">
        <v>296</v>
      </c>
      <c r="M73" s="340">
        <v>191</v>
      </c>
      <c r="N73" s="279">
        <v>2.6601671309192199</v>
      </c>
      <c r="O73" s="279"/>
      <c r="P73" s="339">
        <v>9</v>
      </c>
      <c r="Q73" s="245" t="s">
        <v>352</v>
      </c>
      <c r="R73" s="340">
        <v>245</v>
      </c>
      <c r="S73" s="279">
        <v>3.4122562674094699</v>
      </c>
    </row>
    <row r="74" spans="1:19" s="337" customFormat="1" ht="15" customHeight="1" x14ac:dyDescent="0.2">
      <c r="A74" s="249">
        <v>10</v>
      </c>
      <c r="B74" s="218" t="s">
        <v>311</v>
      </c>
      <c r="C74" s="88">
        <v>432</v>
      </c>
      <c r="D74" s="89">
        <v>6.0167130919220098</v>
      </c>
      <c r="E74" s="279"/>
      <c r="F74" s="338">
        <v>10</v>
      </c>
      <c r="G74" s="218" t="s">
        <v>117</v>
      </c>
      <c r="H74" s="88">
        <v>205</v>
      </c>
      <c r="I74" s="89">
        <v>2.8551532033426201</v>
      </c>
      <c r="J74" s="279"/>
      <c r="K74" s="339">
        <v>10</v>
      </c>
      <c r="L74" s="245" t="s">
        <v>287</v>
      </c>
      <c r="M74" s="340">
        <v>190</v>
      </c>
      <c r="N74" s="279">
        <v>2.6462395543175501</v>
      </c>
      <c r="O74" s="279"/>
      <c r="P74" s="339">
        <v>10</v>
      </c>
      <c r="Q74" s="245" t="s">
        <v>361</v>
      </c>
      <c r="R74" s="340">
        <v>242</v>
      </c>
      <c r="S74" s="279">
        <v>3.3704735376044601</v>
      </c>
    </row>
    <row r="75" spans="1:19" s="337" customFormat="1" ht="15" customHeight="1" x14ac:dyDescent="0.2">
      <c r="A75" s="249">
        <v>11</v>
      </c>
      <c r="B75" s="218" t="s">
        <v>382</v>
      </c>
      <c r="C75" s="88">
        <v>428</v>
      </c>
      <c r="D75" s="89">
        <v>5.96100278551532</v>
      </c>
      <c r="E75" s="279"/>
      <c r="F75" s="338">
        <v>11</v>
      </c>
      <c r="G75" s="218" t="s">
        <v>316</v>
      </c>
      <c r="H75" s="88">
        <v>196</v>
      </c>
      <c r="I75" s="89">
        <v>2.7298050139275798</v>
      </c>
      <c r="J75" s="279"/>
      <c r="K75" s="339">
        <v>11</v>
      </c>
      <c r="L75" s="245" t="s">
        <v>315</v>
      </c>
      <c r="M75" s="340">
        <v>189</v>
      </c>
      <c r="N75" s="279">
        <v>2.6323119777158799</v>
      </c>
      <c r="O75" s="279"/>
      <c r="P75" s="339">
        <v>11</v>
      </c>
      <c r="Q75" s="245" t="s">
        <v>315</v>
      </c>
      <c r="R75" s="340">
        <v>235</v>
      </c>
      <c r="S75" s="279">
        <v>3.2729805013927602</v>
      </c>
    </row>
    <row r="76" spans="1:19" s="337" customFormat="1" ht="15" customHeight="1" x14ac:dyDescent="0.2">
      <c r="A76" s="249">
        <v>12</v>
      </c>
      <c r="B76" s="218" t="s">
        <v>120</v>
      </c>
      <c r="C76" s="88">
        <v>416</v>
      </c>
      <c r="D76" s="89">
        <v>5.7938718662952704</v>
      </c>
      <c r="E76" s="279"/>
      <c r="F76" s="338">
        <v>12</v>
      </c>
      <c r="G76" s="218" t="s">
        <v>342</v>
      </c>
      <c r="H76" s="88">
        <v>148</v>
      </c>
      <c r="I76" s="89">
        <v>2.0612813370473502</v>
      </c>
      <c r="J76" s="279"/>
      <c r="K76" s="339">
        <v>12</v>
      </c>
      <c r="L76" s="245" t="s">
        <v>308</v>
      </c>
      <c r="M76" s="340">
        <v>187</v>
      </c>
      <c r="N76" s="279">
        <v>2.6044568245125301</v>
      </c>
      <c r="O76" s="279"/>
      <c r="P76" s="339">
        <v>12</v>
      </c>
      <c r="Q76" s="245" t="s">
        <v>322</v>
      </c>
      <c r="R76" s="340">
        <v>200</v>
      </c>
      <c r="S76" s="279">
        <v>2.7855153203342602</v>
      </c>
    </row>
    <row r="77" spans="1:19" s="337" customFormat="1" ht="15" customHeight="1" x14ac:dyDescent="0.2">
      <c r="A77" s="249">
        <v>13</v>
      </c>
      <c r="B77" s="218" t="s">
        <v>296</v>
      </c>
      <c r="C77" s="88">
        <v>384</v>
      </c>
      <c r="D77" s="89">
        <v>5.3481894150417801</v>
      </c>
      <c r="E77" s="279"/>
      <c r="F77" s="338">
        <v>13</v>
      </c>
      <c r="G77" s="218" t="s">
        <v>347</v>
      </c>
      <c r="H77" s="88">
        <v>148</v>
      </c>
      <c r="I77" s="89">
        <v>2.0612813370473502</v>
      </c>
      <c r="J77" s="279"/>
      <c r="K77" s="339">
        <v>13</v>
      </c>
      <c r="L77" s="245" t="s">
        <v>312</v>
      </c>
      <c r="M77" s="340">
        <v>183</v>
      </c>
      <c r="N77" s="279">
        <v>2.5487465181058502</v>
      </c>
      <c r="O77" s="279"/>
      <c r="P77" s="339">
        <v>13</v>
      </c>
      <c r="Q77" s="245" t="s">
        <v>371</v>
      </c>
      <c r="R77" s="340">
        <v>199</v>
      </c>
      <c r="S77" s="279">
        <v>2.77158774373259</v>
      </c>
    </row>
    <row r="78" spans="1:19" s="337" customFormat="1" ht="15" customHeight="1" x14ac:dyDescent="0.2">
      <c r="A78" s="249">
        <v>14</v>
      </c>
      <c r="B78" s="218" t="s">
        <v>130</v>
      </c>
      <c r="C78" s="88">
        <v>383</v>
      </c>
      <c r="D78" s="89">
        <v>5.3342618384401099</v>
      </c>
      <c r="E78" s="279"/>
      <c r="F78" s="338">
        <v>14</v>
      </c>
      <c r="G78" s="218" t="s">
        <v>337</v>
      </c>
      <c r="H78" s="88">
        <v>137</v>
      </c>
      <c r="I78" s="89">
        <v>1.9080779944289701</v>
      </c>
      <c r="J78" s="279"/>
      <c r="K78" s="339">
        <v>14</v>
      </c>
      <c r="L78" s="245" t="s">
        <v>348</v>
      </c>
      <c r="M78" s="340">
        <v>182</v>
      </c>
      <c r="N78" s="279">
        <v>2.53481894150418</v>
      </c>
      <c r="O78" s="279"/>
      <c r="P78" s="339">
        <v>14</v>
      </c>
      <c r="Q78" s="245" t="s">
        <v>303</v>
      </c>
      <c r="R78" s="340">
        <v>198</v>
      </c>
      <c r="S78" s="279">
        <v>2.7576601671309202</v>
      </c>
    </row>
    <row r="79" spans="1:19" s="337" customFormat="1" ht="15" customHeight="1" x14ac:dyDescent="0.2">
      <c r="A79" s="249">
        <v>15</v>
      </c>
      <c r="B79" s="218" t="s">
        <v>308</v>
      </c>
      <c r="C79" s="88">
        <v>383</v>
      </c>
      <c r="D79" s="89">
        <v>5.3342618384401099</v>
      </c>
      <c r="E79" s="279"/>
      <c r="F79" s="338">
        <v>15</v>
      </c>
      <c r="G79" s="218" t="s">
        <v>331</v>
      </c>
      <c r="H79" s="88">
        <v>128</v>
      </c>
      <c r="I79" s="89">
        <v>1.78272980501393</v>
      </c>
      <c r="J79" s="279"/>
      <c r="K79" s="339">
        <v>15</v>
      </c>
      <c r="L79" s="245" t="s">
        <v>293</v>
      </c>
      <c r="M79" s="340">
        <v>179</v>
      </c>
      <c r="N79" s="279">
        <v>2.49303621169916</v>
      </c>
      <c r="O79" s="279"/>
      <c r="P79" s="339">
        <v>15</v>
      </c>
      <c r="Q79" s="245" t="s">
        <v>379</v>
      </c>
      <c r="R79" s="340">
        <v>192</v>
      </c>
      <c r="S79" s="279">
        <v>2.6740947075208901</v>
      </c>
    </row>
    <row r="80" spans="1:19" s="337" customFormat="1" ht="15" customHeight="1" x14ac:dyDescent="0.2">
      <c r="A80" s="249">
        <v>16</v>
      </c>
      <c r="B80" s="218" t="s">
        <v>322</v>
      </c>
      <c r="C80" s="88">
        <v>380</v>
      </c>
      <c r="D80" s="89">
        <v>5.2924791086351002</v>
      </c>
      <c r="E80" s="279"/>
      <c r="F80" s="338">
        <v>16</v>
      </c>
      <c r="G80" s="218" t="s">
        <v>322</v>
      </c>
      <c r="H80" s="88">
        <v>124</v>
      </c>
      <c r="I80" s="89">
        <v>1.72701949860724</v>
      </c>
      <c r="J80" s="279"/>
      <c r="K80" s="339">
        <v>16</v>
      </c>
      <c r="L80" s="245" t="s">
        <v>295</v>
      </c>
      <c r="M80" s="340">
        <v>176</v>
      </c>
      <c r="N80" s="279">
        <v>2.4512534818941498</v>
      </c>
      <c r="O80" s="279"/>
      <c r="P80" s="339">
        <v>16</v>
      </c>
      <c r="Q80" s="245" t="s">
        <v>357</v>
      </c>
      <c r="R80" s="340">
        <v>186</v>
      </c>
      <c r="S80" s="279">
        <v>2.5905292479108599</v>
      </c>
    </row>
    <row r="81" spans="1:19" s="337" customFormat="1" ht="15" customHeight="1" x14ac:dyDescent="0.2">
      <c r="A81" s="249">
        <v>17</v>
      </c>
      <c r="B81" s="218" t="s">
        <v>335</v>
      </c>
      <c r="C81" s="88">
        <v>378</v>
      </c>
      <c r="D81" s="89">
        <v>5.2646239554317598</v>
      </c>
      <c r="E81" s="279"/>
      <c r="F81" s="338">
        <v>17</v>
      </c>
      <c r="G81" s="218" t="s">
        <v>305</v>
      </c>
      <c r="H81" s="88">
        <v>118</v>
      </c>
      <c r="I81" s="89">
        <v>1.6434540389972201</v>
      </c>
      <c r="J81" s="279"/>
      <c r="K81" s="339">
        <v>17</v>
      </c>
      <c r="L81" s="245" t="s">
        <v>358</v>
      </c>
      <c r="M81" s="340">
        <v>150</v>
      </c>
      <c r="N81" s="279">
        <v>2.0891364902506999</v>
      </c>
      <c r="O81" s="279"/>
      <c r="P81" s="339">
        <v>17</v>
      </c>
      <c r="Q81" s="245" t="s">
        <v>346</v>
      </c>
      <c r="R81" s="340">
        <v>179</v>
      </c>
      <c r="S81" s="279">
        <v>2.49303621169916</v>
      </c>
    </row>
    <row r="82" spans="1:19" s="337" customFormat="1" ht="15" customHeight="1" x14ac:dyDescent="0.2">
      <c r="A82" s="249">
        <v>18</v>
      </c>
      <c r="B82" s="218" t="s">
        <v>336</v>
      </c>
      <c r="C82" s="88">
        <v>372</v>
      </c>
      <c r="D82" s="89">
        <v>5.1810584958217296</v>
      </c>
      <c r="E82" s="279"/>
      <c r="F82" s="338">
        <v>18</v>
      </c>
      <c r="G82" s="218" t="s">
        <v>384</v>
      </c>
      <c r="H82" s="88">
        <v>109</v>
      </c>
      <c r="I82" s="89">
        <v>1.51810584958217</v>
      </c>
      <c r="J82" s="279"/>
      <c r="K82" s="339">
        <v>18</v>
      </c>
      <c r="L82" s="245" t="s">
        <v>302</v>
      </c>
      <c r="M82" s="340">
        <v>128</v>
      </c>
      <c r="N82" s="279">
        <v>1.78272980501393</v>
      </c>
      <c r="O82" s="279"/>
      <c r="P82" s="339">
        <v>18</v>
      </c>
      <c r="Q82" s="245" t="s">
        <v>308</v>
      </c>
      <c r="R82" s="340">
        <v>153</v>
      </c>
      <c r="S82" s="279">
        <v>2.1309192200557101</v>
      </c>
    </row>
    <row r="83" spans="1:19" s="337" customFormat="1" ht="15" customHeight="1" x14ac:dyDescent="0.2">
      <c r="A83" s="249">
        <v>19</v>
      </c>
      <c r="B83" s="218" t="s">
        <v>310</v>
      </c>
      <c r="C83" s="88">
        <v>369</v>
      </c>
      <c r="D83" s="89">
        <v>5.1392757660167101</v>
      </c>
      <c r="E83" s="279"/>
      <c r="F83" s="338">
        <v>19</v>
      </c>
      <c r="G83" s="218" t="s">
        <v>296</v>
      </c>
      <c r="H83" s="88">
        <v>100</v>
      </c>
      <c r="I83" s="89">
        <v>1.3927576601671301</v>
      </c>
      <c r="J83" s="279"/>
      <c r="K83" s="339">
        <v>19</v>
      </c>
      <c r="L83" s="245" t="s">
        <v>385</v>
      </c>
      <c r="M83" s="340">
        <v>122</v>
      </c>
      <c r="N83" s="279">
        <v>1.6991643454039</v>
      </c>
      <c r="O83" s="279"/>
      <c r="P83" s="339">
        <v>19</v>
      </c>
      <c r="Q83" s="245" t="s">
        <v>314</v>
      </c>
      <c r="R83" s="340">
        <v>148</v>
      </c>
      <c r="S83" s="279">
        <v>2.0612813370473502</v>
      </c>
    </row>
    <row r="84" spans="1:19" s="337" customFormat="1" ht="15" customHeight="1" x14ac:dyDescent="0.2">
      <c r="A84" s="249">
        <v>20</v>
      </c>
      <c r="B84" s="218" t="s">
        <v>323</v>
      </c>
      <c r="C84" s="341">
        <v>357</v>
      </c>
      <c r="D84" s="342">
        <v>4.9721448467966596</v>
      </c>
      <c r="E84" s="279"/>
      <c r="F84" s="343">
        <v>20</v>
      </c>
      <c r="G84" s="218" t="s">
        <v>380</v>
      </c>
      <c r="H84" s="341">
        <v>99</v>
      </c>
      <c r="I84" s="342">
        <v>1.3788300835654601</v>
      </c>
      <c r="J84" s="279"/>
      <c r="K84" s="339">
        <v>20</v>
      </c>
      <c r="L84" s="245" t="s">
        <v>320</v>
      </c>
      <c r="M84" s="340">
        <v>122</v>
      </c>
      <c r="N84" s="279">
        <v>1.6991643454039</v>
      </c>
      <c r="O84" s="279"/>
      <c r="P84" s="339">
        <v>20</v>
      </c>
      <c r="Q84" s="245" t="s">
        <v>343</v>
      </c>
      <c r="R84" s="340">
        <v>148</v>
      </c>
      <c r="S84" s="279">
        <v>2.0612813370473502</v>
      </c>
    </row>
    <row r="85" spans="1:19" s="20" customFormat="1" ht="15" customHeight="1" x14ac:dyDescent="0.2">
      <c r="A85" s="303"/>
      <c r="B85" s="68" t="s">
        <v>329</v>
      </c>
      <c r="C85" s="304">
        <v>7180</v>
      </c>
      <c r="D85" s="344" t="s">
        <v>70</v>
      </c>
      <c r="E85" s="305"/>
      <c r="F85" s="303"/>
      <c r="G85" s="68" t="s">
        <v>329</v>
      </c>
      <c r="H85" s="304">
        <v>7180</v>
      </c>
      <c r="I85" s="344" t="s">
        <v>70</v>
      </c>
      <c r="J85" s="239"/>
      <c r="K85" s="303"/>
      <c r="L85" s="68" t="s">
        <v>329</v>
      </c>
      <c r="M85" s="304">
        <v>7180</v>
      </c>
      <c r="N85" s="344" t="s">
        <v>70</v>
      </c>
      <c r="O85" s="239"/>
      <c r="P85" s="303"/>
      <c r="Q85" s="68" t="s">
        <v>329</v>
      </c>
      <c r="R85" s="304">
        <v>7180</v>
      </c>
      <c r="S85" s="344" t="s">
        <v>70</v>
      </c>
    </row>
    <row r="86" spans="1:19" s="337" customFormat="1" ht="15" customHeight="1" x14ac:dyDescent="0.2">
      <c r="A86" s="345"/>
      <c r="B86" s="300"/>
      <c r="C86" s="353"/>
      <c r="D86" s="354"/>
      <c r="F86" s="346"/>
      <c r="G86" s="245"/>
      <c r="H86" s="340"/>
      <c r="I86" s="279"/>
      <c r="J86" s="279"/>
      <c r="K86" s="345"/>
      <c r="L86" s="245"/>
      <c r="M86" s="340"/>
      <c r="N86" s="279"/>
      <c r="O86" s="279"/>
      <c r="P86" s="345"/>
      <c r="Q86" s="245"/>
      <c r="R86" s="340"/>
      <c r="S86" s="279"/>
    </row>
    <row r="87" spans="1:19" s="337" customFormat="1" ht="15" customHeight="1" x14ac:dyDescent="0.2">
      <c r="A87" s="299" t="s">
        <v>276</v>
      </c>
      <c r="B87" s="300"/>
      <c r="C87" s="353"/>
      <c r="D87" s="354"/>
      <c r="F87" s="299" t="s">
        <v>276</v>
      </c>
      <c r="G87" s="245"/>
      <c r="H87" s="340"/>
      <c r="I87" s="279"/>
      <c r="J87" s="279"/>
      <c r="K87" s="299" t="s">
        <v>276</v>
      </c>
      <c r="L87" s="245"/>
      <c r="M87" s="340"/>
      <c r="N87" s="279"/>
      <c r="O87" s="279"/>
      <c r="P87" s="299" t="s">
        <v>276</v>
      </c>
      <c r="Q87" s="245"/>
      <c r="R87" s="340"/>
      <c r="S87" s="279"/>
    </row>
    <row r="88" spans="1:19" s="337" customFormat="1" ht="15" customHeight="1" x14ac:dyDescent="0.2">
      <c r="A88" s="249">
        <v>1</v>
      </c>
      <c r="B88" s="218" t="s">
        <v>315</v>
      </c>
      <c r="C88" s="88">
        <v>2621</v>
      </c>
      <c r="D88" s="89">
        <v>17.763470010165999</v>
      </c>
      <c r="E88" s="279"/>
      <c r="F88" s="338">
        <v>1</v>
      </c>
      <c r="G88" s="218" t="s">
        <v>315</v>
      </c>
      <c r="H88" s="88">
        <v>1543</v>
      </c>
      <c r="I88" s="89">
        <v>10.4574720433751</v>
      </c>
      <c r="J88" s="279"/>
      <c r="K88" s="339">
        <v>1</v>
      </c>
      <c r="L88" s="245" t="s">
        <v>297</v>
      </c>
      <c r="M88" s="340">
        <v>931</v>
      </c>
      <c r="N88" s="279">
        <v>6.3097255167739803</v>
      </c>
      <c r="O88" s="279"/>
      <c r="P88" s="339">
        <v>1</v>
      </c>
      <c r="Q88" s="245" t="s">
        <v>117</v>
      </c>
      <c r="R88" s="340">
        <v>1080</v>
      </c>
      <c r="S88" s="279">
        <v>7.3195526940020397</v>
      </c>
    </row>
    <row r="89" spans="1:19" s="337" customFormat="1" ht="15" customHeight="1" x14ac:dyDescent="0.2">
      <c r="A89" s="249">
        <v>2</v>
      </c>
      <c r="B89" s="218" t="s">
        <v>117</v>
      </c>
      <c r="C89" s="88">
        <v>1668</v>
      </c>
      <c r="D89" s="89">
        <v>11.3046424940698</v>
      </c>
      <c r="E89" s="279"/>
      <c r="F89" s="338">
        <v>2</v>
      </c>
      <c r="G89" s="218" t="s">
        <v>306</v>
      </c>
      <c r="H89" s="88">
        <v>1329</v>
      </c>
      <c r="I89" s="89">
        <v>9.0071162317858402</v>
      </c>
      <c r="J89" s="279"/>
      <c r="K89" s="339">
        <v>2</v>
      </c>
      <c r="L89" s="245" t="s">
        <v>319</v>
      </c>
      <c r="M89" s="340">
        <v>731</v>
      </c>
      <c r="N89" s="279">
        <v>4.95425279566249</v>
      </c>
      <c r="O89" s="279"/>
      <c r="P89" s="339">
        <v>2</v>
      </c>
      <c r="Q89" s="245" t="s">
        <v>320</v>
      </c>
      <c r="R89" s="340">
        <v>968</v>
      </c>
      <c r="S89" s="279">
        <v>6.5604879701795999</v>
      </c>
    </row>
    <row r="90" spans="1:19" s="337" customFormat="1" ht="15" customHeight="1" x14ac:dyDescent="0.2">
      <c r="A90" s="249">
        <v>3</v>
      </c>
      <c r="B90" s="218" t="s">
        <v>287</v>
      </c>
      <c r="C90" s="88">
        <v>1554</v>
      </c>
      <c r="D90" s="89">
        <v>10.5320230430363</v>
      </c>
      <c r="E90" s="279"/>
      <c r="F90" s="338">
        <v>3</v>
      </c>
      <c r="G90" s="218" t="s">
        <v>287</v>
      </c>
      <c r="H90" s="88">
        <v>663</v>
      </c>
      <c r="I90" s="89">
        <v>4.49339207048458</v>
      </c>
      <c r="J90" s="279"/>
      <c r="K90" s="339">
        <v>3</v>
      </c>
      <c r="L90" s="245" t="s">
        <v>310</v>
      </c>
      <c r="M90" s="340">
        <v>721</v>
      </c>
      <c r="N90" s="279">
        <v>4.8864791596069104</v>
      </c>
      <c r="O90" s="279"/>
      <c r="P90" s="339">
        <v>3</v>
      </c>
      <c r="Q90" s="245" t="s">
        <v>322</v>
      </c>
      <c r="R90" s="340">
        <v>680</v>
      </c>
      <c r="S90" s="279">
        <v>4.6086072517790599</v>
      </c>
    </row>
    <row r="91" spans="1:19" s="337" customFormat="1" ht="15" customHeight="1" x14ac:dyDescent="0.2">
      <c r="A91" s="249">
        <v>4</v>
      </c>
      <c r="B91" s="218" t="s">
        <v>322</v>
      </c>
      <c r="C91" s="88">
        <v>1513</v>
      </c>
      <c r="D91" s="89">
        <v>10.254151135208399</v>
      </c>
      <c r="E91" s="279"/>
      <c r="F91" s="338">
        <v>4</v>
      </c>
      <c r="G91" s="218" t="s">
        <v>323</v>
      </c>
      <c r="H91" s="88">
        <v>656</v>
      </c>
      <c r="I91" s="89">
        <v>4.4459505252456797</v>
      </c>
      <c r="J91" s="279"/>
      <c r="K91" s="339">
        <v>4</v>
      </c>
      <c r="L91" s="245" t="s">
        <v>301</v>
      </c>
      <c r="M91" s="340">
        <v>710</v>
      </c>
      <c r="N91" s="279">
        <v>4.8119281599457802</v>
      </c>
      <c r="O91" s="279"/>
      <c r="P91" s="339">
        <v>4</v>
      </c>
      <c r="Q91" s="245" t="s">
        <v>300</v>
      </c>
      <c r="R91" s="340">
        <v>629</v>
      </c>
      <c r="S91" s="279">
        <v>4.2629617078956299</v>
      </c>
    </row>
    <row r="92" spans="1:19" s="337" customFormat="1" ht="15" customHeight="1" x14ac:dyDescent="0.2">
      <c r="A92" s="249">
        <v>5</v>
      </c>
      <c r="B92" s="218" t="s">
        <v>306</v>
      </c>
      <c r="C92" s="88">
        <v>1419</v>
      </c>
      <c r="D92" s="89">
        <v>9.6170789562860097</v>
      </c>
      <c r="E92" s="279"/>
      <c r="F92" s="338">
        <v>5</v>
      </c>
      <c r="G92" s="218" t="s">
        <v>322</v>
      </c>
      <c r="H92" s="88">
        <v>606</v>
      </c>
      <c r="I92" s="89">
        <v>4.10708234496781</v>
      </c>
      <c r="J92" s="279"/>
      <c r="K92" s="339">
        <v>5</v>
      </c>
      <c r="L92" s="245" t="s">
        <v>293</v>
      </c>
      <c r="M92" s="340">
        <v>558</v>
      </c>
      <c r="N92" s="279">
        <v>3.7817688919010499</v>
      </c>
      <c r="O92" s="279"/>
      <c r="P92" s="339">
        <v>5</v>
      </c>
      <c r="Q92" s="245" t="s">
        <v>315</v>
      </c>
      <c r="R92" s="340">
        <v>611</v>
      </c>
      <c r="S92" s="279">
        <v>4.1409691629956003</v>
      </c>
    </row>
    <row r="93" spans="1:19" s="337" customFormat="1" ht="15" customHeight="1" x14ac:dyDescent="0.2">
      <c r="A93" s="249">
        <v>6</v>
      </c>
      <c r="B93" s="218" t="s">
        <v>320</v>
      </c>
      <c r="C93" s="88">
        <v>1290</v>
      </c>
      <c r="D93" s="89">
        <v>8.7427990511691007</v>
      </c>
      <c r="E93" s="279"/>
      <c r="F93" s="338">
        <v>6</v>
      </c>
      <c r="G93" s="218" t="s">
        <v>313</v>
      </c>
      <c r="H93" s="88">
        <v>564</v>
      </c>
      <c r="I93" s="89">
        <v>3.8224330735344001</v>
      </c>
      <c r="J93" s="279"/>
      <c r="K93" s="339">
        <v>6</v>
      </c>
      <c r="L93" s="245" t="s">
        <v>315</v>
      </c>
      <c r="M93" s="340">
        <v>467</v>
      </c>
      <c r="N93" s="279">
        <v>3.16502880379532</v>
      </c>
      <c r="O93" s="279"/>
      <c r="P93" s="339">
        <v>6</v>
      </c>
      <c r="Q93" s="245" t="s">
        <v>336</v>
      </c>
      <c r="R93" s="340">
        <v>609</v>
      </c>
      <c r="S93" s="279">
        <v>4.1274144357844804</v>
      </c>
    </row>
    <row r="94" spans="1:19" s="337" customFormat="1" ht="15" customHeight="1" x14ac:dyDescent="0.2">
      <c r="A94" s="249">
        <v>7</v>
      </c>
      <c r="B94" s="218" t="s">
        <v>300</v>
      </c>
      <c r="C94" s="88">
        <v>991</v>
      </c>
      <c r="D94" s="89">
        <v>6.7163673331074198</v>
      </c>
      <c r="E94" s="279"/>
      <c r="F94" s="338">
        <v>7</v>
      </c>
      <c r="G94" s="218" t="s">
        <v>316</v>
      </c>
      <c r="H94" s="88">
        <v>536</v>
      </c>
      <c r="I94" s="89">
        <v>3.6326668925787899</v>
      </c>
      <c r="J94" s="279"/>
      <c r="K94" s="339">
        <v>7</v>
      </c>
      <c r="L94" s="245" t="s">
        <v>296</v>
      </c>
      <c r="M94" s="340">
        <v>447</v>
      </c>
      <c r="N94" s="279">
        <v>3.0294815316841799</v>
      </c>
      <c r="O94" s="279"/>
      <c r="P94" s="339">
        <v>7</v>
      </c>
      <c r="Q94" s="245" t="s">
        <v>287</v>
      </c>
      <c r="R94" s="340">
        <v>479</v>
      </c>
      <c r="S94" s="279">
        <v>3.2463571670620102</v>
      </c>
    </row>
    <row r="95" spans="1:19" s="337" customFormat="1" ht="15" customHeight="1" x14ac:dyDescent="0.2">
      <c r="A95" s="249">
        <v>8</v>
      </c>
      <c r="B95" s="218" t="s">
        <v>297</v>
      </c>
      <c r="C95" s="88">
        <v>985</v>
      </c>
      <c r="D95" s="89">
        <v>6.6757031514740799</v>
      </c>
      <c r="E95" s="279"/>
      <c r="F95" s="338">
        <v>8</v>
      </c>
      <c r="G95" s="218" t="s">
        <v>309</v>
      </c>
      <c r="H95" s="88">
        <v>483</v>
      </c>
      <c r="I95" s="89">
        <v>3.2734666214842401</v>
      </c>
      <c r="J95" s="279"/>
      <c r="K95" s="339">
        <v>8</v>
      </c>
      <c r="L95" s="245" t="s">
        <v>287</v>
      </c>
      <c r="M95" s="340">
        <v>412</v>
      </c>
      <c r="N95" s="279">
        <v>2.7922738054896601</v>
      </c>
      <c r="O95" s="279"/>
      <c r="P95" s="339">
        <v>8</v>
      </c>
      <c r="Q95" s="245" t="s">
        <v>308</v>
      </c>
      <c r="R95" s="340">
        <v>459</v>
      </c>
      <c r="S95" s="279">
        <v>3.11080989495087</v>
      </c>
    </row>
    <row r="96" spans="1:19" s="337" customFormat="1" ht="15" customHeight="1" x14ac:dyDescent="0.2">
      <c r="A96" s="249">
        <v>9</v>
      </c>
      <c r="B96" s="218" t="s">
        <v>120</v>
      </c>
      <c r="C96" s="88">
        <v>973</v>
      </c>
      <c r="D96" s="89">
        <v>6.5943747882073902</v>
      </c>
      <c r="E96" s="279"/>
      <c r="F96" s="338">
        <v>9</v>
      </c>
      <c r="G96" s="218" t="s">
        <v>117</v>
      </c>
      <c r="H96" s="88">
        <v>452</v>
      </c>
      <c r="I96" s="89">
        <v>3.0633683497119599</v>
      </c>
      <c r="J96" s="279"/>
      <c r="K96" s="339">
        <v>9</v>
      </c>
      <c r="L96" s="245" t="s">
        <v>295</v>
      </c>
      <c r="M96" s="340">
        <v>396</v>
      </c>
      <c r="N96" s="279">
        <v>2.6838359878007498</v>
      </c>
      <c r="O96" s="279"/>
      <c r="P96" s="339">
        <v>9</v>
      </c>
      <c r="Q96" s="245" t="s">
        <v>382</v>
      </c>
      <c r="R96" s="340">
        <v>425</v>
      </c>
      <c r="S96" s="279">
        <v>2.8803795323619101</v>
      </c>
    </row>
    <row r="97" spans="1:19" s="337" customFormat="1" ht="15" customHeight="1" x14ac:dyDescent="0.2">
      <c r="A97" s="249">
        <v>10</v>
      </c>
      <c r="B97" s="218" t="s">
        <v>308</v>
      </c>
      <c r="C97" s="88">
        <v>966</v>
      </c>
      <c r="D97" s="89">
        <v>6.5469332429684899</v>
      </c>
      <c r="E97" s="279"/>
      <c r="F97" s="338">
        <v>10</v>
      </c>
      <c r="G97" s="218" t="s">
        <v>120</v>
      </c>
      <c r="H97" s="88">
        <v>435</v>
      </c>
      <c r="I97" s="89">
        <v>2.9481531684174902</v>
      </c>
      <c r="J97" s="279"/>
      <c r="K97" s="339">
        <v>10</v>
      </c>
      <c r="L97" s="245" t="s">
        <v>308</v>
      </c>
      <c r="M97" s="340">
        <v>392</v>
      </c>
      <c r="N97" s="279">
        <v>2.6567265333785199</v>
      </c>
      <c r="O97" s="279"/>
      <c r="P97" s="339">
        <v>10</v>
      </c>
      <c r="Q97" s="245" t="s">
        <v>314</v>
      </c>
      <c r="R97" s="340">
        <v>392</v>
      </c>
      <c r="S97" s="279">
        <v>2.6567265333785199</v>
      </c>
    </row>
    <row r="98" spans="1:19" s="337" customFormat="1" ht="15" customHeight="1" x14ac:dyDescent="0.2">
      <c r="A98" s="249">
        <v>11</v>
      </c>
      <c r="B98" s="218" t="s">
        <v>296</v>
      </c>
      <c r="C98" s="88">
        <v>922</v>
      </c>
      <c r="D98" s="89">
        <v>6.2487292443239602</v>
      </c>
      <c r="E98" s="279"/>
      <c r="F98" s="338">
        <v>11</v>
      </c>
      <c r="G98" s="218" t="s">
        <v>337</v>
      </c>
      <c r="H98" s="88">
        <v>384</v>
      </c>
      <c r="I98" s="89">
        <v>2.6025076245340601</v>
      </c>
      <c r="J98" s="279"/>
      <c r="K98" s="339">
        <v>11</v>
      </c>
      <c r="L98" s="245" t="s">
        <v>302</v>
      </c>
      <c r="M98" s="340">
        <v>381</v>
      </c>
      <c r="N98" s="279">
        <v>2.58217553371738</v>
      </c>
      <c r="O98" s="279"/>
      <c r="P98" s="339">
        <v>11</v>
      </c>
      <c r="Q98" s="245" t="s">
        <v>298</v>
      </c>
      <c r="R98" s="340">
        <v>389</v>
      </c>
      <c r="S98" s="279">
        <v>2.6363944425618402</v>
      </c>
    </row>
    <row r="99" spans="1:19" s="337" customFormat="1" ht="15" customHeight="1" x14ac:dyDescent="0.2">
      <c r="A99" s="249">
        <v>12</v>
      </c>
      <c r="B99" s="218" t="s">
        <v>301</v>
      </c>
      <c r="C99" s="88">
        <v>870</v>
      </c>
      <c r="D99" s="89">
        <v>5.8963063368349697</v>
      </c>
      <c r="E99" s="279"/>
      <c r="F99" s="338">
        <v>12</v>
      </c>
      <c r="G99" s="218" t="s">
        <v>342</v>
      </c>
      <c r="H99" s="88">
        <v>345</v>
      </c>
      <c r="I99" s="89">
        <v>2.3381904439173198</v>
      </c>
      <c r="J99" s="279"/>
      <c r="K99" s="339">
        <v>12</v>
      </c>
      <c r="L99" s="245" t="s">
        <v>312</v>
      </c>
      <c r="M99" s="340">
        <v>379</v>
      </c>
      <c r="N99" s="279">
        <v>2.5686208065062699</v>
      </c>
      <c r="O99" s="279"/>
      <c r="P99" s="339">
        <v>12</v>
      </c>
      <c r="Q99" s="245" t="s">
        <v>311</v>
      </c>
      <c r="R99" s="340">
        <v>382</v>
      </c>
      <c r="S99" s="279">
        <v>2.5889528973229399</v>
      </c>
    </row>
    <row r="100" spans="1:19" s="337" customFormat="1" ht="15" customHeight="1" x14ac:dyDescent="0.2">
      <c r="A100" s="249">
        <v>13</v>
      </c>
      <c r="B100" s="218" t="s">
        <v>303</v>
      </c>
      <c r="C100" s="88">
        <v>847</v>
      </c>
      <c r="D100" s="89">
        <v>5.7404269739071498</v>
      </c>
      <c r="E100" s="279"/>
      <c r="F100" s="338">
        <v>13</v>
      </c>
      <c r="G100" s="218" t="s">
        <v>330</v>
      </c>
      <c r="H100" s="88">
        <v>344</v>
      </c>
      <c r="I100" s="89">
        <v>2.3314130803117599</v>
      </c>
      <c r="J100" s="279"/>
      <c r="K100" s="339">
        <v>13</v>
      </c>
      <c r="L100" s="245" t="s">
        <v>364</v>
      </c>
      <c r="M100" s="340">
        <v>349</v>
      </c>
      <c r="N100" s="279">
        <v>2.3652998983395501</v>
      </c>
      <c r="O100" s="279"/>
      <c r="P100" s="339">
        <v>13</v>
      </c>
      <c r="Q100" s="245" t="s">
        <v>303</v>
      </c>
      <c r="R100" s="340">
        <v>332</v>
      </c>
      <c r="S100" s="279">
        <v>2.2500847170450702</v>
      </c>
    </row>
    <row r="101" spans="1:19" s="337" customFormat="1" ht="15" customHeight="1" x14ac:dyDescent="0.2">
      <c r="A101" s="249">
        <v>14</v>
      </c>
      <c r="B101" s="218" t="s">
        <v>319</v>
      </c>
      <c r="C101" s="88">
        <v>841</v>
      </c>
      <c r="D101" s="89">
        <v>5.6997627922738099</v>
      </c>
      <c r="E101" s="279"/>
      <c r="F101" s="338">
        <v>14</v>
      </c>
      <c r="G101" s="218" t="s">
        <v>331</v>
      </c>
      <c r="H101" s="88">
        <v>283</v>
      </c>
      <c r="I101" s="89">
        <v>1.91799390037276</v>
      </c>
      <c r="J101" s="279"/>
      <c r="K101" s="339">
        <v>14</v>
      </c>
      <c r="L101" s="245" t="s">
        <v>120</v>
      </c>
      <c r="M101" s="340">
        <v>320</v>
      </c>
      <c r="N101" s="279">
        <v>2.1687563537783801</v>
      </c>
      <c r="O101" s="279"/>
      <c r="P101" s="339">
        <v>14</v>
      </c>
      <c r="Q101" s="245" t="s">
        <v>296</v>
      </c>
      <c r="R101" s="340">
        <v>271</v>
      </c>
      <c r="S101" s="279">
        <v>1.8366655371060701</v>
      </c>
    </row>
    <row r="102" spans="1:19" s="337" customFormat="1" ht="15" customHeight="1" x14ac:dyDescent="0.2">
      <c r="A102" s="249">
        <v>15</v>
      </c>
      <c r="B102" s="218" t="s">
        <v>336</v>
      </c>
      <c r="C102" s="88">
        <v>765</v>
      </c>
      <c r="D102" s="89">
        <v>5.1846831582514401</v>
      </c>
      <c r="E102" s="279"/>
      <c r="F102" s="338">
        <v>15</v>
      </c>
      <c r="G102" s="218" t="s">
        <v>305</v>
      </c>
      <c r="H102" s="88">
        <v>274</v>
      </c>
      <c r="I102" s="89">
        <v>1.85699762792274</v>
      </c>
      <c r="J102" s="279"/>
      <c r="K102" s="339">
        <v>15</v>
      </c>
      <c r="L102" s="245" t="s">
        <v>303</v>
      </c>
      <c r="M102" s="340">
        <v>312</v>
      </c>
      <c r="N102" s="279">
        <v>2.1145374449339198</v>
      </c>
      <c r="O102" s="279"/>
      <c r="P102" s="339">
        <v>15</v>
      </c>
      <c r="Q102" s="245" t="s">
        <v>292</v>
      </c>
      <c r="R102" s="340">
        <v>231</v>
      </c>
      <c r="S102" s="279">
        <v>1.56557099288377</v>
      </c>
    </row>
    <row r="103" spans="1:19" s="337" customFormat="1" ht="15" customHeight="1" x14ac:dyDescent="0.2">
      <c r="A103" s="249">
        <v>16</v>
      </c>
      <c r="B103" s="218" t="s">
        <v>310</v>
      </c>
      <c r="C103" s="88">
        <v>731</v>
      </c>
      <c r="D103" s="89">
        <v>4.95425279566249</v>
      </c>
      <c r="E103" s="279"/>
      <c r="F103" s="338">
        <v>16</v>
      </c>
      <c r="G103" s="218" t="s">
        <v>386</v>
      </c>
      <c r="H103" s="88">
        <v>221</v>
      </c>
      <c r="I103" s="89">
        <v>1.4977973568281899</v>
      </c>
      <c r="J103" s="279"/>
      <c r="K103" s="339">
        <v>16</v>
      </c>
      <c r="L103" s="245" t="s">
        <v>320</v>
      </c>
      <c r="M103" s="340">
        <v>299</v>
      </c>
      <c r="N103" s="279">
        <v>2.0264317180616702</v>
      </c>
      <c r="O103" s="279"/>
      <c r="P103" s="339">
        <v>16</v>
      </c>
      <c r="Q103" s="245" t="s">
        <v>379</v>
      </c>
      <c r="R103" s="340">
        <v>228</v>
      </c>
      <c r="S103" s="279">
        <v>1.5452389020671</v>
      </c>
    </row>
    <row r="104" spans="1:19" s="337" customFormat="1" ht="15" customHeight="1" x14ac:dyDescent="0.2">
      <c r="A104" s="249">
        <v>17</v>
      </c>
      <c r="B104" s="218" t="s">
        <v>323</v>
      </c>
      <c r="C104" s="88">
        <v>706</v>
      </c>
      <c r="D104" s="89">
        <v>4.7848187055235503</v>
      </c>
      <c r="E104" s="279"/>
      <c r="F104" s="338">
        <v>17</v>
      </c>
      <c r="G104" s="218" t="s">
        <v>387</v>
      </c>
      <c r="H104" s="88">
        <v>213</v>
      </c>
      <c r="I104" s="89">
        <v>1.4435784479837299</v>
      </c>
      <c r="J104" s="279"/>
      <c r="K104" s="339">
        <v>17</v>
      </c>
      <c r="L104" s="245" t="s">
        <v>335</v>
      </c>
      <c r="M104" s="340">
        <v>288</v>
      </c>
      <c r="N104" s="279">
        <v>1.95188071840054</v>
      </c>
      <c r="O104" s="279"/>
      <c r="P104" s="339">
        <v>17</v>
      </c>
      <c r="Q104" s="245" t="s">
        <v>120</v>
      </c>
      <c r="R104" s="340">
        <v>218</v>
      </c>
      <c r="S104" s="279">
        <v>1.47746526601152</v>
      </c>
    </row>
    <row r="105" spans="1:19" s="337" customFormat="1" ht="15" customHeight="1" x14ac:dyDescent="0.2">
      <c r="A105" s="249">
        <v>18</v>
      </c>
      <c r="B105" s="218" t="s">
        <v>313</v>
      </c>
      <c r="C105" s="88">
        <v>626</v>
      </c>
      <c r="D105" s="89">
        <v>4.2426296170789604</v>
      </c>
      <c r="E105" s="279"/>
      <c r="F105" s="338">
        <v>18</v>
      </c>
      <c r="G105" s="218" t="s">
        <v>296</v>
      </c>
      <c r="H105" s="88">
        <v>204</v>
      </c>
      <c r="I105" s="89">
        <v>1.38258217553372</v>
      </c>
      <c r="J105" s="279"/>
      <c r="K105" s="339">
        <v>18</v>
      </c>
      <c r="L105" s="245" t="s">
        <v>300</v>
      </c>
      <c r="M105" s="340">
        <v>259</v>
      </c>
      <c r="N105" s="279">
        <v>1.7553371738393799</v>
      </c>
      <c r="O105" s="279"/>
      <c r="P105" s="339">
        <v>18</v>
      </c>
      <c r="Q105" s="245" t="s">
        <v>361</v>
      </c>
      <c r="R105" s="340">
        <v>211</v>
      </c>
      <c r="S105" s="279">
        <v>1.4300237207726201</v>
      </c>
    </row>
    <row r="106" spans="1:19" s="337" customFormat="1" ht="15" customHeight="1" x14ac:dyDescent="0.2">
      <c r="A106" s="249">
        <v>19</v>
      </c>
      <c r="B106" s="218" t="s">
        <v>382</v>
      </c>
      <c r="C106" s="88">
        <v>607</v>
      </c>
      <c r="D106" s="89">
        <v>4.1138597085733704</v>
      </c>
      <c r="E106" s="279"/>
      <c r="F106" s="338">
        <v>19</v>
      </c>
      <c r="G106" s="218" t="s">
        <v>303</v>
      </c>
      <c r="H106" s="88">
        <v>203</v>
      </c>
      <c r="I106" s="89">
        <v>1.3758048119281601</v>
      </c>
      <c r="J106" s="279"/>
      <c r="K106" s="339">
        <v>19</v>
      </c>
      <c r="L106" s="245" t="s">
        <v>307</v>
      </c>
      <c r="M106" s="340">
        <v>249</v>
      </c>
      <c r="N106" s="279">
        <v>1.6875635377838001</v>
      </c>
      <c r="O106" s="279"/>
      <c r="P106" s="339">
        <v>19</v>
      </c>
      <c r="Q106" s="245" t="s">
        <v>124</v>
      </c>
      <c r="R106" s="340">
        <v>208</v>
      </c>
      <c r="S106" s="279">
        <v>1.4096916299559501</v>
      </c>
    </row>
    <row r="107" spans="1:19" s="337" customFormat="1" ht="15" customHeight="1" x14ac:dyDescent="0.2">
      <c r="A107" s="249">
        <v>20</v>
      </c>
      <c r="B107" s="218" t="s">
        <v>295</v>
      </c>
      <c r="C107" s="341">
        <v>584</v>
      </c>
      <c r="D107" s="342">
        <v>3.9579803456455398</v>
      </c>
      <c r="E107" s="279"/>
      <c r="F107" s="343">
        <v>20</v>
      </c>
      <c r="G107" s="218" t="s">
        <v>130</v>
      </c>
      <c r="H107" s="341">
        <v>200</v>
      </c>
      <c r="I107" s="342">
        <v>1.3554727211114901</v>
      </c>
      <c r="J107" s="279"/>
      <c r="K107" s="339">
        <v>20</v>
      </c>
      <c r="L107" s="245" t="s">
        <v>322</v>
      </c>
      <c r="M107" s="340">
        <v>227</v>
      </c>
      <c r="N107" s="279">
        <v>1.5384615384615401</v>
      </c>
      <c r="O107" s="279"/>
      <c r="P107" s="339">
        <v>20</v>
      </c>
      <c r="Q107" s="245" t="s">
        <v>352</v>
      </c>
      <c r="R107" s="340">
        <v>198</v>
      </c>
      <c r="S107" s="279">
        <v>1.34191799390037</v>
      </c>
    </row>
    <row r="108" spans="1:19" s="20" customFormat="1" ht="15" customHeight="1" x14ac:dyDescent="0.2">
      <c r="A108" s="303"/>
      <c r="B108" s="68" t="s">
        <v>329</v>
      </c>
      <c r="C108" s="304">
        <v>14755</v>
      </c>
      <c r="D108" s="344" t="s">
        <v>70</v>
      </c>
      <c r="E108" s="305"/>
      <c r="F108" s="303"/>
      <c r="G108" s="68" t="s">
        <v>329</v>
      </c>
      <c r="H108" s="304">
        <v>14755</v>
      </c>
      <c r="I108" s="344" t="s">
        <v>70</v>
      </c>
      <c r="J108" s="239"/>
      <c r="K108" s="303"/>
      <c r="L108" s="68" t="s">
        <v>329</v>
      </c>
      <c r="M108" s="304">
        <v>14755</v>
      </c>
      <c r="N108" s="344" t="s">
        <v>70</v>
      </c>
      <c r="O108" s="239"/>
      <c r="P108" s="303"/>
      <c r="Q108" s="68" t="s">
        <v>329</v>
      </c>
      <c r="R108" s="304">
        <v>14755</v>
      </c>
      <c r="S108" s="344" t="s">
        <v>70</v>
      </c>
    </row>
    <row r="109" spans="1:19" s="337" customFormat="1" ht="15" customHeight="1" x14ac:dyDescent="0.2">
      <c r="A109" s="345"/>
      <c r="B109" s="300"/>
      <c r="C109" s="353"/>
      <c r="D109" s="354"/>
      <c r="E109" s="279"/>
      <c r="F109" s="346"/>
      <c r="G109" s="245"/>
      <c r="H109" s="340"/>
      <c r="I109" s="279"/>
      <c r="J109" s="279"/>
      <c r="K109" s="345"/>
      <c r="L109" s="245"/>
      <c r="M109" s="340"/>
      <c r="N109" s="279"/>
      <c r="O109" s="279"/>
      <c r="P109" s="345"/>
      <c r="Q109" s="245"/>
      <c r="R109" s="340"/>
      <c r="S109" s="279"/>
    </row>
    <row r="110" spans="1:19" s="337" customFormat="1" ht="15" customHeight="1" x14ac:dyDescent="0.2">
      <c r="A110" s="236" t="s">
        <v>93</v>
      </c>
      <c r="B110" s="300"/>
      <c r="C110" s="353"/>
      <c r="D110" s="354"/>
      <c r="E110" s="279"/>
      <c r="F110" s="296" t="s">
        <v>93</v>
      </c>
      <c r="G110" s="245"/>
      <c r="H110" s="340"/>
      <c r="I110" s="279"/>
      <c r="J110" s="279"/>
      <c r="K110" s="236" t="s">
        <v>93</v>
      </c>
      <c r="L110" s="245"/>
      <c r="M110" s="340"/>
      <c r="N110" s="279"/>
      <c r="O110" s="279"/>
      <c r="P110" s="236" t="s">
        <v>93</v>
      </c>
      <c r="Q110" s="245"/>
      <c r="R110" s="340"/>
      <c r="S110" s="279"/>
    </row>
    <row r="111" spans="1:19" s="337" customFormat="1" ht="15" customHeight="1" x14ac:dyDescent="0.2">
      <c r="A111" s="249">
        <v>1</v>
      </c>
      <c r="B111" s="218" t="s">
        <v>315</v>
      </c>
      <c r="C111" s="88">
        <v>5282</v>
      </c>
      <c r="D111" s="89">
        <v>18.513845075359299</v>
      </c>
      <c r="E111" s="279"/>
      <c r="F111" s="338">
        <v>1</v>
      </c>
      <c r="G111" s="218" t="s">
        <v>306</v>
      </c>
      <c r="H111" s="88">
        <v>2695</v>
      </c>
      <c r="I111" s="89">
        <v>9.4461969856291592</v>
      </c>
      <c r="J111" s="279"/>
      <c r="K111" s="339">
        <v>1</v>
      </c>
      <c r="L111" s="245" t="s">
        <v>319</v>
      </c>
      <c r="M111" s="340">
        <v>1841</v>
      </c>
      <c r="N111" s="279">
        <v>6.4528566421310902</v>
      </c>
      <c r="O111" s="279"/>
      <c r="P111" s="339">
        <v>1</v>
      </c>
      <c r="Q111" s="245" t="s">
        <v>117</v>
      </c>
      <c r="R111" s="340">
        <v>2448</v>
      </c>
      <c r="S111" s="279">
        <v>8.5804416403785506</v>
      </c>
    </row>
    <row r="112" spans="1:19" s="337" customFormat="1" ht="15" customHeight="1" x14ac:dyDescent="0.2">
      <c r="A112" s="249">
        <v>2</v>
      </c>
      <c r="B112" s="218" t="s">
        <v>117</v>
      </c>
      <c r="C112" s="88">
        <v>3841</v>
      </c>
      <c r="D112" s="89">
        <v>13.4630213810025</v>
      </c>
      <c r="E112" s="279"/>
      <c r="F112" s="338">
        <v>2</v>
      </c>
      <c r="G112" s="218" t="s">
        <v>315</v>
      </c>
      <c r="H112" s="88">
        <v>2618</v>
      </c>
      <c r="I112" s="89">
        <v>9.1763056431826193</v>
      </c>
      <c r="J112" s="279"/>
      <c r="K112" s="339">
        <v>2</v>
      </c>
      <c r="L112" s="245" t="s">
        <v>301</v>
      </c>
      <c r="M112" s="340">
        <v>1804</v>
      </c>
      <c r="N112" s="279">
        <v>6.3231685944619702</v>
      </c>
      <c r="O112" s="279"/>
      <c r="P112" s="339">
        <v>2</v>
      </c>
      <c r="Q112" s="245" t="s">
        <v>320</v>
      </c>
      <c r="R112" s="340">
        <v>2201</v>
      </c>
      <c r="S112" s="279">
        <v>7.7146862951279402</v>
      </c>
    </row>
    <row r="113" spans="1:19" s="337" customFormat="1" ht="15" customHeight="1" x14ac:dyDescent="0.2">
      <c r="A113" s="249">
        <v>3</v>
      </c>
      <c r="B113" s="218" t="s">
        <v>322</v>
      </c>
      <c r="C113" s="88">
        <v>3832</v>
      </c>
      <c r="D113" s="89">
        <v>13.431475639677499</v>
      </c>
      <c r="E113" s="279"/>
      <c r="F113" s="338">
        <v>3</v>
      </c>
      <c r="G113" s="218" t="s">
        <v>322</v>
      </c>
      <c r="H113" s="88">
        <v>1671</v>
      </c>
      <c r="I113" s="89">
        <v>5.8569926393270304</v>
      </c>
      <c r="J113" s="279"/>
      <c r="K113" s="339">
        <v>3</v>
      </c>
      <c r="L113" s="245" t="s">
        <v>297</v>
      </c>
      <c r="M113" s="340">
        <v>1795</v>
      </c>
      <c r="N113" s="279">
        <v>6.2916228531370502</v>
      </c>
      <c r="O113" s="279"/>
      <c r="P113" s="339">
        <v>3</v>
      </c>
      <c r="Q113" s="245" t="s">
        <v>315</v>
      </c>
      <c r="R113" s="340">
        <v>1615</v>
      </c>
      <c r="S113" s="279">
        <v>5.6607080266386296</v>
      </c>
    </row>
    <row r="114" spans="1:19" s="337" customFormat="1" ht="15" customHeight="1" x14ac:dyDescent="0.2">
      <c r="A114" s="249">
        <v>4</v>
      </c>
      <c r="B114" s="218" t="s">
        <v>320</v>
      </c>
      <c r="C114" s="88">
        <v>3060</v>
      </c>
      <c r="D114" s="89">
        <v>10.725552050473199</v>
      </c>
      <c r="E114" s="279"/>
      <c r="F114" s="338">
        <v>4</v>
      </c>
      <c r="G114" s="218" t="s">
        <v>120</v>
      </c>
      <c r="H114" s="88">
        <v>1076</v>
      </c>
      <c r="I114" s="89">
        <v>3.7714686295127899</v>
      </c>
      <c r="J114" s="279"/>
      <c r="K114" s="339">
        <v>4</v>
      </c>
      <c r="L114" s="245" t="s">
        <v>310</v>
      </c>
      <c r="M114" s="340">
        <v>1596</v>
      </c>
      <c r="N114" s="279">
        <v>5.5941114616193497</v>
      </c>
      <c r="O114" s="279"/>
      <c r="P114" s="339">
        <v>4</v>
      </c>
      <c r="Q114" s="245" t="s">
        <v>322</v>
      </c>
      <c r="R114" s="340">
        <v>1582</v>
      </c>
      <c r="S114" s="279">
        <v>5.5450403084472502</v>
      </c>
    </row>
    <row r="115" spans="1:19" s="337" customFormat="1" ht="15" customHeight="1" x14ac:dyDescent="0.2">
      <c r="A115" s="249">
        <v>5</v>
      </c>
      <c r="B115" s="218" t="s">
        <v>306</v>
      </c>
      <c r="C115" s="88">
        <v>2982</v>
      </c>
      <c r="D115" s="89">
        <v>10.4521556256572</v>
      </c>
      <c r="E115" s="279"/>
      <c r="F115" s="338">
        <v>5</v>
      </c>
      <c r="G115" s="218" t="s">
        <v>117</v>
      </c>
      <c r="H115" s="88">
        <v>1067</v>
      </c>
      <c r="I115" s="89">
        <v>3.7399228881878699</v>
      </c>
      <c r="J115" s="279"/>
      <c r="K115" s="339">
        <v>5</v>
      </c>
      <c r="L115" s="245" t="s">
        <v>293</v>
      </c>
      <c r="M115" s="340">
        <v>1308</v>
      </c>
      <c r="N115" s="279">
        <v>4.5846477392218699</v>
      </c>
      <c r="O115" s="279"/>
      <c r="P115" s="339">
        <v>5</v>
      </c>
      <c r="Q115" s="245" t="s">
        <v>308</v>
      </c>
      <c r="R115" s="340">
        <v>1113</v>
      </c>
      <c r="S115" s="279">
        <v>3.9011566771819099</v>
      </c>
    </row>
    <row r="116" spans="1:19" s="337" customFormat="1" ht="15" customHeight="1" x14ac:dyDescent="0.2">
      <c r="A116" s="249">
        <v>6</v>
      </c>
      <c r="B116" s="218" t="s">
        <v>308</v>
      </c>
      <c r="C116" s="88">
        <v>2432</v>
      </c>
      <c r="D116" s="89">
        <v>8.5243603224675795</v>
      </c>
      <c r="E116" s="279"/>
      <c r="F116" s="338">
        <v>6</v>
      </c>
      <c r="G116" s="218" t="s">
        <v>323</v>
      </c>
      <c r="H116" s="88">
        <v>1064</v>
      </c>
      <c r="I116" s="89">
        <v>3.72940764107957</v>
      </c>
      <c r="J116" s="279"/>
      <c r="K116" s="339">
        <v>6</v>
      </c>
      <c r="L116" s="245" t="s">
        <v>315</v>
      </c>
      <c r="M116" s="340">
        <v>1049</v>
      </c>
      <c r="N116" s="279">
        <v>3.6768314055380298</v>
      </c>
      <c r="O116" s="279"/>
      <c r="P116" s="339">
        <v>6</v>
      </c>
      <c r="Q116" s="245" t="s">
        <v>292</v>
      </c>
      <c r="R116" s="340">
        <v>950</v>
      </c>
      <c r="S116" s="279">
        <v>3.3298282509638999</v>
      </c>
    </row>
    <row r="117" spans="1:19" s="337" customFormat="1" ht="15" customHeight="1" x14ac:dyDescent="0.2">
      <c r="A117" s="249">
        <v>7</v>
      </c>
      <c r="B117" s="218" t="s">
        <v>120</v>
      </c>
      <c r="C117" s="88">
        <v>2409</v>
      </c>
      <c r="D117" s="89">
        <v>8.4437434279705599</v>
      </c>
      <c r="E117" s="279"/>
      <c r="F117" s="338">
        <v>7</v>
      </c>
      <c r="G117" s="218" t="s">
        <v>316</v>
      </c>
      <c r="H117" s="88">
        <v>1016</v>
      </c>
      <c r="I117" s="89">
        <v>3.5611636873466499</v>
      </c>
      <c r="J117" s="279"/>
      <c r="K117" s="339">
        <v>7</v>
      </c>
      <c r="L117" s="245" t="s">
        <v>308</v>
      </c>
      <c r="M117" s="340">
        <v>1047</v>
      </c>
      <c r="N117" s="279">
        <v>3.6698212407991599</v>
      </c>
      <c r="O117" s="279"/>
      <c r="P117" s="339">
        <v>7</v>
      </c>
      <c r="Q117" s="245" t="s">
        <v>314</v>
      </c>
      <c r="R117" s="340">
        <v>784</v>
      </c>
      <c r="S117" s="279">
        <v>2.74798457763757</v>
      </c>
    </row>
    <row r="118" spans="1:19" s="337" customFormat="1" ht="15" customHeight="1" x14ac:dyDescent="0.2">
      <c r="A118" s="249">
        <v>8</v>
      </c>
      <c r="B118" s="218" t="s">
        <v>301</v>
      </c>
      <c r="C118" s="88">
        <v>2187</v>
      </c>
      <c r="D118" s="89">
        <v>7.6656151419558398</v>
      </c>
      <c r="E118" s="279"/>
      <c r="F118" s="338">
        <v>8</v>
      </c>
      <c r="G118" s="218" t="s">
        <v>304</v>
      </c>
      <c r="H118" s="88">
        <v>796</v>
      </c>
      <c r="I118" s="89">
        <v>2.7900455660708001</v>
      </c>
      <c r="J118" s="279"/>
      <c r="K118" s="339">
        <v>8</v>
      </c>
      <c r="L118" s="245" t="s">
        <v>302</v>
      </c>
      <c r="M118" s="340">
        <v>906</v>
      </c>
      <c r="N118" s="279">
        <v>3.1756046267087301</v>
      </c>
      <c r="O118" s="279"/>
      <c r="P118" s="339">
        <v>8</v>
      </c>
      <c r="Q118" s="245" t="s">
        <v>120</v>
      </c>
      <c r="R118" s="340">
        <v>637</v>
      </c>
      <c r="S118" s="279">
        <v>2.2327374693305302</v>
      </c>
    </row>
    <row r="119" spans="1:19" s="337" customFormat="1" ht="15" customHeight="1" x14ac:dyDescent="0.2">
      <c r="A119" s="249">
        <v>9</v>
      </c>
      <c r="B119" s="218" t="s">
        <v>319</v>
      </c>
      <c r="C119" s="88">
        <v>2078</v>
      </c>
      <c r="D119" s="89">
        <v>7.2835611636873496</v>
      </c>
      <c r="E119" s="279"/>
      <c r="F119" s="338">
        <v>9</v>
      </c>
      <c r="G119" s="218" t="s">
        <v>313</v>
      </c>
      <c r="H119" s="88">
        <v>724</v>
      </c>
      <c r="I119" s="89">
        <v>2.5376796354714299</v>
      </c>
      <c r="J119" s="279"/>
      <c r="K119" s="339">
        <v>9</v>
      </c>
      <c r="L119" s="245" t="s">
        <v>312</v>
      </c>
      <c r="M119" s="340">
        <v>857</v>
      </c>
      <c r="N119" s="279">
        <v>3.00385559060638</v>
      </c>
      <c r="O119" s="279"/>
      <c r="P119" s="339">
        <v>9</v>
      </c>
      <c r="Q119" s="245" t="s">
        <v>296</v>
      </c>
      <c r="R119" s="340">
        <v>585</v>
      </c>
      <c r="S119" s="279">
        <v>2.05047318611987</v>
      </c>
    </row>
    <row r="120" spans="1:19" s="337" customFormat="1" ht="15" customHeight="1" x14ac:dyDescent="0.2">
      <c r="A120" s="249">
        <v>10</v>
      </c>
      <c r="B120" s="218" t="s">
        <v>297</v>
      </c>
      <c r="C120" s="88">
        <v>1896</v>
      </c>
      <c r="D120" s="89">
        <v>6.6456361724500503</v>
      </c>
      <c r="E120" s="279"/>
      <c r="F120" s="338">
        <v>10</v>
      </c>
      <c r="G120" s="218" t="s">
        <v>337</v>
      </c>
      <c r="H120" s="88">
        <v>715</v>
      </c>
      <c r="I120" s="89">
        <v>2.5061338941465099</v>
      </c>
      <c r="J120" s="279"/>
      <c r="K120" s="339">
        <v>10</v>
      </c>
      <c r="L120" s="245" t="s">
        <v>296</v>
      </c>
      <c r="M120" s="340">
        <v>816</v>
      </c>
      <c r="N120" s="279">
        <v>2.8601472134595198</v>
      </c>
      <c r="O120" s="279"/>
      <c r="P120" s="339">
        <v>10</v>
      </c>
      <c r="Q120" s="245" t="s">
        <v>336</v>
      </c>
      <c r="R120" s="340">
        <v>566</v>
      </c>
      <c r="S120" s="279">
        <v>1.9838766211006</v>
      </c>
    </row>
    <row r="121" spans="1:19" s="337" customFormat="1" ht="15" customHeight="1" x14ac:dyDescent="0.2">
      <c r="A121" s="249">
        <v>11</v>
      </c>
      <c r="B121" s="218" t="s">
        <v>287</v>
      </c>
      <c r="C121" s="88">
        <v>1776</v>
      </c>
      <c r="D121" s="89">
        <v>6.2250262881177703</v>
      </c>
      <c r="E121" s="279"/>
      <c r="F121" s="338">
        <v>11</v>
      </c>
      <c r="G121" s="218" t="s">
        <v>287</v>
      </c>
      <c r="H121" s="88">
        <v>663</v>
      </c>
      <c r="I121" s="89">
        <v>2.3238696109358599</v>
      </c>
      <c r="J121" s="279"/>
      <c r="K121" s="339">
        <v>11</v>
      </c>
      <c r="L121" s="245" t="s">
        <v>320</v>
      </c>
      <c r="M121" s="340">
        <v>814</v>
      </c>
      <c r="N121" s="279">
        <v>2.85313704872065</v>
      </c>
      <c r="O121" s="279"/>
      <c r="P121" s="339">
        <v>11</v>
      </c>
      <c r="Q121" s="245" t="s">
        <v>303</v>
      </c>
      <c r="R121" s="340">
        <v>558</v>
      </c>
      <c r="S121" s="279">
        <v>1.95583596214511</v>
      </c>
    </row>
    <row r="122" spans="1:19" s="337" customFormat="1" ht="15" customHeight="1" x14ac:dyDescent="0.2">
      <c r="A122" s="249">
        <v>12</v>
      </c>
      <c r="B122" s="218" t="s">
        <v>296</v>
      </c>
      <c r="C122" s="88">
        <v>1737</v>
      </c>
      <c r="D122" s="89">
        <v>6.0883280757097804</v>
      </c>
      <c r="E122" s="279"/>
      <c r="F122" s="338">
        <v>12</v>
      </c>
      <c r="G122" s="218" t="s">
        <v>318</v>
      </c>
      <c r="H122" s="88">
        <v>629</v>
      </c>
      <c r="I122" s="89">
        <v>2.2046968103750402</v>
      </c>
      <c r="J122" s="279"/>
      <c r="K122" s="339">
        <v>12</v>
      </c>
      <c r="L122" s="245" t="s">
        <v>295</v>
      </c>
      <c r="M122" s="340">
        <v>797</v>
      </c>
      <c r="N122" s="279">
        <v>2.7935506484402399</v>
      </c>
      <c r="O122" s="279"/>
      <c r="P122" s="339">
        <v>12</v>
      </c>
      <c r="Q122" s="245" t="s">
        <v>287</v>
      </c>
      <c r="R122" s="340">
        <v>520</v>
      </c>
      <c r="S122" s="279">
        <v>1.82264283210655</v>
      </c>
    </row>
    <row r="123" spans="1:19" s="337" customFormat="1" ht="15" customHeight="1" x14ac:dyDescent="0.2">
      <c r="A123" s="249">
        <v>13</v>
      </c>
      <c r="B123" s="218" t="s">
        <v>310</v>
      </c>
      <c r="C123" s="88">
        <v>1615</v>
      </c>
      <c r="D123" s="89">
        <v>5.6607080266386296</v>
      </c>
      <c r="E123" s="279"/>
      <c r="F123" s="338">
        <v>13</v>
      </c>
      <c r="G123" s="218" t="s">
        <v>305</v>
      </c>
      <c r="H123" s="88">
        <v>575</v>
      </c>
      <c r="I123" s="89">
        <v>2.0154223624255199</v>
      </c>
      <c r="J123" s="279"/>
      <c r="K123" s="339">
        <v>13</v>
      </c>
      <c r="L123" s="245" t="s">
        <v>120</v>
      </c>
      <c r="M123" s="340">
        <v>696</v>
      </c>
      <c r="N123" s="279">
        <v>2.43953732912723</v>
      </c>
      <c r="O123" s="279"/>
      <c r="P123" s="339">
        <v>13</v>
      </c>
      <c r="Q123" s="245" t="s">
        <v>304</v>
      </c>
      <c r="R123" s="340">
        <v>489</v>
      </c>
      <c r="S123" s="279">
        <v>1.7139852786540499</v>
      </c>
    </row>
    <row r="124" spans="1:19" s="337" customFormat="1" ht="15" customHeight="1" x14ac:dyDescent="0.2">
      <c r="A124" s="249">
        <v>14</v>
      </c>
      <c r="B124" s="218" t="s">
        <v>304</v>
      </c>
      <c r="C124" s="88">
        <v>1561</v>
      </c>
      <c r="D124" s="89">
        <v>5.4714335786891004</v>
      </c>
      <c r="E124" s="279"/>
      <c r="F124" s="338">
        <v>14</v>
      </c>
      <c r="G124" s="218" t="s">
        <v>321</v>
      </c>
      <c r="H124" s="88">
        <v>540</v>
      </c>
      <c r="I124" s="89">
        <v>1.8927444794952699</v>
      </c>
      <c r="J124" s="279"/>
      <c r="K124" s="339">
        <v>14</v>
      </c>
      <c r="L124" s="245" t="s">
        <v>307</v>
      </c>
      <c r="M124" s="340">
        <v>673</v>
      </c>
      <c r="N124" s="279">
        <v>2.35892043463021</v>
      </c>
      <c r="O124" s="279"/>
      <c r="P124" s="339">
        <v>14</v>
      </c>
      <c r="Q124" s="245" t="s">
        <v>382</v>
      </c>
      <c r="R124" s="340">
        <v>465</v>
      </c>
      <c r="S124" s="279">
        <v>1.6298633017875901</v>
      </c>
    </row>
    <row r="125" spans="1:19" s="337" customFormat="1" ht="15" customHeight="1" x14ac:dyDescent="0.2">
      <c r="A125" s="249">
        <v>15</v>
      </c>
      <c r="B125" s="218" t="s">
        <v>292</v>
      </c>
      <c r="C125" s="88">
        <v>1488</v>
      </c>
      <c r="D125" s="89">
        <v>5.2155625657203002</v>
      </c>
      <c r="E125" s="279"/>
      <c r="F125" s="338">
        <v>15</v>
      </c>
      <c r="G125" s="218" t="s">
        <v>331</v>
      </c>
      <c r="H125" s="88">
        <v>526</v>
      </c>
      <c r="I125" s="89">
        <v>1.8436733263231699</v>
      </c>
      <c r="J125" s="279"/>
      <c r="K125" s="339">
        <v>15</v>
      </c>
      <c r="L125" s="245" t="s">
        <v>317</v>
      </c>
      <c r="M125" s="340">
        <v>611</v>
      </c>
      <c r="N125" s="279">
        <v>2.1416053277252001</v>
      </c>
      <c r="O125" s="279"/>
      <c r="P125" s="339">
        <v>15</v>
      </c>
      <c r="Q125" s="245" t="s">
        <v>300</v>
      </c>
      <c r="R125" s="340">
        <v>456</v>
      </c>
      <c r="S125" s="279">
        <v>1.59831756046267</v>
      </c>
    </row>
    <row r="126" spans="1:19" s="337" customFormat="1" ht="15" customHeight="1" x14ac:dyDescent="0.2">
      <c r="A126" s="249">
        <v>16</v>
      </c>
      <c r="B126" s="218" t="s">
        <v>303</v>
      </c>
      <c r="C126" s="88">
        <v>1368</v>
      </c>
      <c r="D126" s="89">
        <v>4.7949526813880103</v>
      </c>
      <c r="E126" s="279"/>
      <c r="F126" s="338">
        <v>16</v>
      </c>
      <c r="G126" s="218" t="s">
        <v>330</v>
      </c>
      <c r="H126" s="88">
        <v>469</v>
      </c>
      <c r="I126" s="89">
        <v>1.64388363126534</v>
      </c>
      <c r="J126" s="279"/>
      <c r="K126" s="339">
        <v>16</v>
      </c>
      <c r="L126" s="245" t="s">
        <v>287</v>
      </c>
      <c r="M126" s="340">
        <v>593</v>
      </c>
      <c r="N126" s="279">
        <v>2.07851384507536</v>
      </c>
      <c r="O126" s="279"/>
      <c r="P126" s="339">
        <v>16</v>
      </c>
      <c r="Q126" s="245" t="s">
        <v>317</v>
      </c>
      <c r="R126" s="340">
        <v>400</v>
      </c>
      <c r="S126" s="279">
        <v>1.4020329477742699</v>
      </c>
    </row>
    <row r="127" spans="1:19" s="337" customFormat="1" ht="15" customHeight="1" x14ac:dyDescent="0.2">
      <c r="A127" s="249">
        <v>17</v>
      </c>
      <c r="B127" s="218" t="s">
        <v>293</v>
      </c>
      <c r="C127" s="88">
        <v>1362</v>
      </c>
      <c r="D127" s="89">
        <v>4.7739221871713999</v>
      </c>
      <c r="E127" s="279"/>
      <c r="F127" s="338">
        <v>17</v>
      </c>
      <c r="G127" s="218" t="s">
        <v>342</v>
      </c>
      <c r="H127" s="88">
        <v>453</v>
      </c>
      <c r="I127" s="89">
        <v>1.58780231335436</v>
      </c>
      <c r="J127" s="279"/>
      <c r="K127" s="339">
        <v>17</v>
      </c>
      <c r="L127" s="245" t="s">
        <v>322</v>
      </c>
      <c r="M127" s="340">
        <v>579</v>
      </c>
      <c r="N127" s="279">
        <v>2.02944269190326</v>
      </c>
      <c r="O127" s="279"/>
      <c r="P127" s="339">
        <v>17</v>
      </c>
      <c r="Q127" s="245" t="s">
        <v>311</v>
      </c>
      <c r="R127" s="340">
        <v>388</v>
      </c>
      <c r="S127" s="279">
        <v>1.35997195934104</v>
      </c>
    </row>
    <row r="128" spans="1:19" s="337" customFormat="1" ht="15" customHeight="1" x14ac:dyDescent="0.2">
      <c r="A128" s="249">
        <v>18</v>
      </c>
      <c r="B128" s="218" t="s">
        <v>323</v>
      </c>
      <c r="C128" s="88">
        <v>1211</v>
      </c>
      <c r="D128" s="89">
        <v>4.2446547493866102</v>
      </c>
      <c r="E128" s="279"/>
      <c r="F128" s="338">
        <v>18</v>
      </c>
      <c r="G128" s="218" t="s">
        <v>387</v>
      </c>
      <c r="H128" s="88">
        <v>406</v>
      </c>
      <c r="I128" s="89">
        <v>1.4230634419908901</v>
      </c>
      <c r="J128" s="279"/>
      <c r="K128" s="339">
        <v>18</v>
      </c>
      <c r="L128" s="245" t="s">
        <v>303</v>
      </c>
      <c r="M128" s="340">
        <v>474</v>
      </c>
      <c r="N128" s="279">
        <v>1.6614090431125099</v>
      </c>
      <c r="O128" s="279"/>
      <c r="P128" s="339">
        <v>18</v>
      </c>
      <c r="Q128" s="245" t="s">
        <v>290</v>
      </c>
      <c r="R128" s="340">
        <v>384</v>
      </c>
      <c r="S128" s="279">
        <v>1.3459516298633001</v>
      </c>
    </row>
    <row r="129" spans="1:19" s="337" customFormat="1" ht="15" customHeight="1" x14ac:dyDescent="0.2">
      <c r="A129" s="249">
        <v>19</v>
      </c>
      <c r="B129" s="218" t="s">
        <v>295</v>
      </c>
      <c r="C129" s="88">
        <v>1178</v>
      </c>
      <c r="D129" s="89">
        <v>4.1289870311952299</v>
      </c>
      <c r="E129" s="279"/>
      <c r="F129" s="338">
        <v>19</v>
      </c>
      <c r="G129" s="218" t="s">
        <v>388</v>
      </c>
      <c r="H129" s="88">
        <v>377</v>
      </c>
      <c r="I129" s="89">
        <v>1.3214160532772501</v>
      </c>
      <c r="J129" s="279"/>
      <c r="K129" s="339">
        <v>19</v>
      </c>
      <c r="L129" s="245" t="s">
        <v>291</v>
      </c>
      <c r="M129" s="340">
        <v>463</v>
      </c>
      <c r="N129" s="279">
        <v>1.62285313704872</v>
      </c>
      <c r="O129" s="279"/>
      <c r="P129" s="339">
        <v>19</v>
      </c>
      <c r="Q129" s="245" t="s">
        <v>295</v>
      </c>
      <c r="R129" s="340">
        <v>365</v>
      </c>
      <c r="S129" s="279">
        <v>1.27935506484402</v>
      </c>
    </row>
    <row r="130" spans="1:19" s="337" customFormat="1" ht="15" customHeight="1" x14ac:dyDescent="0.2">
      <c r="A130" s="249">
        <v>20</v>
      </c>
      <c r="B130" s="218" t="s">
        <v>317</v>
      </c>
      <c r="C130" s="341">
        <v>1133</v>
      </c>
      <c r="D130" s="342">
        <v>3.9712583245706301</v>
      </c>
      <c r="E130" s="279"/>
      <c r="F130" s="343">
        <v>20</v>
      </c>
      <c r="G130" s="218" t="s">
        <v>125</v>
      </c>
      <c r="H130" s="341">
        <v>346</v>
      </c>
      <c r="I130" s="342">
        <v>1.21275849982475</v>
      </c>
      <c r="J130" s="279"/>
      <c r="K130" s="339">
        <v>20</v>
      </c>
      <c r="L130" s="245" t="s">
        <v>292</v>
      </c>
      <c r="M130" s="340">
        <v>419</v>
      </c>
      <c r="N130" s="279">
        <v>1.46862951279355</v>
      </c>
      <c r="O130" s="279"/>
      <c r="P130" s="339">
        <v>20</v>
      </c>
      <c r="Q130" s="245" t="s">
        <v>307</v>
      </c>
      <c r="R130" s="340">
        <v>338</v>
      </c>
      <c r="S130" s="279">
        <v>1.18471784086926</v>
      </c>
    </row>
    <row r="131" spans="1:19" s="20" customFormat="1" ht="15" customHeight="1" x14ac:dyDescent="0.2">
      <c r="A131" s="303"/>
      <c r="B131" s="68" t="s">
        <v>329</v>
      </c>
      <c r="C131" s="304">
        <v>28530</v>
      </c>
      <c r="D131" s="344" t="s">
        <v>70</v>
      </c>
      <c r="E131" s="305"/>
      <c r="F131" s="303"/>
      <c r="G131" s="68" t="s">
        <v>329</v>
      </c>
      <c r="H131" s="304">
        <v>28530</v>
      </c>
      <c r="I131" s="344" t="s">
        <v>70</v>
      </c>
      <c r="J131" s="239"/>
      <c r="K131" s="303"/>
      <c r="L131" s="68" t="s">
        <v>329</v>
      </c>
      <c r="M131" s="304">
        <v>28530</v>
      </c>
      <c r="N131" s="344" t="s">
        <v>70</v>
      </c>
      <c r="O131" s="239"/>
      <c r="P131" s="303"/>
      <c r="Q131" s="68" t="s">
        <v>329</v>
      </c>
      <c r="R131" s="304">
        <v>28530</v>
      </c>
      <c r="S131" s="344" t="s">
        <v>70</v>
      </c>
    </row>
    <row r="132" spans="1:19" s="337" customFormat="1" ht="15" customHeight="1" x14ac:dyDescent="0.2">
      <c r="A132" s="345"/>
      <c r="B132" s="300"/>
      <c r="C132" s="353"/>
      <c r="D132" s="354"/>
      <c r="E132" s="279"/>
      <c r="F132" s="346"/>
      <c r="G132" s="245"/>
      <c r="H132" s="340"/>
      <c r="I132" s="279"/>
      <c r="J132" s="279"/>
      <c r="K132" s="345"/>
      <c r="L132" s="245"/>
      <c r="M132" s="340"/>
      <c r="N132" s="279"/>
      <c r="O132" s="279"/>
      <c r="P132" s="345"/>
      <c r="Q132" s="245"/>
      <c r="R132" s="340"/>
      <c r="S132" s="279"/>
    </row>
    <row r="133" spans="1:19" s="337" customFormat="1" ht="15" customHeight="1" x14ac:dyDescent="0.2">
      <c r="A133" s="236" t="s">
        <v>94</v>
      </c>
      <c r="B133" s="300"/>
      <c r="C133" s="353"/>
      <c r="D133" s="354"/>
      <c r="E133" s="279"/>
      <c r="F133" s="296" t="s">
        <v>94</v>
      </c>
      <c r="G133" s="245"/>
      <c r="H133" s="340"/>
      <c r="I133" s="279"/>
      <c r="J133" s="279"/>
      <c r="K133" s="236" t="s">
        <v>94</v>
      </c>
      <c r="L133" s="245"/>
      <c r="M133" s="340"/>
      <c r="N133" s="279"/>
      <c r="O133" s="279"/>
      <c r="P133" s="236" t="s">
        <v>94</v>
      </c>
      <c r="Q133" s="245"/>
      <c r="R133" s="340"/>
      <c r="S133" s="279"/>
    </row>
    <row r="134" spans="1:19" s="337" customFormat="1" ht="15" customHeight="1" x14ac:dyDescent="0.2">
      <c r="A134" s="249">
        <v>1</v>
      </c>
      <c r="B134" s="218" t="s">
        <v>315</v>
      </c>
      <c r="C134" s="88">
        <v>9960</v>
      </c>
      <c r="D134" s="89">
        <v>19.680682895984798</v>
      </c>
      <c r="E134" s="279"/>
      <c r="F134" s="338">
        <v>1</v>
      </c>
      <c r="G134" s="218" t="s">
        <v>304</v>
      </c>
      <c r="H134" s="88">
        <v>4427</v>
      </c>
      <c r="I134" s="89">
        <v>8.7476288333860293</v>
      </c>
      <c r="J134" s="279"/>
      <c r="K134" s="339">
        <v>1</v>
      </c>
      <c r="L134" s="245" t="s">
        <v>301</v>
      </c>
      <c r="M134" s="340">
        <v>4135</v>
      </c>
      <c r="N134" s="279">
        <v>8.1706449573190003</v>
      </c>
      <c r="O134" s="279"/>
      <c r="P134" s="339">
        <v>1</v>
      </c>
      <c r="Q134" s="245" t="s">
        <v>320</v>
      </c>
      <c r="R134" s="340">
        <v>4348</v>
      </c>
      <c r="S134" s="279">
        <v>8.5915270312993997</v>
      </c>
    </row>
    <row r="135" spans="1:19" s="337" customFormat="1" ht="15" customHeight="1" x14ac:dyDescent="0.2">
      <c r="A135" s="249">
        <v>2</v>
      </c>
      <c r="B135" s="218" t="s">
        <v>304</v>
      </c>
      <c r="C135" s="88">
        <v>8602</v>
      </c>
      <c r="D135" s="89">
        <v>16.997312677837499</v>
      </c>
      <c r="E135" s="279"/>
      <c r="F135" s="338">
        <v>2</v>
      </c>
      <c r="G135" s="218" t="s">
        <v>315</v>
      </c>
      <c r="H135" s="88">
        <v>4282</v>
      </c>
      <c r="I135" s="89">
        <v>8.4611128675308294</v>
      </c>
      <c r="J135" s="279"/>
      <c r="K135" s="339">
        <v>2</v>
      </c>
      <c r="L135" s="245" t="s">
        <v>319</v>
      </c>
      <c r="M135" s="340">
        <v>3592</v>
      </c>
      <c r="N135" s="279">
        <v>7.09769206449573</v>
      </c>
      <c r="O135" s="279"/>
      <c r="P135" s="339">
        <v>2</v>
      </c>
      <c r="Q135" s="245" t="s">
        <v>117</v>
      </c>
      <c r="R135" s="340">
        <v>4336</v>
      </c>
      <c r="S135" s="279">
        <v>8.5678153651596602</v>
      </c>
    </row>
    <row r="136" spans="1:19" s="337" customFormat="1" ht="15" customHeight="1" x14ac:dyDescent="0.2">
      <c r="A136" s="249">
        <v>3</v>
      </c>
      <c r="B136" s="218" t="s">
        <v>117</v>
      </c>
      <c r="C136" s="88">
        <v>6836</v>
      </c>
      <c r="D136" s="89">
        <v>13.507745810938999</v>
      </c>
      <c r="E136" s="279"/>
      <c r="F136" s="338">
        <v>3</v>
      </c>
      <c r="G136" s="218" t="s">
        <v>306</v>
      </c>
      <c r="H136" s="88">
        <v>3067</v>
      </c>
      <c r="I136" s="89">
        <v>6.0603066708820803</v>
      </c>
      <c r="J136" s="279"/>
      <c r="K136" s="339">
        <v>3</v>
      </c>
      <c r="L136" s="245" t="s">
        <v>310</v>
      </c>
      <c r="M136" s="340">
        <v>3163</v>
      </c>
      <c r="N136" s="279">
        <v>6.25</v>
      </c>
      <c r="O136" s="279"/>
      <c r="P136" s="339">
        <v>3</v>
      </c>
      <c r="Q136" s="245" t="s">
        <v>315</v>
      </c>
      <c r="R136" s="340">
        <v>3614</v>
      </c>
      <c r="S136" s="279">
        <v>7.1411634524185903</v>
      </c>
    </row>
    <row r="137" spans="1:19" s="337" customFormat="1" ht="15" customHeight="1" x14ac:dyDescent="0.2">
      <c r="A137" s="249">
        <v>4</v>
      </c>
      <c r="B137" s="218" t="s">
        <v>320</v>
      </c>
      <c r="C137" s="88">
        <v>6427</v>
      </c>
      <c r="D137" s="89">
        <v>12.699573190009501</v>
      </c>
      <c r="E137" s="279"/>
      <c r="F137" s="338">
        <v>4</v>
      </c>
      <c r="G137" s="218" t="s">
        <v>120</v>
      </c>
      <c r="H137" s="88">
        <v>2706</v>
      </c>
      <c r="I137" s="89">
        <v>5.34698071451154</v>
      </c>
      <c r="J137" s="279"/>
      <c r="K137" s="339">
        <v>4</v>
      </c>
      <c r="L137" s="245" t="s">
        <v>302</v>
      </c>
      <c r="M137" s="340">
        <v>2501</v>
      </c>
      <c r="N137" s="279">
        <v>4.9419064179576404</v>
      </c>
      <c r="O137" s="279"/>
      <c r="P137" s="339">
        <v>4</v>
      </c>
      <c r="Q137" s="245" t="s">
        <v>292</v>
      </c>
      <c r="R137" s="340">
        <v>2956</v>
      </c>
      <c r="S137" s="279">
        <v>5.8409737590894704</v>
      </c>
    </row>
    <row r="138" spans="1:19" s="337" customFormat="1" ht="15" customHeight="1" x14ac:dyDescent="0.2">
      <c r="A138" s="249">
        <v>5</v>
      </c>
      <c r="B138" s="218" t="s">
        <v>322</v>
      </c>
      <c r="C138" s="88">
        <v>6264</v>
      </c>
      <c r="D138" s="89">
        <v>12.3774897249447</v>
      </c>
      <c r="E138" s="279"/>
      <c r="F138" s="338">
        <v>5</v>
      </c>
      <c r="G138" s="218" t="s">
        <v>322</v>
      </c>
      <c r="H138" s="88">
        <v>2626</v>
      </c>
      <c r="I138" s="89">
        <v>5.1889029402466003</v>
      </c>
      <c r="J138" s="279"/>
      <c r="K138" s="339">
        <v>5</v>
      </c>
      <c r="L138" s="245" t="s">
        <v>308</v>
      </c>
      <c r="M138" s="340">
        <v>2350</v>
      </c>
      <c r="N138" s="279">
        <v>4.6435346190325602</v>
      </c>
      <c r="O138" s="279"/>
      <c r="P138" s="339">
        <v>5</v>
      </c>
      <c r="Q138" s="245" t="s">
        <v>308</v>
      </c>
      <c r="R138" s="340">
        <v>2839</v>
      </c>
      <c r="S138" s="279">
        <v>5.6097850142269996</v>
      </c>
    </row>
    <row r="139" spans="1:19" s="337" customFormat="1" ht="15" customHeight="1" x14ac:dyDescent="0.2">
      <c r="A139" s="249">
        <v>6</v>
      </c>
      <c r="B139" s="218" t="s">
        <v>308</v>
      </c>
      <c r="C139" s="88">
        <v>6043</v>
      </c>
      <c r="D139" s="89">
        <v>11.9407998735378</v>
      </c>
      <c r="E139" s="279"/>
      <c r="F139" s="338">
        <v>6</v>
      </c>
      <c r="G139" s="218" t="s">
        <v>117</v>
      </c>
      <c r="H139" s="88">
        <v>1852</v>
      </c>
      <c r="I139" s="89">
        <v>3.6595004742333201</v>
      </c>
      <c r="J139" s="279"/>
      <c r="K139" s="339">
        <v>6</v>
      </c>
      <c r="L139" s="245" t="s">
        <v>293</v>
      </c>
      <c r="M139" s="340">
        <v>2331</v>
      </c>
      <c r="N139" s="279">
        <v>4.60599114764464</v>
      </c>
      <c r="O139" s="279"/>
      <c r="P139" s="339">
        <v>6</v>
      </c>
      <c r="Q139" s="245" t="s">
        <v>304</v>
      </c>
      <c r="R139" s="340">
        <v>2799</v>
      </c>
      <c r="S139" s="279">
        <v>5.5307461270945302</v>
      </c>
    </row>
    <row r="140" spans="1:19" s="337" customFormat="1" ht="15" customHeight="1" x14ac:dyDescent="0.2">
      <c r="A140" s="249">
        <v>7</v>
      </c>
      <c r="B140" s="218" t="s">
        <v>120</v>
      </c>
      <c r="C140" s="88">
        <v>5884</v>
      </c>
      <c r="D140" s="89">
        <v>11.6266202971862</v>
      </c>
      <c r="E140" s="279"/>
      <c r="F140" s="338">
        <v>7</v>
      </c>
      <c r="G140" s="218" t="s">
        <v>323</v>
      </c>
      <c r="H140" s="88">
        <v>1470</v>
      </c>
      <c r="I140" s="89">
        <v>2.9046791021182399</v>
      </c>
      <c r="J140" s="279"/>
      <c r="K140" s="339">
        <v>7</v>
      </c>
      <c r="L140" s="245" t="s">
        <v>297</v>
      </c>
      <c r="M140" s="340">
        <v>2256</v>
      </c>
      <c r="N140" s="279">
        <v>4.4577932342712598</v>
      </c>
      <c r="O140" s="279"/>
      <c r="P140" s="339">
        <v>7</v>
      </c>
      <c r="Q140" s="245" t="s">
        <v>322</v>
      </c>
      <c r="R140" s="340">
        <v>2671</v>
      </c>
      <c r="S140" s="279">
        <v>5.2778216882706301</v>
      </c>
    </row>
    <row r="141" spans="1:19" s="337" customFormat="1" ht="15" customHeight="1" x14ac:dyDescent="0.2">
      <c r="A141" s="249">
        <v>8</v>
      </c>
      <c r="B141" s="218" t="s">
        <v>301</v>
      </c>
      <c r="C141" s="88">
        <v>5012</v>
      </c>
      <c r="D141" s="89">
        <v>9.9035725576983893</v>
      </c>
      <c r="E141" s="279"/>
      <c r="F141" s="338">
        <v>8</v>
      </c>
      <c r="G141" s="218" t="s">
        <v>321</v>
      </c>
      <c r="H141" s="88">
        <v>1444</v>
      </c>
      <c r="I141" s="89">
        <v>2.8533038254821399</v>
      </c>
      <c r="J141" s="279"/>
      <c r="K141" s="339">
        <v>8</v>
      </c>
      <c r="L141" s="245" t="s">
        <v>315</v>
      </c>
      <c r="M141" s="340">
        <v>2064</v>
      </c>
      <c r="N141" s="279">
        <v>4.0784065760354098</v>
      </c>
      <c r="O141" s="279"/>
      <c r="P141" s="339">
        <v>8</v>
      </c>
      <c r="Q141" s="245" t="s">
        <v>120</v>
      </c>
      <c r="R141" s="340">
        <v>1429</v>
      </c>
      <c r="S141" s="279">
        <v>2.8236642428074599</v>
      </c>
    </row>
    <row r="142" spans="1:19" s="337" customFormat="1" ht="15" customHeight="1" x14ac:dyDescent="0.2">
      <c r="A142" s="249">
        <v>9</v>
      </c>
      <c r="B142" s="218" t="s">
        <v>292</v>
      </c>
      <c r="C142" s="88">
        <v>4772</v>
      </c>
      <c r="D142" s="89">
        <v>9.4293392349035692</v>
      </c>
      <c r="E142" s="279"/>
      <c r="F142" s="338">
        <v>9</v>
      </c>
      <c r="G142" s="218" t="s">
        <v>318</v>
      </c>
      <c r="H142" s="88">
        <v>1391</v>
      </c>
      <c r="I142" s="89">
        <v>2.74857730003162</v>
      </c>
      <c r="J142" s="279"/>
      <c r="K142" s="339">
        <v>9</v>
      </c>
      <c r="L142" s="245" t="s">
        <v>320</v>
      </c>
      <c r="M142" s="340">
        <v>1943</v>
      </c>
      <c r="N142" s="279">
        <v>3.83931394245969</v>
      </c>
      <c r="O142" s="279"/>
      <c r="P142" s="339">
        <v>9</v>
      </c>
      <c r="Q142" s="245" t="s">
        <v>317</v>
      </c>
      <c r="R142" s="340">
        <v>1251</v>
      </c>
      <c r="S142" s="279">
        <v>2.4719411950679699</v>
      </c>
    </row>
    <row r="143" spans="1:19" s="337" customFormat="1" ht="15" customHeight="1" x14ac:dyDescent="0.2">
      <c r="A143" s="249">
        <v>10</v>
      </c>
      <c r="B143" s="218" t="s">
        <v>319</v>
      </c>
      <c r="C143" s="88">
        <v>4189</v>
      </c>
      <c r="D143" s="89">
        <v>8.2773474549478401</v>
      </c>
      <c r="E143" s="279"/>
      <c r="F143" s="338">
        <v>10</v>
      </c>
      <c r="G143" s="218" t="s">
        <v>316</v>
      </c>
      <c r="H143" s="88">
        <v>1214</v>
      </c>
      <c r="I143" s="89">
        <v>2.3988302244704398</v>
      </c>
      <c r="J143" s="279"/>
      <c r="K143" s="339">
        <v>10</v>
      </c>
      <c r="L143" s="245" t="s">
        <v>317</v>
      </c>
      <c r="M143" s="340">
        <v>1882</v>
      </c>
      <c r="N143" s="279">
        <v>3.7187796395826802</v>
      </c>
      <c r="O143" s="279"/>
      <c r="P143" s="339">
        <v>10</v>
      </c>
      <c r="Q143" s="245" t="s">
        <v>314</v>
      </c>
      <c r="R143" s="340">
        <v>1198</v>
      </c>
      <c r="S143" s="279">
        <v>2.3672146696174501</v>
      </c>
    </row>
    <row r="144" spans="1:19" s="337" customFormat="1" ht="15" customHeight="1" x14ac:dyDescent="0.2">
      <c r="A144" s="249">
        <v>11</v>
      </c>
      <c r="B144" s="218" t="s">
        <v>306</v>
      </c>
      <c r="C144" s="88">
        <v>3567</v>
      </c>
      <c r="D144" s="89">
        <v>7.0482927600379401</v>
      </c>
      <c r="E144" s="279"/>
      <c r="F144" s="338">
        <v>11</v>
      </c>
      <c r="G144" s="218" t="s">
        <v>289</v>
      </c>
      <c r="H144" s="88">
        <v>1103</v>
      </c>
      <c r="I144" s="89">
        <v>2.1794973126778401</v>
      </c>
      <c r="J144" s="279"/>
      <c r="K144" s="339">
        <v>11</v>
      </c>
      <c r="L144" s="245" t="s">
        <v>307</v>
      </c>
      <c r="M144" s="340">
        <v>1786</v>
      </c>
      <c r="N144" s="279">
        <v>3.5290863104647499</v>
      </c>
      <c r="O144" s="279"/>
      <c r="P144" s="339">
        <v>11</v>
      </c>
      <c r="Q144" s="245" t="s">
        <v>296</v>
      </c>
      <c r="R144" s="340">
        <v>1179</v>
      </c>
      <c r="S144" s="279">
        <v>2.3296711982295299</v>
      </c>
    </row>
    <row r="145" spans="1:19" s="337" customFormat="1" ht="15" customHeight="1" x14ac:dyDescent="0.2">
      <c r="A145" s="249">
        <v>12</v>
      </c>
      <c r="B145" s="218" t="s">
        <v>317</v>
      </c>
      <c r="C145" s="88">
        <v>3525</v>
      </c>
      <c r="D145" s="89">
        <v>6.9653019285488504</v>
      </c>
      <c r="E145" s="279"/>
      <c r="F145" s="338">
        <v>12</v>
      </c>
      <c r="G145" s="218" t="s">
        <v>125</v>
      </c>
      <c r="H145" s="88">
        <v>1080</v>
      </c>
      <c r="I145" s="89">
        <v>2.1340499525766701</v>
      </c>
      <c r="J145" s="279"/>
      <c r="K145" s="339">
        <v>12</v>
      </c>
      <c r="L145" s="245" t="s">
        <v>120</v>
      </c>
      <c r="M145" s="340">
        <v>1749</v>
      </c>
      <c r="N145" s="279">
        <v>3.4559753398672202</v>
      </c>
      <c r="O145" s="279"/>
      <c r="P145" s="339">
        <v>12</v>
      </c>
      <c r="Q145" s="245" t="s">
        <v>303</v>
      </c>
      <c r="R145" s="340">
        <v>831</v>
      </c>
      <c r="S145" s="279">
        <v>1.6420328801770501</v>
      </c>
    </row>
    <row r="146" spans="1:19" s="337" customFormat="1" ht="15" customHeight="1" x14ac:dyDescent="0.2">
      <c r="A146" s="249">
        <v>13</v>
      </c>
      <c r="B146" s="218" t="s">
        <v>310</v>
      </c>
      <c r="C146" s="88">
        <v>3211</v>
      </c>
      <c r="D146" s="89">
        <v>6.3448466645589701</v>
      </c>
      <c r="E146" s="279"/>
      <c r="F146" s="338">
        <v>13</v>
      </c>
      <c r="G146" s="218" t="s">
        <v>305</v>
      </c>
      <c r="H146" s="88">
        <v>936</v>
      </c>
      <c r="I146" s="89">
        <v>1.8495099588997801</v>
      </c>
      <c r="J146" s="279"/>
      <c r="K146" s="339">
        <v>13</v>
      </c>
      <c r="L146" s="245" t="s">
        <v>312</v>
      </c>
      <c r="M146" s="340">
        <v>1592</v>
      </c>
      <c r="N146" s="279">
        <v>3.1457477078722702</v>
      </c>
      <c r="O146" s="279"/>
      <c r="P146" s="339">
        <v>13</v>
      </c>
      <c r="Q146" s="245" t="s">
        <v>307</v>
      </c>
      <c r="R146" s="340">
        <v>826</v>
      </c>
      <c r="S146" s="279">
        <v>1.6321530192854901</v>
      </c>
    </row>
    <row r="147" spans="1:19" s="337" customFormat="1" ht="15" customHeight="1" x14ac:dyDescent="0.2">
      <c r="A147" s="249">
        <v>14</v>
      </c>
      <c r="B147" s="218" t="s">
        <v>296</v>
      </c>
      <c r="C147" s="88">
        <v>3199</v>
      </c>
      <c r="D147" s="89">
        <v>6.32113499841922</v>
      </c>
      <c r="E147" s="279"/>
      <c r="F147" s="338">
        <v>14</v>
      </c>
      <c r="G147" s="218" t="s">
        <v>308</v>
      </c>
      <c r="H147" s="88">
        <v>854</v>
      </c>
      <c r="I147" s="89">
        <v>1.6874802402782201</v>
      </c>
      <c r="J147" s="279"/>
      <c r="K147" s="339">
        <v>14</v>
      </c>
      <c r="L147" s="245" t="s">
        <v>296</v>
      </c>
      <c r="M147" s="340">
        <v>1384</v>
      </c>
      <c r="N147" s="279">
        <v>2.73474549478343</v>
      </c>
      <c r="O147" s="279"/>
      <c r="P147" s="339">
        <v>14</v>
      </c>
      <c r="Q147" s="245" t="s">
        <v>299</v>
      </c>
      <c r="R147" s="340">
        <v>768</v>
      </c>
      <c r="S147" s="279">
        <v>1.51754663294341</v>
      </c>
    </row>
    <row r="148" spans="1:19" s="337" customFormat="1" ht="15" customHeight="1" x14ac:dyDescent="0.2">
      <c r="A148" s="249">
        <v>15</v>
      </c>
      <c r="B148" s="218" t="s">
        <v>307</v>
      </c>
      <c r="C148" s="88">
        <v>3025</v>
      </c>
      <c r="D148" s="89">
        <v>5.9773158393929799</v>
      </c>
      <c r="E148" s="279"/>
      <c r="F148" s="338">
        <v>15</v>
      </c>
      <c r="G148" s="218" t="s">
        <v>313</v>
      </c>
      <c r="H148" s="88">
        <v>810</v>
      </c>
      <c r="I148" s="89">
        <v>1.6005374644324999</v>
      </c>
      <c r="J148" s="279"/>
      <c r="K148" s="339">
        <v>15</v>
      </c>
      <c r="L148" s="245" t="s">
        <v>304</v>
      </c>
      <c r="M148" s="340">
        <v>1376</v>
      </c>
      <c r="N148" s="279">
        <v>2.71893771735694</v>
      </c>
      <c r="O148" s="279"/>
      <c r="P148" s="339">
        <v>15</v>
      </c>
      <c r="Q148" s="245" t="s">
        <v>290</v>
      </c>
      <c r="R148" s="340">
        <v>707</v>
      </c>
      <c r="S148" s="279">
        <v>1.3970123300663899</v>
      </c>
    </row>
    <row r="149" spans="1:19" s="337" customFormat="1" ht="15" customHeight="1" x14ac:dyDescent="0.2">
      <c r="A149" s="249">
        <v>16</v>
      </c>
      <c r="B149" s="218" t="s">
        <v>302</v>
      </c>
      <c r="C149" s="88">
        <v>2910</v>
      </c>
      <c r="D149" s="89">
        <v>5.7500790388871303</v>
      </c>
      <c r="E149" s="279"/>
      <c r="F149" s="338">
        <v>16</v>
      </c>
      <c r="G149" s="218" t="s">
        <v>337</v>
      </c>
      <c r="H149" s="88">
        <v>715</v>
      </c>
      <c r="I149" s="89">
        <v>1.4128201074928901</v>
      </c>
      <c r="J149" s="279"/>
      <c r="K149" s="339">
        <v>16</v>
      </c>
      <c r="L149" s="245" t="s">
        <v>295</v>
      </c>
      <c r="M149" s="340">
        <v>1282</v>
      </c>
      <c r="N149" s="279">
        <v>2.5331963325956401</v>
      </c>
      <c r="O149" s="279"/>
      <c r="P149" s="339">
        <v>16</v>
      </c>
      <c r="Q149" s="245" t="s">
        <v>289</v>
      </c>
      <c r="R149" s="340">
        <v>651</v>
      </c>
      <c r="S149" s="279">
        <v>1.2863578880809401</v>
      </c>
    </row>
    <row r="150" spans="1:19" s="337" customFormat="1" ht="15" customHeight="1" x14ac:dyDescent="0.2">
      <c r="A150" s="249">
        <v>17</v>
      </c>
      <c r="B150" s="218" t="s">
        <v>297</v>
      </c>
      <c r="C150" s="88">
        <v>2490</v>
      </c>
      <c r="D150" s="89">
        <v>4.9201707239962102</v>
      </c>
      <c r="E150" s="279"/>
      <c r="F150" s="338">
        <v>17</v>
      </c>
      <c r="G150" s="218" t="s">
        <v>331</v>
      </c>
      <c r="H150" s="88">
        <v>711</v>
      </c>
      <c r="I150" s="89">
        <v>1.40491621877964</v>
      </c>
      <c r="J150" s="279"/>
      <c r="K150" s="339">
        <v>17</v>
      </c>
      <c r="L150" s="245" t="s">
        <v>291</v>
      </c>
      <c r="M150" s="340">
        <v>1278</v>
      </c>
      <c r="N150" s="279">
        <v>2.5252924438823898</v>
      </c>
      <c r="O150" s="279"/>
      <c r="P150" s="339">
        <v>17</v>
      </c>
      <c r="Q150" s="245" t="s">
        <v>318</v>
      </c>
      <c r="R150" s="340">
        <v>632</v>
      </c>
      <c r="S150" s="279">
        <v>1.24881441669301</v>
      </c>
    </row>
    <row r="151" spans="1:19" s="337" customFormat="1" ht="15" customHeight="1" x14ac:dyDescent="0.2">
      <c r="A151" s="249">
        <v>18</v>
      </c>
      <c r="B151" s="218" t="s">
        <v>293</v>
      </c>
      <c r="C151" s="88">
        <v>2397</v>
      </c>
      <c r="D151" s="89">
        <v>4.7364053114132201</v>
      </c>
      <c r="E151" s="279"/>
      <c r="F151" s="338">
        <v>18</v>
      </c>
      <c r="G151" s="218" t="s">
        <v>389</v>
      </c>
      <c r="H151" s="88">
        <v>703</v>
      </c>
      <c r="I151" s="89">
        <v>1.38910844135315</v>
      </c>
      <c r="J151" s="279"/>
      <c r="K151" s="339">
        <v>18</v>
      </c>
      <c r="L151" s="245" t="s">
        <v>292</v>
      </c>
      <c r="M151" s="340">
        <v>1271</v>
      </c>
      <c r="N151" s="279">
        <v>2.51146063863421</v>
      </c>
      <c r="O151" s="279"/>
      <c r="P151" s="339">
        <v>18</v>
      </c>
      <c r="Q151" s="245" t="s">
        <v>294</v>
      </c>
      <c r="R151" s="340">
        <v>628</v>
      </c>
      <c r="S151" s="279">
        <v>1.2409105279797701</v>
      </c>
    </row>
    <row r="152" spans="1:19" s="337" customFormat="1" ht="15" customHeight="1" x14ac:dyDescent="0.2">
      <c r="A152" s="249">
        <v>19</v>
      </c>
      <c r="B152" s="218" t="s">
        <v>318</v>
      </c>
      <c r="C152" s="88">
        <v>2137</v>
      </c>
      <c r="D152" s="89">
        <v>4.2226525450521697</v>
      </c>
      <c r="E152" s="279"/>
      <c r="F152" s="338">
        <v>19</v>
      </c>
      <c r="G152" s="218" t="s">
        <v>388</v>
      </c>
      <c r="H152" s="88">
        <v>662</v>
      </c>
      <c r="I152" s="89">
        <v>1.30809358204237</v>
      </c>
      <c r="J152" s="279"/>
      <c r="K152" s="339">
        <v>19</v>
      </c>
      <c r="L152" s="245" t="s">
        <v>299</v>
      </c>
      <c r="M152" s="340">
        <v>1188</v>
      </c>
      <c r="N152" s="279">
        <v>2.3474549478343301</v>
      </c>
      <c r="O152" s="279"/>
      <c r="P152" s="339">
        <v>19</v>
      </c>
      <c r="Q152" s="245" t="s">
        <v>295</v>
      </c>
      <c r="R152" s="340">
        <v>540</v>
      </c>
      <c r="S152" s="279">
        <v>1.0670249762883299</v>
      </c>
    </row>
    <row r="153" spans="1:19" s="337" customFormat="1" ht="15" customHeight="1" x14ac:dyDescent="0.2">
      <c r="A153" s="249">
        <v>20</v>
      </c>
      <c r="B153" s="218" t="s">
        <v>299</v>
      </c>
      <c r="C153" s="341">
        <v>1980</v>
      </c>
      <c r="D153" s="342">
        <v>3.9124249130572202</v>
      </c>
      <c r="E153" s="279"/>
      <c r="F153" s="343">
        <v>20</v>
      </c>
      <c r="G153" s="218" t="s">
        <v>296</v>
      </c>
      <c r="H153" s="341">
        <v>636</v>
      </c>
      <c r="I153" s="342">
        <v>1.2567183054062601</v>
      </c>
      <c r="J153" s="279"/>
      <c r="K153" s="339">
        <v>20</v>
      </c>
      <c r="L153" s="245" t="s">
        <v>322</v>
      </c>
      <c r="M153" s="340">
        <v>967</v>
      </c>
      <c r="N153" s="279">
        <v>1.9107650964274401</v>
      </c>
      <c r="O153" s="279"/>
      <c r="P153" s="339">
        <v>20</v>
      </c>
      <c r="Q153" s="245" t="s">
        <v>311</v>
      </c>
      <c r="R153" s="340">
        <v>501</v>
      </c>
      <c r="S153" s="279">
        <v>0.98996206133417997</v>
      </c>
    </row>
    <row r="154" spans="1:19" s="359" customFormat="1" ht="15" customHeight="1" x14ac:dyDescent="0.2">
      <c r="A154" s="239"/>
      <c r="B154" s="68" t="s">
        <v>329</v>
      </c>
      <c r="C154" s="304">
        <v>50608</v>
      </c>
      <c r="D154" s="344" t="s">
        <v>70</v>
      </c>
      <c r="E154" s="355"/>
      <c r="F154" s="356"/>
      <c r="G154" s="68" t="s">
        <v>329</v>
      </c>
      <c r="H154" s="357">
        <v>50608</v>
      </c>
      <c r="I154" s="344" t="s">
        <v>70</v>
      </c>
      <c r="J154" s="355"/>
      <c r="K154" s="358"/>
      <c r="L154" s="68" t="s">
        <v>329</v>
      </c>
      <c r="M154" s="357">
        <v>50608</v>
      </c>
      <c r="N154" s="344" t="s">
        <v>70</v>
      </c>
      <c r="O154" s="355"/>
      <c r="P154" s="358"/>
      <c r="Q154" s="68" t="s">
        <v>329</v>
      </c>
      <c r="R154" s="357">
        <v>50608</v>
      </c>
      <c r="S154" s="344" t="s">
        <v>70</v>
      </c>
    </row>
    <row r="155" spans="1:19" s="337" customFormat="1" ht="15" customHeight="1" x14ac:dyDescent="0.2">
      <c r="A155" s="345"/>
      <c r="B155" s="300"/>
      <c r="C155" s="353"/>
      <c r="D155" s="354"/>
      <c r="E155" s="279"/>
      <c r="F155" s="346"/>
      <c r="G155" s="245"/>
      <c r="H155" s="340"/>
      <c r="I155" s="279"/>
      <c r="J155" s="279"/>
      <c r="K155" s="345"/>
      <c r="L155" s="245"/>
      <c r="M155" s="340"/>
      <c r="N155" s="279"/>
      <c r="O155" s="279"/>
      <c r="P155" s="345"/>
      <c r="Q155" s="245"/>
      <c r="R155" s="340"/>
      <c r="S155" s="279"/>
    </row>
    <row r="156" spans="1:19" s="337" customFormat="1" ht="15" customHeight="1" x14ac:dyDescent="0.2">
      <c r="A156" s="236" t="s">
        <v>95</v>
      </c>
      <c r="B156" s="300"/>
      <c r="C156" s="353"/>
      <c r="D156" s="354"/>
      <c r="E156" s="279"/>
      <c r="F156" s="296" t="s">
        <v>95</v>
      </c>
      <c r="G156" s="245"/>
      <c r="H156" s="340"/>
      <c r="I156" s="279"/>
      <c r="J156" s="279"/>
      <c r="K156" s="236" t="s">
        <v>95</v>
      </c>
      <c r="L156" s="245"/>
      <c r="M156" s="340"/>
      <c r="N156" s="279"/>
      <c r="O156" s="279"/>
      <c r="P156" s="236" t="s">
        <v>95</v>
      </c>
      <c r="Q156" s="245"/>
      <c r="R156" s="340"/>
      <c r="S156" s="279"/>
    </row>
    <row r="157" spans="1:19" s="337" customFormat="1" ht="15" customHeight="1" x14ac:dyDescent="0.2">
      <c r="A157" s="249">
        <v>1</v>
      </c>
      <c r="B157" s="218" t="s">
        <v>304</v>
      </c>
      <c r="C157" s="88">
        <v>16092</v>
      </c>
      <c r="D157" s="89">
        <v>27.669927953642699</v>
      </c>
      <c r="E157" s="279"/>
      <c r="F157" s="338">
        <v>1</v>
      </c>
      <c r="G157" s="218" t="s">
        <v>304</v>
      </c>
      <c r="H157" s="88">
        <v>8621</v>
      </c>
      <c r="I157" s="89">
        <v>14.823666970442099</v>
      </c>
      <c r="J157" s="279"/>
      <c r="K157" s="339">
        <v>1</v>
      </c>
      <c r="L157" s="245" t="s">
        <v>301</v>
      </c>
      <c r="M157" s="340">
        <v>5197</v>
      </c>
      <c r="N157" s="279">
        <v>8.9361555788641098</v>
      </c>
      <c r="O157" s="279"/>
      <c r="P157" s="339">
        <v>1</v>
      </c>
      <c r="Q157" s="245" t="s">
        <v>320</v>
      </c>
      <c r="R157" s="340">
        <v>5452</v>
      </c>
      <c r="S157" s="279">
        <v>9.3746238629915606</v>
      </c>
    </row>
    <row r="158" spans="1:19" s="337" customFormat="1" ht="15" customHeight="1" x14ac:dyDescent="0.2">
      <c r="A158" s="249">
        <v>2</v>
      </c>
      <c r="B158" s="218" t="s">
        <v>315</v>
      </c>
      <c r="C158" s="88">
        <v>12395</v>
      </c>
      <c r="D158" s="89">
        <v>21.3129975755283</v>
      </c>
      <c r="E158" s="279"/>
      <c r="F158" s="338">
        <v>2</v>
      </c>
      <c r="G158" s="218" t="s">
        <v>315</v>
      </c>
      <c r="H158" s="88">
        <v>5768</v>
      </c>
      <c r="I158" s="89">
        <v>9.9179806386161609</v>
      </c>
      <c r="J158" s="279"/>
      <c r="K158" s="339">
        <v>2</v>
      </c>
      <c r="L158" s="245" t="s">
        <v>319</v>
      </c>
      <c r="M158" s="340">
        <v>4045</v>
      </c>
      <c r="N158" s="279">
        <v>6.9553106246883498</v>
      </c>
      <c r="O158" s="279"/>
      <c r="P158" s="339">
        <v>2</v>
      </c>
      <c r="Q158" s="245" t="s">
        <v>304</v>
      </c>
      <c r="R158" s="340">
        <v>4965</v>
      </c>
      <c r="S158" s="279">
        <v>8.5372354144814899</v>
      </c>
    </row>
    <row r="159" spans="1:19" s="337" customFormat="1" ht="15" customHeight="1" x14ac:dyDescent="0.2">
      <c r="A159" s="249">
        <v>3</v>
      </c>
      <c r="B159" s="218" t="s">
        <v>320</v>
      </c>
      <c r="C159" s="88">
        <v>8793</v>
      </c>
      <c r="D159" s="89">
        <v>15.119418126794701</v>
      </c>
      <c r="E159" s="279"/>
      <c r="F159" s="338">
        <v>3</v>
      </c>
      <c r="G159" s="218" t="s">
        <v>120</v>
      </c>
      <c r="H159" s="88">
        <v>3715</v>
      </c>
      <c r="I159" s="89">
        <v>6.3878810805234103</v>
      </c>
      <c r="J159" s="279"/>
      <c r="K159" s="339">
        <v>3</v>
      </c>
      <c r="L159" s="245" t="s">
        <v>310</v>
      </c>
      <c r="M159" s="340">
        <v>3925</v>
      </c>
      <c r="N159" s="279">
        <v>6.7489726086283701</v>
      </c>
      <c r="O159" s="279"/>
      <c r="P159" s="339">
        <v>3</v>
      </c>
      <c r="Q159" s="245" t="s">
        <v>292</v>
      </c>
      <c r="R159" s="340">
        <v>4521</v>
      </c>
      <c r="S159" s="279">
        <v>7.7737847550595802</v>
      </c>
    </row>
    <row r="160" spans="1:19" s="337" customFormat="1" ht="15" customHeight="1" x14ac:dyDescent="0.2">
      <c r="A160" s="249">
        <v>4</v>
      </c>
      <c r="B160" s="218" t="s">
        <v>292</v>
      </c>
      <c r="C160" s="88">
        <v>8211</v>
      </c>
      <c r="D160" s="89">
        <v>14.1186787489038</v>
      </c>
      <c r="E160" s="279"/>
      <c r="F160" s="338">
        <v>4</v>
      </c>
      <c r="G160" s="218" t="s">
        <v>321</v>
      </c>
      <c r="H160" s="88">
        <v>2105</v>
      </c>
      <c r="I160" s="89">
        <v>3.6195126983854098</v>
      </c>
      <c r="J160" s="279"/>
      <c r="K160" s="339">
        <v>4</v>
      </c>
      <c r="L160" s="245" t="s">
        <v>317</v>
      </c>
      <c r="M160" s="340">
        <v>3447</v>
      </c>
      <c r="N160" s="279">
        <v>5.9270595113228</v>
      </c>
      <c r="O160" s="279"/>
      <c r="P160" s="339">
        <v>4</v>
      </c>
      <c r="Q160" s="245" t="s">
        <v>315</v>
      </c>
      <c r="R160" s="340">
        <v>4373</v>
      </c>
      <c r="S160" s="279">
        <v>7.5193012019189496</v>
      </c>
    </row>
    <row r="161" spans="1:19" s="337" customFormat="1" ht="15" customHeight="1" x14ac:dyDescent="0.2">
      <c r="A161" s="249">
        <v>5</v>
      </c>
      <c r="B161" s="218" t="s">
        <v>308</v>
      </c>
      <c r="C161" s="88">
        <v>8045</v>
      </c>
      <c r="D161" s="89">
        <v>13.833244493354201</v>
      </c>
      <c r="E161" s="279"/>
      <c r="F161" s="338">
        <v>5</v>
      </c>
      <c r="G161" s="218" t="s">
        <v>322</v>
      </c>
      <c r="H161" s="88">
        <v>2003</v>
      </c>
      <c r="I161" s="89">
        <v>3.4441253847344302</v>
      </c>
      <c r="J161" s="279"/>
      <c r="K161" s="339">
        <v>5</v>
      </c>
      <c r="L161" s="245" t="s">
        <v>302</v>
      </c>
      <c r="M161" s="340">
        <v>3111</v>
      </c>
      <c r="N161" s="279">
        <v>5.3493130663548696</v>
      </c>
      <c r="O161" s="279"/>
      <c r="P161" s="339">
        <v>5</v>
      </c>
      <c r="Q161" s="245" t="s">
        <v>117</v>
      </c>
      <c r="R161" s="340">
        <v>4006</v>
      </c>
      <c r="S161" s="279">
        <v>6.8882507694688497</v>
      </c>
    </row>
    <row r="162" spans="1:19" s="337" customFormat="1" ht="15" customHeight="1" x14ac:dyDescent="0.2">
      <c r="A162" s="249">
        <v>6</v>
      </c>
      <c r="B162" s="218" t="s">
        <v>120</v>
      </c>
      <c r="C162" s="88">
        <v>7952</v>
      </c>
      <c r="D162" s="89">
        <v>13.6733325309077</v>
      </c>
      <c r="E162" s="279"/>
      <c r="F162" s="338">
        <v>6</v>
      </c>
      <c r="G162" s="218" t="s">
        <v>125</v>
      </c>
      <c r="H162" s="88">
        <v>1934</v>
      </c>
      <c r="I162" s="89">
        <v>3.3254810254999398</v>
      </c>
      <c r="J162" s="279"/>
      <c r="K162" s="339">
        <v>6</v>
      </c>
      <c r="L162" s="245" t="s">
        <v>307</v>
      </c>
      <c r="M162" s="340">
        <v>3098</v>
      </c>
      <c r="N162" s="279">
        <v>5.3269597812817002</v>
      </c>
      <c r="O162" s="279"/>
      <c r="P162" s="339">
        <v>6</v>
      </c>
      <c r="Q162" s="245" t="s">
        <v>308</v>
      </c>
      <c r="R162" s="340">
        <v>3909</v>
      </c>
      <c r="S162" s="279">
        <v>6.7214608731537098</v>
      </c>
    </row>
    <row r="163" spans="1:19" s="337" customFormat="1" ht="15" customHeight="1" x14ac:dyDescent="0.2">
      <c r="A163" s="249">
        <v>7</v>
      </c>
      <c r="B163" s="218" t="s">
        <v>301</v>
      </c>
      <c r="C163" s="88">
        <v>6793</v>
      </c>
      <c r="D163" s="89">
        <v>11.680451192461801</v>
      </c>
      <c r="E163" s="279"/>
      <c r="F163" s="338">
        <v>7</v>
      </c>
      <c r="G163" s="218" t="s">
        <v>117</v>
      </c>
      <c r="H163" s="88">
        <v>1890</v>
      </c>
      <c r="I163" s="89">
        <v>3.2498237529446201</v>
      </c>
      <c r="J163" s="279"/>
      <c r="K163" s="339">
        <v>7</v>
      </c>
      <c r="L163" s="245" t="s">
        <v>320</v>
      </c>
      <c r="M163" s="340">
        <v>2975</v>
      </c>
      <c r="N163" s="279">
        <v>5.1154633148202304</v>
      </c>
      <c r="O163" s="279"/>
      <c r="P163" s="339">
        <v>7</v>
      </c>
      <c r="Q163" s="245" t="s">
        <v>322</v>
      </c>
      <c r="R163" s="340">
        <v>2206</v>
      </c>
      <c r="S163" s="279">
        <v>3.7931805285692199</v>
      </c>
    </row>
    <row r="164" spans="1:19" s="337" customFormat="1" ht="15" customHeight="1" x14ac:dyDescent="0.2">
      <c r="A164" s="249">
        <v>8</v>
      </c>
      <c r="B164" s="218" t="s">
        <v>117</v>
      </c>
      <c r="C164" s="88">
        <v>6489</v>
      </c>
      <c r="D164" s="89">
        <v>11.1577282184432</v>
      </c>
      <c r="E164" s="279"/>
      <c r="F164" s="338">
        <v>8</v>
      </c>
      <c r="G164" s="218" t="s">
        <v>323</v>
      </c>
      <c r="H164" s="88">
        <v>1405</v>
      </c>
      <c r="I164" s="89">
        <v>2.4158742713688799</v>
      </c>
      <c r="J164" s="279"/>
      <c r="K164" s="339">
        <v>8</v>
      </c>
      <c r="L164" s="245" t="s">
        <v>299</v>
      </c>
      <c r="M164" s="340">
        <v>2905</v>
      </c>
      <c r="N164" s="279">
        <v>4.9950994721185804</v>
      </c>
      <c r="O164" s="279"/>
      <c r="P164" s="339">
        <v>8</v>
      </c>
      <c r="Q164" s="245" t="s">
        <v>317</v>
      </c>
      <c r="R164" s="340">
        <v>2027</v>
      </c>
      <c r="S164" s="279">
        <v>3.4853929879464198</v>
      </c>
    </row>
    <row r="165" spans="1:19" s="337" customFormat="1" ht="15" customHeight="1" x14ac:dyDescent="0.2">
      <c r="A165" s="249">
        <v>9</v>
      </c>
      <c r="B165" s="218" t="s">
        <v>317</v>
      </c>
      <c r="C165" s="88">
        <v>6425</v>
      </c>
      <c r="D165" s="89">
        <v>11.0476812765445</v>
      </c>
      <c r="E165" s="279"/>
      <c r="F165" s="338">
        <v>9</v>
      </c>
      <c r="G165" s="218" t="s">
        <v>306</v>
      </c>
      <c r="H165" s="88">
        <v>1353</v>
      </c>
      <c r="I165" s="89">
        <v>2.3264611310762202</v>
      </c>
      <c r="J165" s="279"/>
      <c r="K165" s="339">
        <v>9</v>
      </c>
      <c r="L165" s="245" t="s">
        <v>308</v>
      </c>
      <c r="M165" s="340">
        <v>2791</v>
      </c>
      <c r="N165" s="279">
        <v>4.7990783568615996</v>
      </c>
      <c r="O165" s="279"/>
      <c r="P165" s="339">
        <v>9</v>
      </c>
      <c r="Q165" s="245" t="s">
        <v>120</v>
      </c>
      <c r="R165" s="340">
        <v>1891</v>
      </c>
      <c r="S165" s="279">
        <v>3.2515432364117798</v>
      </c>
    </row>
    <row r="166" spans="1:19" s="337" customFormat="1" ht="15" customHeight="1" x14ac:dyDescent="0.2">
      <c r="A166" s="249">
        <v>10</v>
      </c>
      <c r="B166" s="218" t="s">
        <v>307</v>
      </c>
      <c r="C166" s="88">
        <v>5119</v>
      </c>
      <c r="D166" s="89">
        <v>8.8020358684251292</v>
      </c>
      <c r="E166" s="279"/>
      <c r="F166" s="338">
        <v>10</v>
      </c>
      <c r="G166" s="218" t="s">
        <v>308</v>
      </c>
      <c r="H166" s="88">
        <v>1345</v>
      </c>
      <c r="I166" s="89">
        <v>2.31270526333889</v>
      </c>
      <c r="J166" s="279"/>
      <c r="K166" s="339">
        <v>10</v>
      </c>
      <c r="L166" s="245" t="s">
        <v>304</v>
      </c>
      <c r="M166" s="340">
        <v>2506</v>
      </c>
      <c r="N166" s="279">
        <v>4.3090255687191599</v>
      </c>
      <c r="O166" s="279"/>
      <c r="P166" s="339">
        <v>10</v>
      </c>
      <c r="Q166" s="245" t="s">
        <v>296</v>
      </c>
      <c r="R166" s="340">
        <v>1473</v>
      </c>
      <c r="S166" s="279">
        <v>2.5327991471361999</v>
      </c>
    </row>
    <row r="167" spans="1:19" s="337" customFormat="1" ht="15" customHeight="1" x14ac:dyDescent="0.2">
      <c r="A167" s="249">
        <v>11</v>
      </c>
      <c r="B167" s="218" t="s">
        <v>322</v>
      </c>
      <c r="C167" s="88">
        <v>4939</v>
      </c>
      <c r="D167" s="89">
        <v>8.4925288443351601</v>
      </c>
      <c r="E167" s="279"/>
      <c r="F167" s="338">
        <v>11</v>
      </c>
      <c r="G167" s="218" t="s">
        <v>318</v>
      </c>
      <c r="H167" s="88">
        <v>1336</v>
      </c>
      <c r="I167" s="89">
        <v>2.2972299121344002</v>
      </c>
      <c r="J167" s="279"/>
      <c r="K167" s="339">
        <v>11</v>
      </c>
      <c r="L167" s="245" t="s">
        <v>292</v>
      </c>
      <c r="M167" s="340">
        <v>2389</v>
      </c>
      <c r="N167" s="279">
        <v>4.10784600306068</v>
      </c>
      <c r="O167" s="279"/>
      <c r="P167" s="339">
        <v>11</v>
      </c>
      <c r="Q167" s="245" t="s">
        <v>299</v>
      </c>
      <c r="R167" s="340">
        <v>1376</v>
      </c>
      <c r="S167" s="279">
        <v>2.3660092508210502</v>
      </c>
    </row>
    <row r="168" spans="1:19" s="337" customFormat="1" ht="15" customHeight="1" x14ac:dyDescent="0.2">
      <c r="A168" s="249">
        <v>12</v>
      </c>
      <c r="B168" s="218" t="s">
        <v>319</v>
      </c>
      <c r="C168" s="88">
        <v>4919</v>
      </c>
      <c r="D168" s="89">
        <v>8.4581391749918406</v>
      </c>
      <c r="E168" s="279"/>
      <c r="F168" s="338">
        <v>12</v>
      </c>
      <c r="G168" s="218" t="s">
        <v>292</v>
      </c>
      <c r="H168" s="88">
        <v>1301</v>
      </c>
      <c r="I168" s="89">
        <v>2.2370479907835699</v>
      </c>
      <c r="J168" s="279"/>
      <c r="K168" s="339">
        <v>12</v>
      </c>
      <c r="L168" s="245" t="s">
        <v>120</v>
      </c>
      <c r="M168" s="340">
        <v>2346</v>
      </c>
      <c r="N168" s="279">
        <v>4.03390821397252</v>
      </c>
      <c r="O168" s="279"/>
      <c r="P168" s="339">
        <v>12</v>
      </c>
      <c r="Q168" s="245" t="s">
        <v>307</v>
      </c>
      <c r="R168" s="340">
        <v>1227</v>
      </c>
      <c r="S168" s="279">
        <v>2.1098062142132501</v>
      </c>
    </row>
    <row r="169" spans="1:19" s="337" customFormat="1" ht="15" customHeight="1" x14ac:dyDescent="0.2">
      <c r="A169" s="249">
        <v>13</v>
      </c>
      <c r="B169" s="218" t="s">
        <v>299</v>
      </c>
      <c r="C169" s="88">
        <v>4428</v>
      </c>
      <c r="D169" s="89">
        <v>7.6138727926131002</v>
      </c>
      <c r="E169" s="279"/>
      <c r="F169" s="338">
        <v>13</v>
      </c>
      <c r="G169" s="218" t="s">
        <v>301</v>
      </c>
      <c r="H169" s="88">
        <v>1231</v>
      </c>
      <c r="I169" s="89">
        <v>2.1166841480819198</v>
      </c>
      <c r="J169" s="279"/>
      <c r="K169" s="339">
        <v>13</v>
      </c>
      <c r="L169" s="245" t="s">
        <v>315</v>
      </c>
      <c r="M169" s="340">
        <v>2254</v>
      </c>
      <c r="N169" s="279">
        <v>3.8757157349932099</v>
      </c>
      <c r="O169" s="279"/>
      <c r="P169" s="339">
        <v>13</v>
      </c>
      <c r="Q169" s="245" t="s">
        <v>314</v>
      </c>
      <c r="R169" s="340">
        <v>1174</v>
      </c>
      <c r="S169" s="279">
        <v>2.0186735904534299</v>
      </c>
    </row>
    <row r="170" spans="1:19" s="337" customFormat="1" ht="15" customHeight="1" x14ac:dyDescent="0.2">
      <c r="A170" s="249">
        <v>14</v>
      </c>
      <c r="B170" s="218" t="s">
        <v>310</v>
      </c>
      <c r="C170" s="88">
        <v>3979</v>
      </c>
      <c r="D170" s="89">
        <v>6.8418247158553598</v>
      </c>
      <c r="E170" s="279"/>
      <c r="F170" s="338">
        <v>14</v>
      </c>
      <c r="G170" s="218" t="s">
        <v>289</v>
      </c>
      <c r="H170" s="88">
        <v>960</v>
      </c>
      <c r="I170" s="89">
        <v>1.6507041284798101</v>
      </c>
      <c r="J170" s="279"/>
      <c r="K170" s="339">
        <v>14</v>
      </c>
      <c r="L170" s="245" t="s">
        <v>312</v>
      </c>
      <c r="M170" s="340">
        <v>2100</v>
      </c>
      <c r="N170" s="279">
        <v>3.6109152810495702</v>
      </c>
      <c r="O170" s="279"/>
      <c r="P170" s="339">
        <v>14</v>
      </c>
      <c r="Q170" s="245" t="s">
        <v>334</v>
      </c>
      <c r="R170" s="340">
        <v>1002</v>
      </c>
      <c r="S170" s="279">
        <v>1.7229224341008</v>
      </c>
    </row>
    <row r="171" spans="1:19" s="337" customFormat="1" ht="15" customHeight="1" x14ac:dyDescent="0.2">
      <c r="A171" s="249">
        <v>15</v>
      </c>
      <c r="B171" s="218" t="s">
        <v>296</v>
      </c>
      <c r="C171" s="88">
        <v>3942</v>
      </c>
      <c r="D171" s="89">
        <v>6.7782038275702003</v>
      </c>
      <c r="E171" s="279"/>
      <c r="F171" s="338">
        <v>15</v>
      </c>
      <c r="G171" s="218" t="s">
        <v>296</v>
      </c>
      <c r="H171" s="88">
        <v>954</v>
      </c>
      <c r="I171" s="89">
        <v>1.6403872276768099</v>
      </c>
      <c r="J171" s="279"/>
      <c r="K171" s="339">
        <v>15</v>
      </c>
      <c r="L171" s="245" t="s">
        <v>293</v>
      </c>
      <c r="M171" s="340">
        <v>1983</v>
      </c>
      <c r="N171" s="279">
        <v>3.4097357153911001</v>
      </c>
      <c r="O171" s="279"/>
      <c r="P171" s="339">
        <v>15</v>
      </c>
      <c r="Q171" s="245" t="s">
        <v>294</v>
      </c>
      <c r="R171" s="340">
        <v>989</v>
      </c>
      <c r="S171" s="279">
        <v>1.70056914902763</v>
      </c>
    </row>
    <row r="172" spans="1:19" s="337" customFormat="1" ht="15" customHeight="1" x14ac:dyDescent="0.2">
      <c r="A172" s="249">
        <v>16</v>
      </c>
      <c r="B172" s="218" t="s">
        <v>302</v>
      </c>
      <c r="C172" s="88">
        <v>3905</v>
      </c>
      <c r="D172" s="89">
        <v>6.71458293928504</v>
      </c>
      <c r="E172" s="279"/>
      <c r="F172" s="338">
        <v>16</v>
      </c>
      <c r="G172" s="218" t="s">
        <v>317</v>
      </c>
      <c r="H172" s="88">
        <v>951</v>
      </c>
      <c r="I172" s="89">
        <v>1.63522877727531</v>
      </c>
      <c r="J172" s="279"/>
      <c r="K172" s="339">
        <v>16</v>
      </c>
      <c r="L172" s="245" t="s">
        <v>288</v>
      </c>
      <c r="M172" s="340">
        <v>1764</v>
      </c>
      <c r="N172" s="279">
        <v>3.0331688360816398</v>
      </c>
      <c r="O172" s="279"/>
      <c r="P172" s="339">
        <v>16</v>
      </c>
      <c r="Q172" s="245" t="s">
        <v>333</v>
      </c>
      <c r="R172" s="340">
        <v>922</v>
      </c>
      <c r="S172" s="279">
        <v>1.5853637567274801</v>
      </c>
    </row>
    <row r="173" spans="1:19" s="337" customFormat="1" ht="15" customHeight="1" x14ac:dyDescent="0.2">
      <c r="A173" s="249">
        <v>17</v>
      </c>
      <c r="B173" s="218" t="s">
        <v>321</v>
      </c>
      <c r="C173" s="88">
        <v>2742</v>
      </c>
      <c r="D173" s="89">
        <v>4.7148236669704398</v>
      </c>
      <c r="E173" s="279"/>
      <c r="F173" s="338">
        <v>17</v>
      </c>
      <c r="G173" s="218" t="s">
        <v>305</v>
      </c>
      <c r="H173" s="88">
        <v>884</v>
      </c>
      <c r="I173" s="89">
        <v>1.5200233849751501</v>
      </c>
      <c r="J173" s="279"/>
      <c r="K173" s="339">
        <v>17</v>
      </c>
      <c r="L173" s="245" t="s">
        <v>291</v>
      </c>
      <c r="M173" s="340">
        <v>1699</v>
      </c>
      <c r="N173" s="279">
        <v>2.9214024107158201</v>
      </c>
      <c r="O173" s="279"/>
      <c r="P173" s="339">
        <v>17</v>
      </c>
      <c r="Q173" s="245" t="s">
        <v>318</v>
      </c>
      <c r="R173" s="340">
        <v>781</v>
      </c>
      <c r="S173" s="279">
        <v>1.34291658785701</v>
      </c>
    </row>
    <row r="174" spans="1:19" s="337" customFormat="1" ht="15" customHeight="1" x14ac:dyDescent="0.2">
      <c r="A174" s="249">
        <v>18</v>
      </c>
      <c r="B174" s="218" t="s">
        <v>288</v>
      </c>
      <c r="C174" s="88">
        <v>2680</v>
      </c>
      <c r="D174" s="89">
        <v>4.6082156920061204</v>
      </c>
      <c r="E174" s="279"/>
      <c r="F174" s="338">
        <v>18</v>
      </c>
      <c r="G174" s="218" t="s">
        <v>294</v>
      </c>
      <c r="H174" s="88">
        <v>821</v>
      </c>
      <c r="I174" s="89">
        <v>1.4116959265436699</v>
      </c>
      <c r="J174" s="279"/>
      <c r="K174" s="339">
        <v>18</v>
      </c>
      <c r="L174" s="245" t="s">
        <v>297</v>
      </c>
      <c r="M174" s="340">
        <v>1553</v>
      </c>
      <c r="N174" s="279">
        <v>2.6703578245095199</v>
      </c>
      <c r="O174" s="279"/>
      <c r="P174" s="339">
        <v>18</v>
      </c>
      <c r="Q174" s="245" t="s">
        <v>288</v>
      </c>
      <c r="R174" s="340">
        <v>730</v>
      </c>
      <c r="S174" s="279">
        <v>1.2552229310315199</v>
      </c>
    </row>
    <row r="175" spans="1:19" s="337" customFormat="1" ht="15" customHeight="1" x14ac:dyDescent="0.2">
      <c r="A175" s="249">
        <v>19</v>
      </c>
      <c r="B175" s="218" t="s">
        <v>291</v>
      </c>
      <c r="C175" s="88">
        <v>2362</v>
      </c>
      <c r="D175" s="89">
        <v>4.0614199494471901</v>
      </c>
      <c r="E175" s="279"/>
      <c r="F175" s="338">
        <v>19</v>
      </c>
      <c r="G175" s="218" t="s">
        <v>307</v>
      </c>
      <c r="H175" s="88">
        <v>794</v>
      </c>
      <c r="I175" s="89">
        <v>1.36526987293017</v>
      </c>
      <c r="J175" s="279"/>
      <c r="K175" s="339">
        <v>19</v>
      </c>
      <c r="L175" s="245" t="s">
        <v>296</v>
      </c>
      <c r="M175" s="340">
        <v>1515</v>
      </c>
      <c r="N175" s="279">
        <v>2.6050174527571901</v>
      </c>
      <c r="O175" s="279"/>
      <c r="P175" s="339">
        <v>19</v>
      </c>
      <c r="Q175" s="245" t="s">
        <v>311</v>
      </c>
      <c r="R175" s="340">
        <v>716</v>
      </c>
      <c r="S175" s="279">
        <v>1.23115016249119</v>
      </c>
    </row>
    <row r="176" spans="1:19" s="337" customFormat="1" ht="15" customHeight="1" x14ac:dyDescent="0.2">
      <c r="A176" s="249">
        <v>20</v>
      </c>
      <c r="B176" s="218" t="s">
        <v>312</v>
      </c>
      <c r="C176" s="341">
        <v>2296</v>
      </c>
      <c r="D176" s="342">
        <v>3.9479340406142001</v>
      </c>
      <c r="E176" s="279"/>
      <c r="F176" s="343">
        <v>20</v>
      </c>
      <c r="G176" s="218" t="s">
        <v>319</v>
      </c>
      <c r="H176" s="341">
        <v>738</v>
      </c>
      <c r="I176" s="342">
        <v>1.2689787987688499</v>
      </c>
      <c r="J176" s="279"/>
      <c r="K176" s="339">
        <v>20</v>
      </c>
      <c r="L176" s="245" t="s">
        <v>390</v>
      </c>
      <c r="M176" s="340">
        <v>1165</v>
      </c>
      <c r="N176" s="279">
        <v>2.0031982392489298</v>
      </c>
      <c r="O176" s="279"/>
      <c r="P176" s="339">
        <v>20</v>
      </c>
      <c r="Q176" s="245" t="s">
        <v>290</v>
      </c>
      <c r="R176" s="340">
        <v>685</v>
      </c>
      <c r="S176" s="279">
        <v>1.1778461750090301</v>
      </c>
    </row>
    <row r="177" spans="1:19" s="20" customFormat="1" ht="15" customHeight="1" x14ac:dyDescent="0.2">
      <c r="A177" s="303"/>
      <c r="B177" s="68" t="s">
        <v>329</v>
      </c>
      <c r="C177" s="304">
        <v>58157</v>
      </c>
      <c r="D177" s="344" t="s">
        <v>70</v>
      </c>
      <c r="E177" s="305"/>
      <c r="F177" s="303"/>
      <c r="G177" s="68" t="s">
        <v>329</v>
      </c>
      <c r="H177" s="304">
        <v>58157</v>
      </c>
      <c r="I177" s="344" t="s">
        <v>70</v>
      </c>
      <c r="J177" s="239"/>
      <c r="K177" s="303"/>
      <c r="L177" s="68" t="s">
        <v>329</v>
      </c>
      <c r="M177" s="304">
        <v>58157</v>
      </c>
      <c r="N177" s="344" t="s">
        <v>70</v>
      </c>
      <c r="O177" s="239"/>
      <c r="P177" s="303"/>
      <c r="Q177" s="68" t="s">
        <v>329</v>
      </c>
      <c r="R177" s="304">
        <v>58157</v>
      </c>
      <c r="S177" s="344" t="s">
        <v>70</v>
      </c>
    </row>
    <row r="178" spans="1:19" s="337" customFormat="1" ht="15" customHeight="1" x14ac:dyDescent="0.2">
      <c r="A178" s="345"/>
      <c r="B178" s="300"/>
      <c r="C178" s="353"/>
      <c r="D178" s="354"/>
      <c r="E178" s="279"/>
      <c r="F178" s="346"/>
      <c r="G178" s="245"/>
      <c r="H178" s="340"/>
      <c r="I178" s="279"/>
      <c r="J178" s="279"/>
      <c r="K178" s="345"/>
      <c r="L178" s="245"/>
      <c r="M178" s="340"/>
      <c r="N178" s="279"/>
      <c r="O178" s="279"/>
      <c r="P178" s="345"/>
      <c r="Q178" s="245"/>
      <c r="R178" s="340"/>
      <c r="S178" s="279"/>
    </row>
    <row r="179" spans="1:19" s="337" customFormat="1" ht="15" customHeight="1" x14ac:dyDescent="0.2">
      <c r="A179" s="236" t="s">
        <v>96</v>
      </c>
      <c r="B179" s="300"/>
      <c r="C179" s="353"/>
      <c r="D179" s="354"/>
      <c r="E179" s="279"/>
      <c r="F179" s="296" t="s">
        <v>96</v>
      </c>
      <c r="G179" s="245"/>
      <c r="H179" s="340"/>
      <c r="I179" s="279"/>
      <c r="J179" s="279"/>
      <c r="K179" s="236" t="s">
        <v>96</v>
      </c>
      <c r="L179" s="245"/>
      <c r="M179" s="340"/>
      <c r="N179" s="279"/>
      <c r="O179" s="279"/>
      <c r="P179" s="236" t="s">
        <v>96</v>
      </c>
      <c r="Q179" s="245"/>
      <c r="R179" s="340"/>
      <c r="S179" s="279"/>
    </row>
    <row r="180" spans="1:19" s="337" customFormat="1" ht="15" customHeight="1" x14ac:dyDescent="0.2">
      <c r="A180" s="249">
        <v>1</v>
      </c>
      <c r="B180" s="218" t="s">
        <v>304</v>
      </c>
      <c r="C180" s="88">
        <v>4697</v>
      </c>
      <c r="D180" s="89">
        <v>29.546455306032598</v>
      </c>
      <c r="E180" s="279"/>
      <c r="F180" s="338">
        <v>1</v>
      </c>
      <c r="G180" s="218" t="s">
        <v>304</v>
      </c>
      <c r="H180" s="88">
        <v>2748</v>
      </c>
      <c r="I180" s="89">
        <v>17.286280430269901</v>
      </c>
      <c r="J180" s="279"/>
      <c r="K180" s="339">
        <v>1</v>
      </c>
      <c r="L180" s="245" t="s">
        <v>301</v>
      </c>
      <c r="M180" s="340">
        <v>1418</v>
      </c>
      <c r="N180" s="279">
        <v>8.9199219978612305</v>
      </c>
      <c r="O180" s="279"/>
      <c r="P180" s="339">
        <v>1</v>
      </c>
      <c r="Q180" s="245" t="s">
        <v>320</v>
      </c>
      <c r="R180" s="340">
        <v>1520</v>
      </c>
      <c r="S180" s="279">
        <v>9.5615524941812904</v>
      </c>
    </row>
    <row r="181" spans="1:19" s="337" customFormat="1" ht="15" customHeight="1" x14ac:dyDescent="0.2">
      <c r="A181" s="249">
        <v>2</v>
      </c>
      <c r="B181" s="218" t="s">
        <v>315</v>
      </c>
      <c r="C181" s="88">
        <v>3343</v>
      </c>
      <c r="D181" s="89">
        <v>21.0291249921369</v>
      </c>
      <c r="E181" s="279"/>
      <c r="F181" s="338">
        <v>2</v>
      </c>
      <c r="G181" s="218" t="s">
        <v>315</v>
      </c>
      <c r="H181" s="88">
        <v>1833</v>
      </c>
      <c r="I181" s="89">
        <v>11.5304774485752</v>
      </c>
      <c r="J181" s="279"/>
      <c r="K181" s="339">
        <v>2</v>
      </c>
      <c r="L181" s="245" t="s">
        <v>299</v>
      </c>
      <c r="M181" s="340">
        <v>1354</v>
      </c>
      <c r="N181" s="279">
        <v>8.5173303138957106</v>
      </c>
      <c r="O181" s="279"/>
      <c r="P181" s="339">
        <v>2</v>
      </c>
      <c r="Q181" s="245" t="s">
        <v>304</v>
      </c>
      <c r="R181" s="340">
        <v>1269</v>
      </c>
      <c r="S181" s="279">
        <v>7.9826382336289896</v>
      </c>
    </row>
    <row r="182" spans="1:19" s="337" customFormat="1" ht="15" customHeight="1" x14ac:dyDescent="0.2">
      <c r="A182" s="249">
        <v>3</v>
      </c>
      <c r="B182" s="218" t="s">
        <v>320</v>
      </c>
      <c r="C182" s="88">
        <v>2665</v>
      </c>
      <c r="D182" s="89">
        <v>16.764169340127101</v>
      </c>
      <c r="E182" s="279"/>
      <c r="F182" s="338">
        <v>3</v>
      </c>
      <c r="G182" s="218" t="s">
        <v>120</v>
      </c>
      <c r="H182" s="88">
        <v>1104</v>
      </c>
      <c r="I182" s="89">
        <v>6.9447065484053603</v>
      </c>
      <c r="J182" s="279"/>
      <c r="K182" s="339">
        <v>3</v>
      </c>
      <c r="L182" s="245" t="s">
        <v>310</v>
      </c>
      <c r="M182" s="340">
        <v>1270</v>
      </c>
      <c r="N182" s="279">
        <v>7.9889287286909498</v>
      </c>
      <c r="O182" s="279"/>
      <c r="P182" s="339">
        <v>3</v>
      </c>
      <c r="Q182" s="245" t="s">
        <v>292</v>
      </c>
      <c r="R182" s="340">
        <v>1162</v>
      </c>
      <c r="S182" s="279">
        <v>7.3095552619991198</v>
      </c>
    </row>
    <row r="183" spans="1:19" s="337" customFormat="1" ht="15" customHeight="1" x14ac:dyDescent="0.2">
      <c r="A183" s="249">
        <v>4</v>
      </c>
      <c r="B183" s="218" t="s">
        <v>292</v>
      </c>
      <c r="C183" s="88">
        <v>2292</v>
      </c>
      <c r="D183" s="89">
        <v>14.4178146820155</v>
      </c>
      <c r="E183" s="279"/>
      <c r="F183" s="338">
        <v>4</v>
      </c>
      <c r="G183" s="218" t="s">
        <v>321</v>
      </c>
      <c r="H183" s="88">
        <v>666</v>
      </c>
      <c r="I183" s="89">
        <v>4.1894697112662804</v>
      </c>
      <c r="J183" s="279"/>
      <c r="K183" s="339">
        <v>4</v>
      </c>
      <c r="L183" s="245" t="s">
        <v>288</v>
      </c>
      <c r="M183" s="340">
        <v>1183</v>
      </c>
      <c r="N183" s="279">
        <v>7.4416556583003102</v>
      </c>
      <c r="O183" s="279"/>
      <c r="P183" s="339">
        <v>4</v>
      </c>
      <c r="Q183" s="245" t="s">
        <v>315</v>
      </c>
      <c r="R183" s="340">
        <v>1050</v>
      </c>
      <c r="S183" s="279">
        <v>6.6050198150594497</v>
      </c>
    </row>
    <row r="184" spans="1:19" s="337" customFormat="1" ht="15" customHeight="1" x14ac:dyDescent="0.2">
      <c r="A184" s="249">
        <v>5</v>
      </c>
      <c r="B184" s="218" t="s">
        <v>120</v>
      </c>
      <c r="C184" s="88">
        <v>2154</v>
      </c>
      <c r="D184" s="89">
        <v>13.549726363464799</v>
      </c>
      <c r="E184" s="279"/>
      <c r="F184" s="338">
        <v>5</v>
      </c>
      <c r="G184" s="218" t="s">
        <v>301</v>
      </c>
      <c r="H184" s="88">
        <v>546</v>
      </c>
      <c r="I184" s="89">
        <v>3.4346103038309099</v>
      </c>
      <c r="J184" s="279"/>
      <c r="K184" s="339">
        <v>5</v>
      </c>
      <c r="L184" s="245" t="s">
        <v>317</v>
      </c>
      <c r="M184" s="340">
        <v>1083</v>
      </c>
      <c r="N184" s="279">
        <v>6.8126061521041699</v>
      </c>
      <c r="O184" s="279"/>
      <c r="P184" s="339">
        <v>5</v>
      </c>
      <c r="Q184" s="245" t="s">
        <v>308</v>
      </c>
      <c r="R184" s="340">
        <v>1044</v>
      </c>
      <c r="S184" s="279">
        <v>6.5672768446876804</v>
      </c>
    </row>
    <row r="185" spans="1:19" s="337" customFormat="1" ht="15" customHeight="1" x14ac:dyDescent="0.2">
      <c r="A185" s="249">
        <v>6</v>
      </c>
      <c r="B185" s="218" t="s">
        <v>308</v>
      </c>
      <c r="C185" s="88">
        <v>2138</v>
      </c>
      <c r="D185" s="89">
        <v>13.4490784424734</v>
      </c>
      <c r="E185" s="279"/>
      <c r="F185" s="338">
        <v>6</v>
      </c>
      <c r="G185" s="218" t="s">
        <v>125</v>
      </c>
      <c r="H185" s="88">
        <v>540</v>
      </c>
      <c r="I185" s="89">
        <v>3.3968673334591402</v>
      </c>
      <c r="J185" s="279"/>
      <c r="K185" s="339">
        <v>6</v>
      </c>
      <c r="L185" s="245" t="s">
        <v>320</v>
      </c>
      <c r="M185" s="340">
        <v>922</v>
      </c>
      <c r="N185" s="279">
        <v>5.7998364471283903</v>
      </c>
      <c r="O185" s="279"/>
      <c r="P185" s="339">
        <v>6</v>
      </c>
      <c r="Q185" s="245" t="s">
        <v>117</v>
      </c>
      <c r="R185" s="340">
        <v>662</v>
      </c>
      <c r="S185" s="279">
        <v>4.1643077310184298</v>
      </c>
    </row>
    <row r="186" spans="1:19" s="337" customFormat="1" ht="15" customHeight="1" x14ac:dyDescent="0.2">
      <c r="A186" s="249">
        <v>7</v>
      </c>
      <c r="B186" s="218" t="s">
        <v>317</v>
      </c>
      <c r="C186" s="88">
        <v>2129</v>
      </c>
      <c r="D186" s="89">
        <v>13.3924639869158</v>
      </c>
      <c r="E186" s="279"/>
      <c r="F186" s="338">
        <v>7</v>
      </c>
      <c r="G186" s="218" t="s">
        <v>292</v>
      </c>
      <c r="H186" s="88">
        <v>493</v>
      </c>
      <c r="I186" s="89">
        <v>3.10121406554696</v>
      </c>
      <c r="J186" s="279"/>
      <c r="K186" s="339">
        <v>7</v>
      </c>
      <c r="L186" s="245" t="s">
        <v>307</v>
      </c>
      <c r="M186" s="340">
        <v>878</v>
      </c>
      <c r="N186" s="279">
        <v>5.5230546644020899</v>
      </c>
      <c r="O186" s="279"/>
      <c r="P186" s="339">
        <v>7</v>
      </c>
      <c r="Q186" s="245" t="s">
        <v>317</v>
      </c>
      <c r="R186" s="340">
        <v>650</v>
      </c>
      <c r="S186" s="279">
        <v>4.0888217902749</v>
      </c>
    </row>
    <row r="187" spans="1:19" s="337" customFormat="1" ht="15" customHeight="1" x14ac:dyDescent="0.2">
      <c r="A187" s="249">
        <v>8</v>
      </c>
      <c r="B187" s="218" t="s">
        <v>301</v>
      </c>
      <c r="C187" s="88">
        <v>2042</v>
      </c>
      <c r="D187" s="89">
        <v>12.8451909165251</v>
      </c>
      <c r="E187" s="279"/>
      <c r="F187" s="338">
        <v>8</v>
      </c>
      <c r="G187" s="218" t="s">
        <v>308</v>
      </c>
      <c r="H187" s="88">
        <v>438</v>
      </c>
      <c r="I187" s="89">
        <v>2.7552368371390799</v>
      </c>
      <c r="J187" s="279"/>
      <c r="K187" s="339">
        <v>8</v>
      </c>
      <c r="L187" s="245" t="s">
        <v>319</v>
      </c>
      <c r="M187" s="340">
        <v>870</v>
      </c>
      <c r="N187" s="279">
        <v>5.4727307039064002</v>
      </c>
      <c r="O187" s="279"/>
      <c r="P187" s="339">
        <v>8</v>
      </c>
      <c r="Q187" s="245" t="s">
        <v>299</v>
      </c>
      <c r="R187" s="340">
        <v>553</v>
      </c>
      <c r="S187" s="279">
        <v>3.4786437692646399</v>
      </c>
    </row>
    <row r="188" spans="1:19" s="337" customFormat="1" ht="15" customHeight="1" x14ac:dyDescent="0.2">
      <c r="A188" s="249">
        <v>9</v>
      </c>
      <c r="B188" s="218" t="s">
        <v>299</v>
      </c>
      <c r="C188" s="88">
        <v>2008</v>
      </c>
      <c r="D188" s="89">
        <v>12.631314084418401</v>
      </c>
      <c r="E188" s="279"/>
      <c r="F188" s="338">
        <v>9</v>
      </c>
      <c r="G188" s="218" t="s">
        <v>317</v>
      </c>
      <c r="H188" s="88">
        <v>396</v>
      </c>
      <c r="I188" s="89">
        <v>2.4910360445367101</v>
      </c>
      <c r="J188" s="279"/>
      <c r="K188" s="339">
        <v>9</v>
      </c>
      <c r="L188" s="245" t="s">
        <v>302</v>
      </c>
      <c r="M188" s="340">
        <v>706</v>
      </c>
      <c r="N188" s="279">
        <v>4.4410895137447302</v>
      </c>
      <c r="O188" s="279"/>
      <c r="P188" s="339">
        <v>9</v>
      </c>
      <c r="Q188" s="245" t="s">
        <v>120</v>
      </c>
      <c r="R188" s="340">
        <v>447</v>
      </c>
      <c r="S188" s="279">
        <v>2.8118512926967401</v>
      </c>
    </row>
    <row r="189" spans="1:19" s="337" customFormat="1" ht="15" customHeight="1" x14ac:dyDescent="0.2">
      <c r="A189" s="249">
        <v>10</v>
      </c>
      <c r="B189" s="218" t="s">
        <v>288</v>
      </c>
      <c r="C189" s="88">
        <v>1878</v>
      </c>
      <c r="D189" s="89">
        <v>11.813549726363499</v>
      </c>
      <c r="E189" s="279"/>
      <c r="F189" s="338">
        <v>10</v>
      </c>
      <c r="G189" s="218" t="s">
        <v>322</v>
      </c>
      <c r="H189" s="88">
        <v>371</v>
      </c>
      <c r="I189" s="89">
        <v>2.3337736679876699</v>
      </c>
      <c r="J189" s="279"/>
      <c r="K189" s="339">
        <v>10</v>
      </c>
      <c r="L189" s="245" t="s">
        <v>312</v>
      </c>
      <c r="M189" s="340">
        <v>689</v>
      </c>
      <c r="N189" s="279">
        <v>4.3341510976913904</v>
      </c>
      <c r="O189" s="279"/>
      <c r="P189" s="339">
        <v>10</v>
      </c>
      <c r="Q189" s="245" t="s">
        <v>288</v>
      </c>
      <c r="R189" s="340">
        <v>406</v>
      </c>
      <c r="S189" s="279">
        <v>2.5539409951563199</v>
      </c>
    </row>
    <row r="190" spans="1:19" s="337" customFormat="1" ht="15" customHeight="1" x14ac:dyDescent="0.2">
      <c r="A190" s="249">
        <v>11</v>
      </c>
      <c r="B190" s="218" t="s">
        <v>307</v>
      </c>
      <c r="C190" s="88">
        <v>1447</v>
      </c>
      <c r="D190" s="89">
        <v>9.1023463546581098</v>
      </c>
      <c r="E190" s="279"/>
      <c r="F190" s="338">
        <v>11</v>
      </c>
      <c r="G190" s="218" t="s">
        <v>117</v>
      </c>
      <c r="H190" s="88">
        <v>362</v>
      </c>
      <c r="I190" s="89">
        <v>2.27715921243002</v>
      </c>
      <c r="J190" s="279"/>
      <c r="K190" s="339">
        <v>11</v>
      </c>
      <c r="L190" s="245" t="s">
        <v>304</v>
      </c>
      <c r="M190" s="340">
        <v>680</v>
      </c>
      <c r="N190" s="279">
        <v>4.2775366421337404</v>
      </c>
      <c r="O190" s="279"/>
      <c r="P190" s="339">
        <v>11</v>
      </c>
      <c r="Q190" s="245" t="s">
        <v>334</v>
      </c>
      <c r="R190" s="340">
        <v>402</v>
      </c>
      <c r="S190" s="279">
        <v>2.5287790149084701</v>
      </c>
    </row>
    <row r="191" spans="1:19" s="337" customFormat="1" ht="15" customHeight="1" x14ac:dyDescent="0.2">
      <c r="A191" s="249">
        <v>12</v>
      </c>
      <c r="B191" s="218" t="s">
        <v>310</v>
      </c>
      <c r="C191" s="88">
        <v>1294</v>
      </c>
      <c r="D191" s="89">
        <v>8.1399006101780191</v>
      </c>
      <c r="E191" s="279"/>
      <c r="F191" s="338">
        <v>12</v>
      </c>
      <c r="G191" s="218" t="s">
        <v>296</v>
      </c>
      <c r="H191" s="88">
        <v>343</v>
      </c>
      <c r="I191" s="89">
        <v>2.15763980625275</v>
      </c>
      <c r="J191" s="279"/>
      <c r="K191" s="339">
        <v>12</v>
      </c>
      <c r="L191" s="245" t="s">
        <v>308</v>
      </c>
      <c r="M191" s="340">
        <v>656</v>
      </c>
      <c r="N191" s="279">
        <v>4.1265647606466596</v>
      </c>
      <c r="O191" s="279"/>
      <c r="P191" s="339">
        <v>12</v>
      </c>
      <c r="Q191" s="245" t="s">
        <v>296</v>
      </c>
      <c r="R191" s="340">
        <v>402</v>
      </c>
      <c r="S191" s="279">
        <v>2.5287790149084701</v>
      </c>
    </row>
    <row r="192" spans="1:19" s="337" customFormat="1" ht="15" customHeight="1" x14ac:dyDescent="0.2">
      <c r="A192" s="249">
        <v>13</v>
      </c>
      <c r="B192" s="218" t="s">
        <v>296</v>
      </c>
      <c r="C192" s="88">
        <v>1140</v>
      </c>
      <c r="D192" s="89">
        <v>7.17116437063597</v>
      </c>
      <c r="E192" s="279"/>
      <c r="F192" s="338">
        <v>13</v>
      </c>
      <c r="G192" s="218" t="s">
        <v>307</v>
      </c>
      <c r="H192" s="88">
        <v>293</v>
      </c>
      <c r="I192" s="89">
        <v>1.84311505315468</v>
      </c>
      <c r="J192" s="279"/>
      <c r="K192" s="339">
        <v>13</v>
      </c>
      <c r="L192" s="245" t="s">
        <v>292</v>
      </c>
      <c r="M192" s="340">
        <v>637</v>
      </c>
      <c r="N192" s="279">
        <v>4.0070453544694002</v>
      </c>
      <c r="O192" s="279"/>
      <c r="P192" s="339">
        <v>13</v>
      </c>
      <c r="Q192" s="245" t="s">
        <v>322</v>
      </c>
      <c r="R192" s="340">
        <v>395</v>
      </c>
      <c r="S192" s="279">
        <v>2.4847455494747401</v>
      </c>
    </row>
    <row r="193" spans="1:20" s="337" customFormat="1" ht="15" customHeight="1" x14ac:dyDescent="0.2">
      <c r="A193" s="249">
        <v>14</v>
      </c>
      <c r="B193" s="218" t="s">
        <v>117</v>
      </c>
      <c r="C193" s="88">
        <v>1108</v>
      </c>
      <c r="D193" s="89">
        <v>6.96986852865321</v>
      </c>
      <c r="E193" s="279"/>
      <c r="F193" s="338">
        <v>14</v>
      </c>
      <c r="G193" s="218" t="s">
        <v>288</v>
      </c>
      <c r="H193" s="88">
        <v>289</v>
      </c>
      <c r="I193" s="89">
        <v>1.8179530729068401</v>
      </c>
      <c r="J193" s="279"/>
      <c r="K193" s="339">
        <v>14</v>
      </c>
      <c r="L193" s="245" t="s">
        <v>120</v>
      </c>
      <c r="M193" s="340">
        <v>603</v>
      </c>
      <c r="N193" s="279">
        <v>3.7931685223627101</v>
      </c>
      <c r="O193" s="279"/>
      <c r="P193" s="339">
        <v>14</v>
      </c>
      <c r="Q193" s="245" t="s">
        <v>333</v>
      </c>
      <c r="R193" s="340">
        <v>387</v>
      </c>
      <c r="S193" s="279">
        <v>2.4344215889790499</v>
      </c>
    </row>
    <row r="194" spans="1:20" s="337" customFormat="1" ht="15" customHeight="1" x14ac:dyDescent="0.2">
      <c r="A194" s="249">
        <v>15</v>
      </c>
      <c r="B194" s="218" t="s">
        <v>319</v>
      </c>
      <c r="C194" s="88">
        <v>1088</v>
      </c>
      <c r="D194" s="89">
        <v>6.8440586274139799</v>
      </c>
      <c r="E194" s="279"/>
      <c r="F194" s="338">
        <v>15</v>
      </c>
      <c r="G194" s="218" t="s">
        <v>294</v>
      </c>
      <c r="H194" s="88">
        <v>261</v>
      </c>
      <c r="I194" s="89">
        <v>1.6418192111719201</v>
      </c>
      <c r="J194" s="279"/>
      <c r="K194" s="339">
        <v>15</v>
      </c>
      <c r="L194" s="245" t="s">
        <v>315</v>
      </c>
      <c r="M194" s="340">
        <v>460</v>
      </c>
      <c r="N194" s="279">
        <v>2.89362772850223</v>
      </c>
      <c r="O194" s="279"/>
      <c r="P194" s="339">
        <v>15</v>
      </c>
      <c r="Q194" s="245" t="s">
        <v>307</v>
      </c>
      <c r="R194" s="340">
        <v>276</v>
      </c>
      <c r="S194" s="279">
        <v>1.7361766371013401</v>
      </c>
    </row>
    <row r="195" spans="1:20" s="337" customFormat="1" ht="15" customHeight="1" x14ac:dyDescent="0.2">
      <c r="A195" s="249">
        <v>16</v>
      </c>
      <c r="B195" s="218" t="s">
        <v>302</v>
      </c>
      <c r="C195" s="88">
        <v>1005</v>
      </c>
      <c r="D195" s="89">
        <v>6.3219475372711802</v>
      </c>
      <c r="E195" s="279"/>
      <c r="F195" s="338">
        <v>16</v>
      </c>
      <c r="G195" s="218" t="s">
        <v>302</v>
      </c>
      <c r="H195" s="88">
        <v>255</v>
      </c>
      <c r="I195" s="89">
        <v>1.6040762408001501</v>
      </c>
      <c r="J195" s="279"/>
      <c r="K195" s="339">
        <v>16</v>
      </c>
      <c r="L195" s="245" t="s">
        <v>293</v>
      </c>
      <c r="M195" s="340">
        <v>436</v>
      </c>
      <c r="N195" s="279">
        <v>2.7426558470151599</v>
      </c>
      <c r="O195" s="279"/>
      <c r="P195" s="339">
        <v>16</v>
      </c>
      <c r="Q195" s="245" t="s">
        <v>314</v>
      </c>
      <c r="R195" s="340">
        <v>253</v>
      </c>
      <c r="S195" s="279">
        <v>1.5914952506762301</v>
      </c>
    </row>
    <row r="196" spans="1:20" s="337" customFormat="1" ht="15" customHeight="1" x14ac:dyDescent="0.2">
      <c r="A196" s="249">
        <v>17</v>
      </c>
      <c r="B196" s="218" t="s">
        <v>322</v>
      </c>
      <c r="C196" s="88">
        <v>878</v>
      </c>
      <c r="D196" s="89">
        <v>5.5230546644020899</v>
      </c>
      <c r="E196" s="279"/>
      <c r="F196" s="338">
        <v>17</v>
      </c>
      <c r="G196" s="218" t="s">
        <v>323</v>
      </c>
      <c r="H196" s="88">
        <v>231</v>
      </c>
      <c r="I196" s="89">
        <v>1.4531043593130799</v>
      </c>
      <c r="J196" s="279"/>
      <c r="K196" s="339">
        <v>17</v>
      </c>
      <c r="L196" s="245" t="s">
        <v>296</v>
      </c>
      <c r="M196" s="340">
        <v>395</v>
      </c>
      <c r="N196" s="279">
        <v>2.4847455494747401</v>
      </c>
      <c r="O196" s="279"/>
      <c r="P196" s="339">
        <v>17</v>
      </c>
      <c r="Q196" s="245" t="s">
        <v>294</v>
      </c>
      <c r="R196" s="340">
        <v>232</v>
      </c>
      <c r="S196" s="279">
        <v>1.4593948543750399</v>
      </c>
    </row>
    <row r="197" spans="1:20" s="337" customFormat="1" ht="15" customHeight="1" x14ac:dyDescent="0.2">
      <c r="A197" s="249">
        <v>18</v>
      </c>
      <c r="B197" s="218" t="s">
        <v>321</v>
      </c>
      <c r="C197" s="88">
        <v>806</v>
      </c>
      <c r="D197" s="89">
        <v>5.0701390199408696</v>
      </c>
      <c r="E197" s="279"/>
      <c r="F197" s="338">
        <v>18</v>
      </c>
      <c r="G197" s="218" t="s">
        <v>320</v>
      </c>
      <c r="H197" s="88">
        <v>223</v>
      </c>
      <c r="I197" s="89">
        <v>1.4027803988173899</v>
      </c>
      <c r="J197" s="279"/>
      <c r="K197" s="339">
        <v>18</v>
      </c>
      <c r="L197" s="245" t="s">
        <v>291</v>
      </c>
      <c r="M197" s="340">
        <v>394</v>
      </c>
      <c r="N197" s="279">
        <v>2.4784550544127799</v>
      </c>
      <c r="O197" s="279"/>
      <c r="P197" s="339">
        <v>18</v>
      </c>
      <c r="Q197" s="245" t="s">
        <v>391</v>
      </c>
      <c r="R197" s="340">
        <v>225</v>
      </c>
      <c r="S197" s="279">
        <v>1.4153613889413099</v>
      </c>
    </row>
    <row r="198" spans="1:20" s="337" customFormat="1" ht="15" customHeight="1" x14ac:dyDescent="0.2">
      <c r="A198" s="249">
        <v>19</v>
      </c>
      <c r="B198" s="218" t="s">
        <v>312</v>
      </c>
      <c r="C198" s="88">
        <v>778</v>
      </c>
      <c r="D198" s="89">
        <v>4.8940051582059496</v>
      </c>
      <c r="E198" s="279"/>
      <c r="F198" s="338">
        <v>19</v>
      </c>
      <c r="G198" s="218" t="s">
        <v>390</v>
      </c>
      <c r="H198" s="88">
        <v>212</v>
      </c>
      <c r="I198" s="89">
        <v>1.3335849531358099</v>
      </c>
      <c r="J198" s="279"/>
      <c r="K198" s="339">
        <v>19</v>
      </c>
      <c r="L198" s="245" t="s">
        <v>392</v>
      </c>
      <c r="M198" s="340">
        <v>349</v>
      </c>
      <c r="N198" s="279">
        <v>2.1953827766245202</v>
      </c>
      <c r="O198" s="279"/>
      <c r="P198" s="339">
        <v>19</v>
      </c>
      <c r="Q198" s="245" t="s">
        <v>393</v>
      </c>
      <c r="R198" s="340">
        <v>194</v>
      </c>
      <c r="S198" s="279">
        <v>1.22035604202051</v>
      </c>
    </row>
    <row r="199" spans="1:20" s="337" customFormat="1" ht="15" customHeight="1" x14ac:dyDescent="0.2">
      <c r="A199" s="249">
        <v>20</v>
      </c>
      <c r="B199" s="218" t="s">
        <v>390</v>
      </c>
      <c r="C199" s="341">
        <v>619</v>
      </c>
      <c r="D199" s="342">
        <v>3.8938164433540901</v>
      </c>
      <c r="E199" s="279"/>
      <c r="F199" s="343">
        <v>20</v>
      </c>
      <c r="G199" s="218" t="s">
        <v>318</v>
      </c>
      <c r="H199" s="341">
        <v>199</v>
      </c>
      <c r="I199" s="342">
        <v>1.25180851733031</v>
      </c>
      <c r="J199" s="279"/>
      <c r="K199" s="339">
        <v>20</v>
      </c>
      <c r="L199" s="245" t="s">
        <v>390</v>
      </c>
      <c r="M199" s="340">
        <v>288</v>
      </c>
      <c r="N199" s="279">
        <v>1.8116625778448801</v>
      </c>
      <c r="O199" s="279"/>
      <c r="P199" s="339">
        <v>20</v>
      </c>
      <c r="Q199" s="245" t="s">
        <v>311</v>
      </c>
      <c r="R199" s="340">
        <v>184</v>
      </c>
      <c r="S199" s="279">
        <v>1.15745109140089</v>
      </c>
    </row>
    <row r="200" spans="1:20" s="20" customFormat="1" ht="15" customHeight="1" x14ac:dyDescent="0.2">
      <c r="A200" s="303"/>
      <c r="B200" s="68" t="s">
        <v>329</v>
      </c>
      <c r="C200" s="304">
        <v>15897</v>
      </c>
      <c r="D200" s="344" t="s">
        <v>70</v>
      </c>
      <c r="E200" s="305"/>
      <c r="F200" s="303"/>
      <c r="G200" s="68" t="s">
        <v>329</v>
      </c>
      <c r="H200" s="304">
        <v>15897</v>
      </c>
      <c r="I200" s="344" t="s">
        <v>70</v>
      </c>
      <c r="J200" s="239"/>
      <c r="K200" s="303"/>
      <c r="L200" s="68" t="s">
        <v>329</v>
      </c>
      <c r="M200" s="304">
        <v>15897</v>
      </c>
      <c r="N200" s="344" t="s">
        <v>70</v>
      </c>
      <c r="O200" s="239"/>
      <c r="P200" s="303"/>
      <c r="Q200" s="68" t="s">
        <v>329</v>
      </c>
      <c r="R200" s="304">
        <v>15897</v>
      </c>
      <c r="S200" s="344" t="s">
        <v>70</v>
      </c>
    </row>
    <row r="201" spans="1:20" s="165" customFormat="1" ht="15" customHeight="1" x14ac:dyDescent="0.2">
      <c r="A201" s="207" t="s">
        <v>616</v>
      </c>
      <c r="B201" s="207" t="s">
        <v>568</v>
      </c>
      <c r="C201" s="242"/>
      <c r="D201" s="439"/>
      <c r="E201" s="439"/>
      <c r="F201" s="548"/>
      <c r="G201" s="242"/>
      <c r="H201" s="439"/>
      <c r="I201" s="439"/>
      <c r="J201" s="548"/>
      <c r="K201" s="242"/>
      <c r="L201" s="439"/>
      <c r="M201" s="549"/>
      <c r="N201" s="548"/>
      <c r="O201" s="550"/>
      <c r="P201" s="439"/>
      <c r="Q201" s="549"/>
      <c r="R201" s="548"/>
      <c r="S201" s="550"/>
      <c r="T201" s="439"/>
    </row>
    <row r="202" spans="1:20" s="20" customFormat="1" ht="15" customHeight="1" x14ac:dyDescent="0.2">
      <c r="A202" s="20" t="s">
        <v>621</v>
      </c>
      <c r="B202" s="95" t="s">
        <v>71</v>
      </c>
      <c r="C202" s="86"/>
      <c r="D202" s="87"/>
      <c r="H202" s="95"/>
      <c r="I202" s="86"/>
      <c r="J202" s="87"/>
      <c r="N202" s="245"/>
      <c r="O202" s="246"/>
      <c r="P202" s="247"/>
      <c r="Q202" s="214"/>
    </row>
    <row r="203" spans="1:20" s="20" customFormat="1" ht="15" customHeight="1" x14ac:dyDescent="0.2">
      <c r="A203" s="20" t="s">
        <v>4</v>
      </c>
      <c r="B203" s="95"/>
      <c r="C203" s="86"/>
      <c r="D203" s="87"/>
      <c r="F203" s="212"/>
      <c r="G203" s="95"/>
      <c r="H203" s="86"/>
      <c r="I203" s="87"/>
      <c r="K203" s="212"/>
      <c r="L203" s="95"/>
      <c r="M203" s="86"/>
      <c r="N203" s="87"/>
    </row>
    <row r="204" spans="1:20" s="20" customFormat="1" ht="15" customHeight="1" x14ac:dyDescent="0.2">
      <c r="A204" s="95" t="s">
        <v>286</v>
      </c>
      <c r="B204" s="95"/>
      <c r="C204" s="95"/>
      <c r="D204" s="95"/>
      <c r="E204" s="95"/>
      <c r="F204" s="95"/>
      <c r="G204" s="95"/>
      <c r="H204" s="95"/>
      <c r="I204" s="95"/>
      <c r="J204" s="95"/>
      <c r="K204" s="95"/>
      <c r="L204" s="95"/>
      <c r="M204" s="95"/>
      <c r="N204" s="95"/>
      <c r="O204" s="95"/>
      <c r="P204" s="95"/>
    </row>
    <row r="205" spans="1:20" s="20" customFormat="1" ht="15" customHeight="1" x14ac:dyDescent="0.2">
      <c r="A205" s="95" t="s">
        <v>551</v>
      </c>
      <c r="B205" s="95"/>
      <c r="C205" s="95"/>
      <c r="D205" s="95"/>
      <c r="E205" s="95"/>
      <c r="F205" s="95"/>
      <c r="G205" s="95"/>
      <c r="H205" s="95"/>
      <c r="I205" s="95"/>
      <c r="J205" s="95"/>
      <c r="K205" s="95"/>
      <c r="L205" s="95"/>
      <c r="M205" s="95"/>
      <c r="N205" s="95"/>
      <c r="O205" s="95"/>
      <c r="P205" s="95"/>
    </row>
    <row r="206" spans="1:20" s="199" customFormat="1" ht="15" customHeight="1" x14ac:dyDescent="0.2">
      <c r="A206" s="95" t="s">
        <v>394</v>
      </c>
      <c r="B206" s="95"/>
      <c r="C206" s="95"/>
      <c r="D206" s="95"/>
      <c r="E206" s="95"/>
      <c r="F206" s="95"/>
      <c r="G206" s="95"/>
      <c r="H206" s="95"/>
      <c r="I206" s="95"/>
      <c r="J206" s="95"/>
      <c r="K206" s="95"/>
      <c r="L206" s="95"/>
      <c r="M206" s="95"/>
      <c r="N206" s="95"/>
      <c r="O206" s="95"/>
      <c r="P206" s="95"/>
    </row>
    <row r="207" spans="1:20" ht="15" customHeight="1" x14ac:dyDescent="0.25">
      <c r="A207" s="95" t="s">
        <v>620</v>
      </c>
    </row>
    <row r="208" spans="1:20" s="20" customFormat="1" ht="15" customHeight="1" x14ac:dyDescent="0.2">
      <c r="A208" s="218" t="s">
        <v>553</v>
      </c>
      <c r="B208" s="95"/>
      <c r="C208" s="86"/>
      <c r="D208" s="89"/>
      <c r="E208" s="96"/>
      <c r="F208" s="97"/>
      <c r="G208" s="95"/>
      <c r="H208" s="86"/>
      <c r="I208" s="89"/>
      <c r="J208" s="96"/>
      <c r="K208" s="97"/>
      <c r="L208" s="86"/>
      <c r="M208" s="89"/>
      <c r="N208" s="89"/>
    </row>
  </sheetData>
  <mergeCells count="4">
    <mergeCell ref="B3:D3"/>
    <mergeCell ref="G3:I3"/>
    <mergeCell ref="L3:N3"/>
    <mergeCell ref="Q3:S3"/>
  </mergeCells>
  <hyperlinks>
    <hyperlink ref="A2" location="Contents!A1" display="Back to contents" xr:uid="{8F245910-3937-4403-8955-ADCB40C176B7}"/>
  </hyperlinks>
  <pageMargins left="0.7" right="0.7" top="0.75" bottom="0.75" header="0.3" footer="0.3"/>
  <pageSetup paperSize="9" orientation="portrait" horizontalDpi="4294967292"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14CD1-C744-4F34-8DE6-E2EFCED13163}">
  <dimension ref="A1:T30"/>
  <sheetViews>
    <sheetView workbookViewId="0"/>
  </sheetViews>
  <sheetFormatPr defaultColWidth="9.125" defaultRowHeight="15" customHeight="1" x14ac:dyDescent="0.2"/>
  <cols>
    <col min="1" max="1" width="6.625" style="319" customWidth="1"/>
    <col min="2" max="2" width="28.75" style="319" customWidth="1"/>
    <col min="3" max="4" width="8.75" style="319" customWidth="1"/>
    <col min="5" max="5" width="2.625" style="319" customWidth="1"/>
    <col min="6" max="6" width="6.625" style="319" customWidth="1"/>
    <col min="7" max="7" width="28.75" style="319" customWidth="1"/>
    <col min="8" max="9" width="8.75" style="319" customWidth="1"/>
    <col min="10" max="10" width="2.625" style="319" customWidth="1"/>
    <col min="11" max="11" width="6.625" style="319" customWidth="1"/>
    <col min="12" max="12" width="28.75" style="319" customWidth="1"/>
    <col min="13" max="14" width="8.75" style="319" customWidth="1"/>
    <col min="15" max="20" width="9.125" style="320"/>
    <col min="21" max="16384" width="9.125" style="319"/>
  </cols>
  <sheetData>
    <row r="1" spans="1:20" ht="15" customHeight="1" x14ac:dyDescent="0.25">
      <c r="A1" s="275" t="s">
        <v>619</v>
      </c>
    </row>
    <row r="2" spans="1:20" s="199" customFormat="1" ht="15" customHeight="1" x14ac:dyDescent="0.2">
      <c r="A2" s="500" t="s">
        <v>585</v>
      </c>
    </row>
    <row r="3" spans="1:20" s="20" customFormat="1" ht="15" customHeight="1" x14ac:dyDescent="0.2">
      <c r="A3" s="322"/>
      <c r="B3" s="629" t="s">
        <v>0</v>
      </c>
      <c r="C3" s="629"/>
      <c r="D3" s="629"/>
      <c r="E3" s="289"/>
      <c r="F3" s="629" t="s">
        <v>1</v>
      </c>
      <c r="G3" s="629"/>
      <c r="H3" s="629"/>
      <c r="I3" s="629"/>
      <c r="J3" s="289"/>
      <c r="K3" s="629" t="s">
        <v>2</v>
      </c>
      <c r="L3" s="629"/>
      <c r="M3" s="629"/>
      <c r="N3" s="629"/>
      <c r="O3" s="323"/>
      <c r="P3" s="323"/>
      <c r="Q3" s="323"/>
      <c r="R3" s="323"/>
      <c r="S3" s="323"/>
      <c r="T3" s="323"/>
    </row>
    <row r="4" spans="1:20" s="20" customFormat="1" ht="15" customHeight="1" x14ac:dyDescent="0.2">
      <c r="A4" s="15" t="s">
        <v>39</v>
      </c>
      <c r="B4" s="290" t="s">
        <v>515</v>
      </c>
      <c r="C4" s="250" t="s">
        <v>41</v>
      </c>
      <c r="D4" s="125" t="s">
        <v>38</v>
      </c>
      <c r="E4" s="291"/>
      <c r="F4" s="15" t="s">
        <v>39</v>
      </c>
      <c r="G4" s="290" t="s">
        <v>515</v>
      </c>
      <c r="H4" s="250" t="s">
        <v>41</v>
      </c>
      <c r="I4" s="125" t="s">
        <v>38</v>
      </c>
      <c r="J4" s="291"/>
      <c r="K4" s="15" t="s">
        <v>39</v>
      </c>
      <c r="L4" s="290" t="s">
        <v>515</v>
      </c>
      <c r="M4" s="250" t="s">
        <v>41</v>
      </c>
      <c r="N4" s="125" t="s">
        <v>38</v>
      </c>
      <c r="O4" s="323"/>
      <c r="P4" s="323"/>
      <c r="Q4" s="323"/>
      <c r="R4" s="323"/>
      <c r="S4" s="323"/>
      <c r="T4" s="323"/>
    </row>
    <row r="5" spans="1:20" s="20" customFormat="1" ht="15" customHeight="1" x14ac:dyDescent="0.2">
      <c r="A5" s="300">
        <v>1</v>
      </c>
      <c r="B5" s="300" t="s">
        <v>352</v>
      </c>
      <c r="C5" s="301">
        <v>872</v>
      </c>
      <c r="D5" s="302">
        <v>26.7320662170448</v>
      </c>
      <c r="E5" s="214"/>
      <c r="F5" s="300">
        <v>1</v>
      </c>
      <c r="G5" s="300" t="s">
        <v>352</v>
      </c>
      <c r="H5" s="246">
        <v>364</v>
      </c>
      <c r="I5" s="302">
        <v>25.724381625441701</v>
      </c>
      <c r="J5" s="214"/>
      <c r="K5" s="300">
        <v>1</v>
      </c>
      <c r="L5" s="207" t="s">
        <v>352</v>
      </c>
      <c r="M5" s="333">
        <v>1236</v>
      </c>
      <c r="N5" s="334">
        <v>26.427196921103299</v>
      </c>
      <c r="O5" s="323"/>
      <c r="P5" s="323"/>
      <c r="Q5" s="323"/>
      <c r="R5" s="323"/>
      <c r="S5" s="323"/>
      <c r="T5" s="323"/>
    </row>
    <row r="6" spans="1:20" s="20" customFormat="1" ht="15" customHeight="1" x14ac:dyDescent="0.2">
      <c r="A6" s="300">
        <v>2</v>
      </c>
      <c r="B6" s="300" t="s">
        <v>357</v>
      </c>
      <c r="C6" s="301">
        <v>770</v>
      </c>
      <c r="D6" s="302">
        <v>23.6051502145923</v>
      </c>
      <c r="E6" s="214"/>
      <c r="F6" s="300">
        <v>2</v>
      </c>
      <c r="G6" s="245" t="s">
        <v>357</v>
      </c>
      <c r="H6" s="246">
        <v>329</v>
      </c>
      <c r="I6" s="302">
        <v>23.2508833922262</v>
      </c>
      <c r="J6" s="214"/>
      <c r="K6" s="300">
        <v>2</v>
      </c>
      <c r="L6" s="207" t="s">
        <v>357</v>
      </c>
      <c r="M6" s="333">
        <v>1099</v>
      </c>
      <c r="N6" s="334">
        <v>23.497968783408201</v>
      </c>
      <c r="O6" s="323"/>
      <c r="P6" s="323"/>
      <c r="Q6" s="323"/>
      <c r="R6" s="323"/>
      <c r="S6" s="323"/>
      <c r="T6" s="323"/>
    </row>
    <row r="7" spans="1:20" s="20" customFormat="1" ht="15" customHeight="1" x14ac:dyDescent="0.2">
      <c r="A7" s="300">
        <v>3</v>
      </c>
      <c r="B7" s="300" t="s">
        <v>346</v>
      </c>
      <c r="C7" s="301">
        <v>751</v>
      </c>
      <c r="D7" s="302">
        <v>23.022685469037398</v>
      </c>
      <c r="E7" s="214"/>
      <c r="F7" s="300">
        <v>3</v>
      </c>
      <c r="G7" s="245" t="s">
        <v>346</v>
      </c>
      <c r="H7" s="246">
        <v>329</v>
      </c>
      <c r="I7" s="302">
        <v>23.2508833922262</v>
      </c>
      <c r="J7" s="214"/>
      <c r="K7" s="300">
        <v>3</v>
      </c>
      <c r="L7" s="207" t="s">
        <v>346</v>
      </c>
      <c r="M7" s="333">
        <v>1080</v>
      </c>
      <c r="N7" s="334">
        <v>23.091725465041701</v>
      </c>
      <c r="O7" s="323"/>
      <c r="P7" s="323"/>
      <c r="Q7" s="323"/>
      <c r="R7" s="323"/>
      <c r="S7" s="323"/>
      <c r="T7" s="323"/>
    </row>
    <row r="8" spans="1:20" s="20" customFormat="1" ht="15" customHeight="1" x14ac:dyDescent="0.2">
      <c r="A8" s="300">
        <v>4</v>
      </c>
      <c r="B8" s="300" t="s">
        <v>371</v>
      </c>
      <c r="C8" s="301">
        <v>714</v>
      </c>
      <c r="D8" s="302">
        <v>21.888412017167401</v>
      </c>
      <c r="E8" s="214"/>
      <c r="F8" s="300">
        <v>4</v>
      </c>
      <c r="G8" s="245" t="s">
        <v>354</v>
      </c>
      <c r="H8" s="246">
        <v>320</v>
      </c>
      <c r="I8" s="302">
        <v>22.614840989399301</v>
      </c>
      <c r="J8" s="214"/>
      <c r="K8" s="300">
        <v>4</v>
      </c>
      <c r="L8" s="207" t="s">
        <v>371</v>
      </c>
      <c r="M8" s="333">
        <v>949</v>
      </c>
      <c r="N8" s="334">
        <v>20.290784691041299</v>
      </c>
      <c r="O8" s="323"/>
      <c r="P8" s="323"/>
      <c r="Q8" s="323"/>
      <c r="R8" s="323"/>
      <c r="S8" s="323"/>
      <c r="T8" s="323"/>
    </row>
    <row r="9" spans="1:20" s="20" customFormat="1" ht="15" customHeight="1" x14ac:dyDescent="0.2">
      <c r="A9" s="300">
        <v>5</v>
      </c>
      <c r="B9" s="300" t="s">
        <v>373</v>
      </c>
      <c r="C9" s="301">
        <v>572</v>
      </c>
      <c r="D9" s="302">
        <v>17.535254445125702</v>
      </c>
      <c r="E9" s="214"/>
      <c r="F9" s="300">
        <v>5</v>
      </c>
      <c r="G9" s="245" t="s">
        <v>503</v>
      </c>
      <c r="H9" s="246">
        <v>312</v>
      </c>
      <c r="I9" s="302">
        <v>22.049469964664301</v>
      </c>
      <c r="J9" s="214"/>
      <c r="K9" s="300">
        <v>5</v>
      </c>
      <c r="L9" s="207" t="s">
        <v>354</v>
      </c>
      <c r="M9" s="333">
        <v>827</v>
      </c>
      <c r="N9" s="334">
        <v>17.682274962582898</v>
      </c>
      <c r="O9" s="323"/>
      <c r="P9" s="323"/>
      <c r="Q9" s="323"/>
      <c r="R9" s="323"/>
      <c r="S9" s="323"/>
      <c r="T9" s="323"/>
    </row>
    <row r="10" spans="1:20" s="20" customFormat="1" ht="15" customHeight="1" x14ac:dyDescent="0.2">
      <c r="A10" s="300">
        <v>6</v>
      </c>
      <c r="B10" s="300" t="s">
        <v>354</v>
      </c>
      <c r="C10" s="301">
        <v>507</v>
      </c>
      <c r="D10" s="302">
        <v>15.542611894543199</v>
      </c>
      <c r="E10" s="214"/>
      <c r="F10" s="300">
        <v>6</v>
      </c>
      <c r="G10" s="245" t="s">
        <v>371</v>
      </c>
      <c r="H10" s="246">
        <v>235</v>
      </c>
      <c r="I10" s="302">
        <v>16.6077738515901</v>
      </c>
      <c r="K10" s="300">
        <v>6</v>
      </c>
      <c r="L10" s="207" t="s">
        <v>503</v>
      </c>
      <c r="M10" s="333">
        <v>794</v>
      </c>
      <c r="N10" s="334">
        <v>16.976694462262099</v>
      </c>
      <c r="O10" s="323"/>
      <c r="P10" s="323"/>
      <c r="Q10" s="323"/>
      <c r="R10" s="323"/>
      <c r="S10" s="323"/>
      <c r="T10" s="323"/>
    </row>
    <row r="11" spans="1:20" s="20" customFormat="1" ht="15" customHeight="1" x14ac:dyDescent="0.2">
      <c r="A11" s="300">
        <v>7</v>
      </c>
      <c r="B11" s="300" t="s">
        <v>503</v>
      </c>
      <c r="C11" s="301">
        <v>482</v>
      </c>
      <c r="D11" s="302">
        <v>14.776210913550001</v>
      </c>
      <c r="E11" s="214"/>
      <c r="F11" s="300">
        <v>7</v>
      </c>
      <c r="G11" s="245" t="s">
        <v>373</v>
      </c>
      <c r="H11" s="246">
        <v>104</v>
      </c>
      <c r="I11" s="302">
        <v>7.3498233215547701</v>
      </c>
      <c r="J11" s="214"/>
      <c r="K11" s="300">
        <v>7</v>
      </c>
      <c r="L11" s="207" t="s">
        <v>373</v>
      </c>
      <c r="M11" s="333">
        <v>676</v>
      </c>
      <c r="N11" s="334">
        <v>14.4537096429335</v>
      </c>
      <c r="O11" s="323"/>
      <c r="P11" s="323"/>
      <c r="Q11" s="323"/>
      <c r="R11" s="323"/>
      <c r="S11" s="323"/>
      <c r="T11" s="323"/>
    </row>
    <row r="12" spans="1:20" s="20" customFormat="1" ht="15" customHeight="1" x14ac:dyDescent="0.2">
      <c r="A12" s="300">
        <v>8</v>
      </c>
      <c r="B12" s="300" t="s">
        <v>374</v>
      </c>
      <c r="C12" s="301">
        <v>402</v>
      </c>
      <c r="D12" s="302">
        <v>12.3237277743716</v>
      </c>
      <c r="F12" s="300">
        <v>8</v>
      </c>
      <c r="G12" s="245" t="s">
        <v>374</v>
      </c>
      <c r="H12" s="246">
        <v>97</v>
      </c>
      <c r="I12" s="302">
        <v>6.8551236749116597</v>
      </c>
      <c r="K12" s="300">
        <v>8</v>
      </c>
      <c r="L12" s="207" t="s">
        <v>374</v>
      </c>
      <c r="M12" s="333">
        <v>499</v>
      </c>
      <c r="N12" s="334">
        <v>10.6692324139406</v>
      </c>
      <c r="O12" s="323"/>
      <c r="P12" s="323"/>
      <c r="Q12" s="323"/>
      <c r="R12" s="323"/>
      <c r="S12" s="323"/>
      <c r="T12" s="323"/>
    </row>
    <row r="13" spans="1:20" s="20" customFormat="1" ht="15" customHeight="1" x14ac:dyDescent="0.2">
      <c r="A13" s="300">
        <v>9</v>
      </c>
      <c r="B13" s="300" t="s">
        <v>369</v>
      </c>
      <c r="C13" s="301">
        <v>232</v>
      </c>
      <c r="D13" s="302">
        <v>7.1122011036174202</v>
      </c>
      <c r="E13" s="214"/>
      <c r="F13" s="300">
        <v>9</v>
      </c>
      <c r="G13" s="245" t="s">
        <v>369</v>
      </c>
      <c r="H13" s="246">
        <v>73</v>
      </c>
      <c r="I13" s="302">
        <v>5.1590106007067096</v>
      </c>
      <c r="K13" s="300">
        <v>9</v>
      </c>
      <c r="L13" s="207" t="s">
        <v>369</v>
      </c>
      <c r="M13" s="333">
        <v>305</v>
      </c>
      <c r="N13" s="334">
        <v>6.5212743211460404</v>
      </c>
      <c r="O13" s="323"/>
      <c r="P13" s="323"/>
      <c r="Q13" s="323"/>
      <c r="R13" s="323"/>
      <c r="S13" s="323"/>
      <c r="T13" s="323"/>
    </row>
    <row r="14" spans="1:20" s="20" customFormat="1" ht="15" customHeight="1" x14ac:dyDescent="0.2">
      <c r="A14" s="300">
        <v>10</v>
      </c>
      <c r="B14" s="300" t="s">
        <v>375</v>
      </c>
      <c r="C14" s="301">
        <v>229</v>
      </c>
      <c r="D14" s="302">
        <v>7.02023298589822</v>
      </c>
      <c r="E14" s="214"/>
      <c r="F14" s="300">
        <v>10</v>
      </c>
      <c r="G14" s="245" t="s">
        <v>375</v>
      </c>
      <c r="H14" s="246">
        <v>73</v>
      </c>
      <c r="I14" s="302">
        <v>5.1590106007067096</v>
      </c>
      <c r="J14" s="214"/>
      <c r="K14" s="300">
        <v>10</v>
      </c>
      <c r="L14" s="207" t="s">
        <v>375</v>
      </c>
      <c r="M14" s="333">
        <v>302</v>
      </c>
      <c r="N14" s="334">
        <v>6.4571306392986996</v>
      </c>
      <c r="O14" s="323"/>
      <c r="P14" s="323"/>
      <c r="Q14" s="323"/>
      <c r="R14" s="323"/>
      <c r="S14" s="323"/>
      <c r="T14" s="323"/>
    </row>
    <row r="15" spans="1:20" s="20" customFormat="1" ht="25.5" x14ac:dyDescent="0.2">
      <c r="A15" s="300"/>
      <c r="B15" s="236" t="s">
        <v>514</v>
      </c>
      <c r="C15" s="293">
        <v>3262</v>
      </c>
      <c r="D15" s="237" t="s">
        <v>70</v>
      </c>
      <c r="E15" s="214"/>
      <c r="F15" s="300"/>
      <c r="G15" s="236" t="s">
        <v>514</v>
      </c>
      <c r="H15" s="293">
        <v>1415</v>
      </c>
      <c r="I15" s="237" t="s">
        <v>70</v>
      </c>
      <c r="J15" s="214"/>
      <c r="K15" s="300"/>
      <c r="L15" s="236" t="s">
        <v>514</v>
      </c>
      <c r="M15" s="324">
        <v>4677</v>
      </c>
      <c r="N15" s="325" t="s">
        <v>70</v>
      </c>
      <c r="O15" s="323"/>
      <c r="P15" s="323"/>
      <c r="Q15" s="323"/>
      <c r="R15" s="323"/>
      <c r="S15" s="323"/>
      <c r="T15" s="323"/>
    </row>
    <row r="16" spans="1:20" s="20" customFormat="1" ht="25.5" x14ac:dyDescent="0.2">
      <c r="A16" s="303"/>
      <c r="B16" s="239" t="s">
        <v>513</v>
      </c>
      <c r="C16" s="326">
        <v>1.8</v>
      </c>
      <c r="D16" s="240" t="s">
        <v>70</v>
      </c>
      <c r="E16" s="327"/>
      <c r="F16" s="303"/>
      <c r="G16" s="239" t="s">
        <v>513</v>
      </c>
      <c r="H16" s="326">
        <v>1.7</v>
      </c>
      <c r="I16" s="240" t="s">
        <v>70</v>
      </c>
      <c r="J16" s="327"/>
      <c r="K16" s="303"/>
      <c r="L16" s="239" t="s">
        <v>513</v>
      </c>
      <c r="M16" s="328">
        <v>1.8</v>
      </c>
      <c r="N16" s="329" t="s">
        <v>70</v>
      </c>
      <c r="O16" s="323"/>
      <c r="P16" s="323"/>
      <c r="Q16" s="323"/>
      <c r="R16" s="323"/>
      <c r="S16" s="323"/>
      <c r="T16" s="323"/>
    </row>
    <row r="17" spans="1:20" s="20" customFormat="1" ht="15" customHeight="1" x14ac:dyDescent="0.2">
      <c r="A17" s="20" t="s">
        <v>239</v>
      </c>
      <c r="B17" s="95"/>
      <c r="C17" s="86"/>
      <c r="D17" s="87"/>
      <c r="H17" s="95"/>
      <c r="I17" s="86"/>
      <c r="J17" s="87"/>
      <c r="N17" s="245"/>
      <c r="O17" s="330"/>
      <c r="P17" s="331"/>
      <c r="Q17" s="323"/>
      <c r="R17" s="323"/>
      <c r="S17" s="323"/>
      <c r="T17" s="323"/>
    </row>
    <row r="18" spans="1:20" s="20" customFormat="1" ht="15" customHeight="1" x14ac:dyDescent="0.2">
      <c r="A18" s="95" t="s">
        <v>4</v>
      </c>
      <c r="B18" s="95"/>
      <c r="C18" s="86"/>
      <c r="D18" s="87"/>
      <c r="E18" s="87"/>
      <c r="F18" s="84"/>
      <c r="G18" s="95"/>
      <c r="H18" s="88"/>
      <c r="I18" s="89"/>
      <c r="J18" s="86"/>
      <c r="K18" s="84"/>
      <c r="L18" s="86"/>
      <c r="M18" s="89"/>
      <c r="N18" s="89"/>
      <c r="O18" s="323"/>
      <c r="P18" s="323"/>
      <c r="Q18" s="323"/>
      <c r="R18" s="323"/>
      <c r="S18" s="323"/>
      <c r="T18" s="323"/>
    </row>
    <row r="19" spans="1:20" s="20" customFormat="1" ht="15" customHeight="1" x14ac:dyDescent="0.2">
      <c r="A19" s="95" t="s">
        <v>286</v>
      </c>
      <c r="B19" s="95"/>
      <c r="C19" s="95"/>
      <c r="D19" s="95"/>
      <c r="E19" s="95"/>
      <c r="F19" s="95"/>
      <c r="G19" s="95"/>
      <c r="H19" s="95"/>
      <c r="I19" s="95"/>
      <c r="J19" s="95"/>
      <c r="K19" s="95"/>
      <c r="L19" s="95"/>
      <c r="M19" s="95"/>
      <c r="N19" s="95"/>
      <c r="O19" s="95"/>
      <c r="P19" s="323"/>
      <c r="Q19" s="323"/>
      <c r="R19" s="323"/>
      <c r="S19" s="323"/>
      <c r="T19" s="323"/>
    </row>
    <row r="20" spans="1:20" s="20" customFormat="1" ht="15" customHeight="1" x14ac:dyDescent="0.2">
      <c r="A20" s="95" t="s">
        <v>551</v>
      </c>
      <c r="B20" s="95"/>
      <c r="C20" s="95"/>
      <c r="D20" s="95"/>
      <c r="E20" s="95"/>
      <c r="F20" s="95"/>
      <c r="G20" s="95"/>
      <c r="H20" s="95"/>
      <c r="I20" s="95"/>
      <c r="J20" s="95"/>
      <c r="K20" s="95"/>
      <c r="L20" s="95"/>
      <c r="M20" s="95"/>
      <c r="N20" s="95"/>
      <c r="O20" s="332"/>
      <c r="P20" s="323"/>
      <c r="Q20" s="323"/>
      <c r="R20" s="323"/>
      <c r="S20" s="323"/>
      <c r="T20" s="323"/>
    </row>
    <row r="21" spans="1:20" s="199" customFormat="1" ht="15" customHeight="1" x14ac:dyDescent="0.2">
      <c r="A21" s="218" t="s">
        <v>512</v>
      </c>
      <c r="B21" s="20"/>
      <c r="C21" s="20"/>
      <c r="D21" s="20"/>
      <c r="E21" s="20"/>
      <c r="F21" s="20"/>
      <c r="G21" s="20"/>
      <c r="H21" s="20"/>
      <c r="I21" s="20"/>
      <c r="J21" s="20"/>
      <c r="K21" s="20"/>
      <c r="L21" s="20"/>
      <c r="M21" s="20"/>
      <c r="N21" s="20"/>
      <c r="O21" s="332"/>
      <c r="P21" s="321"/>
      <c r="Q21" s="321"/>
      <c r="R21" s="321"/>
      <c r="S21" s="321"/>
      <c r="T21" s="321"/>
    </row>
    <row r="22" spans="1:20" s="199" customFormat="1" ht="15" customHeight="1" x14ac:dyDescent="0.2">
      <c r="A22" s="95" t="s">
        <v>511</v>
      </c>
      <c r="B22" s="95"/>
      <c r="C22" s="95"/>
      <c r="D22" s="95"/>
      <c r="E22" s="95"/>
      <c r="F22" s="95"/>
      <c r="G22" s="95"/>
      <c r="H22" s="95"/>
      <c r="I22" s="95"/>
      <c r="J22" s="95"/>
      <c r="K22" s="95"/>
      <c r="L22" s="95"/>
      <c r="M22" s="95"/>
      <c r="N22" s="95"/>
      <c r="O22" s="95"/>
      <c r="P22" s="321"/>
      <c r="Q22" s="321"/>
      <c r="R22" s="321"/>
      <c r="S22" s="321"/>
      <c r="T22" s="321"/>
    </row>
    <row r="23" spans="1:20" s="199" customFormat="1" ht="30" customHeight="1" x14ac:dyDescent="0.2">
      <c r="A23" s="611" t="s">
        <v>510</v>
      </c>
      <c r="B23" s="632"/>
      <c r="C23" s="632"/>
      <c r="D23" s="632"/>
      <c r="E23" s="632"/>
      <c r="F23" s="632"/>
      <c r="G23" s="632"/>
      <c r="H23" s="632"/>
      <c r="I23" s="632"/>
      <c r="J23" s="632"/>
      <c r="K23" s="632"/>
      <c r="L23" s="632"/>
      <c r="M23" s="632"/>
      <c r="N23" s="632"/>
      <c r="O23" s="332"/>
      <c r="P23" s="321"/>
      <c r="Q23" s="321"/>
      <c r="R23" s="321"/>
      <c r="S23" s="321"/>
      <c r="T23" s="321"/>
    </row>
    <row r="24" spans="1:20" s="20" customFormat="1" ht="15" customHeight="1" x14ac:dyDescent="0.2">
      <c r="A24" s="218" t="s">
        <v>553</v>
      </c>
      <c r="B24" s="95"/>
      <c r="C24" s="86"/>
      <c r="D24" s="89"/>
      <c r="E24" s="96"/>
      <c r="F24" s="97"/>
      <c r="G24" s="95"/>
      <c r="H24" s="86"/>
      <c r="I24" s="89"/>
      <c r="J24" s="96"/>
      <c r="K24" s="97"/>
      <c r="L24" s="86"/>
      <c r="M24" s="89"/>
      <c r="N24" s="89"/>
      <c r="O24" s="323"/>
      <c r="P24" s="323"/>
      <c r="Q24" s="323"/>
      <c r="R24" s="323"/>
      <c r="S24" s="323"/>
      <c r="T24" s="323"/>
    </row>
    <row r="28" spans="1:20" ht="15" customHeight="1" x14ac:dyDescent="0.25">
      <c r="B28" s="275"/>
    </row>
    <row r="29" spans="1:20" ht="15" customHeight="1" x14ac:dyDescent="0.25">
      <c r="B29" s="275"/>
    </row>
    <row r="30" spans="1:20" ht="15" customHeight="1" x14ac:dyDescent="0.25">
      <c r="B30" s="151"/>
    </row>
  </sheetData>
  <mergeCells count="4">
    <mergeCell ref="B3:D3"/>
    <mergeCell ref="F3:I3"/>
    <mergeCell ref="K3:N3"/>
    <mergeCell ref="A23:N23"/>
  </mergeCells>
  <hyperlinks>
    <hyperlink ref="A2" location="Contents!A1" display="Back to contents" xr:uid="{E8AEB8B2-5627-4ACA-BAA6-F5EF0D0339D8}"/>
  </hyperlink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5BF8F-B371-4E2A-8773-6C43C0D73882}">
  <dimension ref="A1:P50"/>
  <sheetViews>
    <sheetView zoomScaleNormal="100" workbookViewId="0">
      <pane ySplit="4" topLeftCell="A5" activePane="bottomLeft" state="frozen"/>
      <selection activeCell="A2" sqref="A2"/>
      <selection pane="bottomLeft" activeCell="A5" sqref="A5"/>
    </sheetView>
  </sheetViews>
  <sheetFormatPr defaultColWidth="9.125" defaultRowHeight="15" customHeight="1" x14ac:dyDescent="0.2"/>
  <cols>
    <col min="1" max="1" width="20.75" style="557" customWidth="1"/>
    <col min="2" max="2" width="36.75" style="557" customWidth="1"/>
    <col min="3" max="3" width="8.625" style="558" customWidth="1"/>
    <col min="4" max="4" width="8.625" style="559" customWidth="1"/>
    <col min="5" max="5" width="2.625" style="319" customWidth="1"/>
    <col min="6" max="6" width="20.75" style="557" customWidth="1"/>
    <col min="7" max="7" width="36.75" style="557" customWidth="1"/>
    <col min="8" max="8" width="8.625" style="560" customWidth="1"/>
    <col min="9" max="9" width="8.625" style="561" customWidth="1"/>
    <col min="10" max="16384" width="9.125" style="319"/>
  </cols>
  <sheetData>
    <row r="1" spans="1:10" s="288" customFormat="1" ht="15" customHeight="1" x14ac:dyDescent="0.25">
      <c r="A1" s="275" t="s">
        <v>651</v>
      </c>
      <c r="B1" s="281"/>
      <c r="C1" s="312"/>
      <c r="D1" s="283"/>
      <c r="E1" s="284"/>
      <c r="F1" s="285"/>
      <c r="G1" s="286"/>
      <c r="H1" s="312"/>
      <c r="I1" s="283"/>
      <c r="J1" s="284"/>
    </row>
    <row r="2" spans="1:10" s="199" customFormat="1" ht="15" customHeight="1" x14ac:dyDescent="0.2">
      <c r="A2" s="552" t="s">
        <v>585</v>
      </c>
    </row>
    <row r="3" spans="1:10" s="199" customFormat="1" ht="15" customHeight="1" x14ac:dyDescent="0.2">
      <c r="A3" s="382"/>
      <c r="B3" s="382"/>
      <c r="C3" s="624" t="s">
        <v>509</v>
      </c>
      <c r="D3" s="624"/>
      <c r="E3" s="382"/>
      <c r="F3" s="476"/>
      <c r="G3" s="382"/>
      <c r="H3" s="624" t="s">
        <v>509</v>
      </c>
      <c r="I3" s="624"/>
    </row>
    <row r="4" spans="1:10" s="314" customFormat="1" ht="15" customHeight="1" x14ac:dyDescent="0.2">
      <c r="A4" s="562" t="s">
        <v>0</v>
      </c>
      <c r="B4" s="563" t="s">
        <v>583</v>
      </c>
      <c r="C4" s="19" t="s">
        <v>41</v>
      </c>
      <c r="D4" s="127" t="s">
        <v>38</v>
      </c>
      <c r="E4" s="313"/>
      <c r="F4" s="562" t="s">
        <v>1</v>
      </c>
      <c r="G4" s="563" t="s">
        <v>583</v>
      </c>
      <c r="H4" s="19" t="s">
        <v>41</v>
      </c>
      <c r="I4" s="127" t="s">
        <v>38</v>
      </c>
    </row>
    <row r="5" spans="1:10" s="314" customFormat="1" ht="15" customHeight="1" x14ac:dyDescent="0.2">
      <c r="A5" s="314" t="s">
        <v>309</v>
      </c>
      <c r="C5" s="113"/>
      <c r="D5" s="104"/>
      <c r="F5" s="314" t="s">
        <v>309</v>
      </c>
      <c r="H5" s="113"/>
      <c r="I5" s="104"/>
    </row>
    <row r="6" spans="1:10" s="199" customFormat="1" ht="15" customHeight="1" x14ac:dyDescent="0.2">
      <c r="A6" s="553">
        <v>1</v>
      </c>
      <c r="B6" s="315" t="s">
        <v>357</v>
      </c>
      <c r="C6" s="554">
        <v>675</v>
      </c>
      <c r="D6" s="555">
        <v>39.566236811254399</v>
      </c>
      <c r="F6" s="553">
        <v>1</v>
      </c>
      <c r="G6" s="315" t="s">
        <v>357</v>
      </c>
      <c r="H6" s="301">
        <v>273</v>
      </c>
      <c r="I6" s="247">
        <v>44.680851063829799</v>
      </c>
    </row>
    <row r="7" spans="1:10" s="199" customFormat="1" ht="15" customHeight="1" x14ac:dyDescent="0.2">
      <c r="A7" s="553">
        <v>2</v>
      </c>
      <c r="B7" s="315" t="s">
        <v>371</v>
      </c>
      <c r="C7" s="554">
        <v>601</v>
      </c>
      <c r="D7" s="555">
        <v>35.2286049237984</v>
      </c>
      <c r="F7" s="553">
        <v>2</v>
      </c>
      <c r="G7" s="315" t="s">
        <v>354</v>
      </c>
      <c r="H7" s="301">
        <v>258</v>
      </c>
      <c r="I7" s="247">
        <v>42.225859247135901</v>
      </c>
    </row>
    <row r="8" spans="1:10" s="199" customFormat="1" ht="15" customHeight="1" x14ac:dyDescent="0.2">
      <c r="A8" s="553">
        <v>3</v>
      </c>
      <c r="B8" s="315" t="s">
        <v>346</v>
      </c>
      <c r="C8" s="554">
        <v>542</v>
      </c>
      <c r="D8" s="555">
        <v>31.770222743259101</v>
      </c>
      <c r="F8" s="553">
        <v>3</v>
      </c>
      <c r="G8" s="315" t="s">
        <v>346</v>
      </c>
      <c r="H8" s="301">
        <v>208</v>
      </c>
      <c r="I8" s="247">
        <v>34.042553191489397</v>
      </c>
    </row>
    <row r="9" spans="1:10" s="199" customFormat="1" ht="15" customHeight="1" x14ac:dyDescent="0.2">
      <c r="A9" s="553">
        <v>4</v>
      </c>
      <c r="B9" s="315" t="s">
        <v>535</v>
      </c>
      <c r="C9" s="554">
        <v>427</v>
      </c>
      <c r="D9" s="555">
        <v>25.0293083235639</v>
      </c>
      <c r="F9" s="553">
        <v>4</v>
      </c>
      <c r="G9" s="315" t="s">
        <v>371</v>
      </c>
      <c r="H9" s="301">
        <v>162</v>
      </c>
      <c r="I9" s="247">
        <v>26.5139116202946</v>
      </c>
    </row>
    <row r="10" spans="1:10" s="199" customFormat="1" ht="15" customHeight="1" x14ac:dyDescent="0.2">
      <c r="A10" s="553">
        <v>5</v>
      </c>
      <c r="B10" s="315" t="s">
        <v>373</v>
      </c>
      <c r="C10" s="554">
        <v>357</v>
      </c>
      <c r="D10" s="555">
        <v>20.926143024619002</v>
      </c>
      <c r="F10" s="553">
        <v>5</v>
      </c>
      <c r="G10" s="315" t="s">
        <v>352</v>
      </c>
      <c r="H10" s="301">
        <v>95</v>
      </c>
      <c r="I10" s="247">
        <v>15.548281505728299</v>
      </c>
    </row>
    <row r="11" spans="1:10" s="292" customFormat="1" ht="25.5" x14ac:dyDescent="0.2">
      <c r="A11" s="316"/>
      <c r="B11" s="239" t="s">
        <v>540</v>
      </c>
      <c r="C11" s="317">
        <v>1706</v>
      </c>
      <c r="D11" s="240" t="s">
        <v>70</v>
      </c>
      <c r="E11" s="316"/>
      <c r="F11" s="316"/>
      <c r="G11" s="239" t="s">
        <v>540</v>
      </c>
      <c r="H11" s="317">
        <v>611</v>
      </c>
      <c r="I11" s="240" t="s">
        <v>70</v>
      </c>
    </row>
    <row r="12" spans="1:10" s="199" customFormat="1" ht="15" customHeight="1" x14ac:dyDescent="0.2">
      <c r="A12" s="314" t="s">
        <v>130</v>
      </c>
      <c r="B12" s="314"/>
      <c r="C12" s="551"/>
      <c r="D12" s="551"/>
      <c r="E12" s="314"/>
      <c r="F12" s="314" t="s">
        <v>130</v>
      </c>
      <c r="G12" s="314"/>
      <c r="H12" s="551"/>
      <c r="I12" s="551"/>
    </row>
    <row r="13" spans="1:10" s="199" customFormat="1" ht="15" customHeight="1" x14ac:dyDescent="0.2">
      <c r="A13" s="553">
        <v>1</v>
      </c>
      <c r="B13" s="315" t="s">
        <v>352</v>
      </c>
      <c r="C13" s="554">
        <v>99</v>
      </c>
      <c r="D13" s="555">
        <v>30.841121495327101</v>
      </c>
      <c r="F13" s="553">
        <v>1</v>
      </c>
      <c r="G13" s="315" t="s">
        <v>352</v>
      </c>
      <c r="H13" s="301">
        <v>38</v>
      </c>
      <c r="I13" s="247">
        <v>30.894308943089399</v>
      </c>
    </row>
    <row r="14" spans="1:10" s="199" customFormat="1" ht="15" customHeight="1" x14ac:dyDescent="0.2">
      <c r="A14" s="553">
        <v>2</v>
      </c>
      <c r="B14" s="315" t="s">
        <v>373</v>
      </c>
      <c r="C14" s="554">
        <v>79</v>
      </c>
      <c r="D14" s="555">
        <v>24.610591900311501</v>
      </c>
      <c r="F14" s="553">
        <v>2</v>
      </c>
      <c r="G14" s="315" t="s">
        <v>346</v>
      </c>
      <c r="H14" s="301">
        <v>33</v>
      </c>
      <c r="I14" s="247">
        <v>26.829268292682901</v>
      </c>
    </row>
    <row r="15" spans="1:10" s="199" customFormat="1" ht="15" customHeight="1" x14ac:dyDescent="0.2">
      <c r="A15" s="553">
        <v>3</v>
      </c>
      <c r="B15" s="315" t="s">
        <v>346</v>
      </c>
      <c r="C15" s="554">
        <v>66</v>
      </c>
      <c r="D15" s="555">
        <v>20.5607476635514</v>
      </c>
      <c r="F15" s="553">
        <v>3</v>
      </c>
      <c r="G15" s="315" t="s">
        <v>371</v>
      </c>
      <c r="H15" s="301">
        <v>24</v>
      </c>
      <c r="I15" s="247">
        <v>19.512195121951201</v>
      </c>
    </row>
    <row r="16" spans="1:10" s="199" customFormat="1" ht="15" customHeight="1" x14ac:dyDescent="0.2">
      <c r="A16" s="553">
        <v>4</v>
      </c>
      <c r="B16" s="315" t="s">
        <v>371</v>
      </c>
      <c r="C16" s="554">
        <v>52</v>
      </c>
      <c r="D16" s="555">
        <v>16.199376947040498</v>
      </c>
      <c r="F16" s="553">
        <v>4</v>
      </c>
      <c r="G16" s="315" t="s">
        <v>354</v>
      </c>
      <c r="H16" s="301">
        <v>24</v>
      </c>
      <c r="I16" s="247">
        <v>19.512195121951201</v>
      </c>
    </row>
    <row r="17" spans="1:10" s="199" customFormat="1" ht="15" customHeight="1" x14ac:dyDescent="0.2">
      <c r="A17" s="553">
        <v>5</v>
      </c>
      <c r="B17" s="315" t="s">
        <v>374</v>
      </c>
      <c r="C17" s="554">
        <v>48</v>
      </c>
      <c r="D17" s="555">
        <v>14.953271028037401</v>
      </c>
      <c r="F17" s="553">
        <v>5</v>
      </c>
      <c r="G17" s="315" t="s">
        <v>357</v>
      </c>
      <c r="H17" s="301">
        <v>19</v>
      </c>
      <c r="I17" s="247">
        <v>15.4471544715447</v>
      </c>
    </row>
    <row r="18" spans="1:10" s="292" customFormat="1" ht="38.25" x14ac:dyDescent="0.2">
      <c r="A18" s="316"/>
      <c r="B18" s="239" t="s">
        <v>538</v>
      </c>
      <c r="C18" s="317">
        <v>321</v>
      </c>
      <c r="D18" s="240" t="s">
        <v>70</v>
      </c>
      <c r="E18" s="316"/>
      <c r="F18" s="316"/>
      <c r="G18" s="239" t="s">
        <v>538</v>
      </c>
      <c r="H18" s="317">
        <v>123</v>
      </c>
      <c r="I18" s="240" t="s">
        <v>70</v>
      </c>
    </row>
    <row r="19" spans="1:10" s="199" customFormat="1" ht="15" customHeight="1" x14ac:dyDescent="0.2">
      <c r="A19" s="314" t="s">
        <v>125</v>
      </c>
      <c r="B19" s="314"/>
      <c r="C19" s="551"/>
      <c r="D19" s="551"/>
      <c r="E19" s="314"/>
      <c r="F19" s="314" t="s">
        <v>125</v>
      </c>
      <c r="G19" s="314"/>
      <c r="H19" s="551"/>
      <c r="I19" s="551"/>
    </row>
    <row r="20" spans="1:10" s="199" customFormat="1" ht="15" customHeight="1" x14ac:dyDescent="0.2">
      <c r="A20" s="553">
        <v>1</v>
      </c>
      <c r="B20" s="315" t="s">
        <v>503</v>
      </c>
      <c r="C20" s="554">
        <v>179</v>
      </c>
      <c r="D20" s="555">
        <v>66.051660516605196</v>
      </c>
      <c r="F20" s="553">
        <v>1</v>
      </c>
      <c r="G20" s="315" t="s">
        <v>503</v>
      </c>
      <c r="H20" s="301">
        <v>171</v>
      </c>
      <c r="I20" s="247">
        <v>72.457627118644098</v>
      </c>
    </row>
    <row r="21" spans="1:10" s="199" customFormat="1" ht="15" customHeight="1" x14ac:dyDescent="0.2">
      <c r="A21" s="553">
        <v>2</v>
      </c>
      <c r="B21" s="315" t="s">
        <v>352</v>
      </c>
      <c r="C21" s="554">
        <v>70</v>
      </c>
      <c r="D21" s="555">
        <v>25.830258302583001</v>
      </c>
      <c r="F21" s="553">
        <v>2</v>
      </c>
      <c r="G21" s="315" t="s">
        <v>352</v>
      </c>
      <c r="H21" s="301">
        <v>59</v>
      </c>
      <c r="I21" s="247">
        <v>25</v>
      </c>
    </row>
    <row r="22" spans="1:10" s="199" customFormat="1" ht="15" customHeight="1" x14ac:dyDescent="0.2">
      <c r="A22" s="553">
        <v>3</v>
      </c>
      <c r="B22" s="315" t="s">
        <v>346</v>
      </c>
      <c r="C22" s="554">
        <v>16</v>
      </c>
      <c r="D22" s="555">
        <v>5.9040590405904103</v>
      </c>
      <c r="F22" s="553">
        <v>3</v>
      </c>
      <c r="G22" s="315" t="s">
        <v>346</v>
      </c>
      <c r="H22" s="301">
        <v>15</v>
      </c>
      <c r="I22" s="247">
        <v>6.3559322033898296</v>
      </c>
    </row>
    <row r="23" spans="1:10" s="199" customFormat="1" ht="15" customHeight="1" x14ac:dyDescent="0.2">
      <c r="A23" s="300">
        <v>4</v>
      </c>
      <c r="B23" s="318" t="s">
        <v>552</v>
      </c>
      <c r="C23" s="306" t="s">
        <v>552</v>
      </c>
      <c r="D23" s="306" t="s">
        <v>552</v>
      </c>
      <c r="F23" s="300">
        <v>4</v>
      </c>
      <c r="G23" s="318" t="s">
        <v>552</v>
      </c>
      <c r="H23" s="306" t="s">
        <v>552</v>
      </c>
      <c r="I23" s="306" t="s">
        <v>552</v>
      </c>
    </row>
    <row r="24" spans="1:10" s="199" customFormat="1" ht="15" customHeight="1" x14ac:dyDescent="0.2">
      <c r="A24" s="300">
        <v>5</v>
      </c>
      <c r="B24" s="318" t="s">
        <v>552</v>
      </c>
      <c r="C24" s="306" t="s">
        <v>552</v>
      </c>
      <c r="D24" s="306" t="s">
        <v>552</v>
      </c>
      <c r="F24" s="300">
        <v>5</v>
      </c>
      <c r="G24" s="318" t="s">
        <v>552</v>
      </c>
      <c r="H24" s="306" t="s">
        <v>552</v>
      </c>
      <c r="I24" s="306" t="s">
        <v>552</v>
      </c>
    </row>
    <row r="25" spans="1:10" s="292" customFormat="1" ht="25.5" x14ac:dyDescent="0.2">
      <c r="A25" s="316"/>
      <c r="B25" s="239" t="s">
        <v>539</v>
      </c>
      <c r="C25" s="317">
        <v>271</v>
      </c>
      <c r="D25" s="240" t="s">
        <v>70</v>
      </c>
      <c r="E25" s="316"/>
      <c r="F25" s="316"/>
      <c r="G25" s="239" t="s">
        <v>539</v>
      </c>
      <c r="H25" s="317">
        <v>236</v>
      </c>
      <c r="I25" s="240" t="s">
        <v>70</v>
      </c>
    </row>
    <row r="26" spans="1:10" s="199" customFormat="1" ht="15" customHeight="1" x14ac:dyDescent="0.2">
      <c r="A26" s="314" t="s">
        <v>315</v>
      </c>
      <c r="B26" s="314"/>
      <c r="C26" s="551"/>
      <c r="D26" s="551"/>
      <c r="E26" s="314"/>
      <c r="F26" s="314" t="s">
        <v>315</v>
      </c>
      <c r="G26" s="314"/>
      <c r="H26" s="551"/>
      <c r="I26" s="551"/>
      <c r="J26" s="314"/>
    </row>
    <row r="27" spans="1:10" s="199" customFormat="1" ht="15" customHeight="1" x14ac:dyDescent="0.2">
      <c r="A27" s="553">
        <v>1</v>
      </c>
      <c r="B27" s="318" t="s">
        <v>352</v>
      </c>
      <c r="C27" s="306">
        <v>98</v>
      </c>
      <c r="D27" s="556">
        <v>51.851851851851897</v>
      </c>
      <c r="F27" s="553">
        <v>1</v>
      </c>
      <c r="G27" s="318" t="s">
        <v>352</v>
      </c>
      <c r="H27" s="306">
        <v>28</v>
      </c>
      <c r="I27" s="556">
        <v>54.901960784313701</v>
      </c>
    </row>
    <row r="28" spans="1:10" s="199" customFormat="1" ht="15" customHeight="1" x14ac:dyDescent="0.2">
      <c r="A28" s="553">
        <v>2</v>
      </c>
      <c r="B28" s="318" t="s">
        <v>346</v>
      </c>
      <c r="C28" s="306">
        <v>22</v>
      </c>
      <c r="D28" s="556">
        <v>11.6402116402116</v>
      </c>
      <c r="F28" s="553">
        <v>2</v>
      </c>
      <c r="G28" s="318" t="s">
        <v>552</v>
      </c>
      <c r="H28" s="306" t="s">
        <v>552</v>
      </c>
      <c r="I28" s="306" t="s">
        <v>552</v>
      </c>
    </row>
    <row r="29" spans="1:10" s="199" customFormat="1" ht="15" customHeight="1" x14ac:dyDescent="0.2">
      <c r="A29" s="553">
        <v>3</v>
      </c>
      <c r="B29" s="318" t="s">
        <v>536</v>
      </c>
      <c r="C29" s="306">
        <v>22</v>
      </c>
      <c r="D29" s="556">
        <v>11.6402116402116</v>
      </c>
      <c r="F29" s="553">
        <v>3</v>
      </c>
      <c r="G29" s="318" t="s">
        <v>552</v>
      </c>
      <c r="H29" s="306" t="s">
        <v>552</v>
      </c>
      <c r="I29" s="306" t="s">
        <v>552</v>
      </c>
    </row>
    <row r="30" spans="1:10" s="199" customFormat="1" ht="15" customHeight="1" x14ac:dyDescent="0.2">
      <c r="A30" s="553">
        <v>4</v>
      </c>
      <c r="B30" s="318" t="s">
        <v>373</v>
      </c>
      <c r="C30" s="306">
        <v>17</v>
      </c>
      <c r="D30" s="556">
        <v>8.9947089947090006</v>
      </c>
      <c r="F30" s="300">
        <v>4</v>
      </c>
      <c r="G30" s="318" t="s">
        <v>552</v>
      </c>
      <c r="H30" s="306" t="s">
        <v>552</v>
      </c>
      <c r="I30" s="306" t="s">
        <v>552</v>
      </c>
    </row>
    <row r="31" spans="1:10" s="199" customFormat="1" ht="15" customHeight="1" x14ac:dyDescent="0.2">
      <c r="A31" s="553">
        <v>5</v>
      </c>
      <c r="B31" s="318" t="s">
        <v>369</v>
      </c>
      <c r="C31" s="306">
        <v>17</v>
      </c>
      <c r="D31" s="556">
        <v>8.9947089947090006</v>
      </c>
      <c r="F31" s="300">
        <v>5</v>
      </c>
      <c r="G31" s="318" t="s">
        <v>552</v>
      </c>
      <c r="H31" s="306" t="s">
        <v>552</v>
      </c>
      <c r="I31" s="306" t="s">
        <v>552</v>
      </c>
    </row>
    <row r="32" spans="1:10" s="292" customFormat="1" ht="38.25" x14ac:dyDescent="0.2">
      <c r="A32" s="316"/>
      <c r="B32" s="239" t="s">
        <v>537</v>
      </c>
      <c r="C32" s="317">
        <v>189</v>
      </c>
      <c r="D32" s="240" t="s">
        <v>70</v>
      </c>
      <c r="E32" s="316"/>
      <c r="F32" s="316"/>
      <c r="G32" s="239" t="s">
        <v>537</v>
      </c>
      <c r="H32" s="317">
        <v>51</v>
      </c>
      <c r="I32" s="240" t="s">
        <v>70</v>
      </c>
    </row>
    <row r="33" spans="1:16" s="199" customFormat="1" ht="15" customHeight="1" x14ac:dyDescent="0.2">
      <c r="A33" s="314" t="s">
        <v>347</v>
      </c>
      <c r="B33" s="314"/>
      <c r="C33" s="551"/>
      <c r="D33" s="551"/>
      <c r="E33" s="314"/>
      <c r="F33" s="314" t="s">
        <v>347</v>
      </c>
      <c r="G33" s="314"/>
      <c r="H33" s="551"/>
      <c r="I33" s="551"/>
      <c r="J33" s="314"/>
    </row>
    <row r="34" spans="1:16" s="199" customFormat="1" ht="15" customHeight="1" x14ac:dyDescent="0.2">
      <c r="A34" s="553">
        <v>1</v>
      </c>
      <c r="B34" s="318" t="s">
        <v>373</v>
      </c>
      <c r="C34" s="306">
        <v>23</v>
      </c>
      <c r="D34" s="556">
        <v>27.710843373494001</v>
      </c>
      <c r="F34" s="553"/>
      <c r="G34" s="318" t="s">
        <v>552</v>
      </c>
      <c r="H34" s="306" t="s">
        <v>552</v>
      </c>
      <c r="I34" s="306" t="s">
        <v>552</v>
      </c>
    </row>
    <row r="35" spans="1:16" s="199" customFormat="1" ht="15" customHeight="1" x14ac:dyDescent="0.2">
      <c r="A35" s="553">
        <v>2</v>
      </c>
      <c r="B35" s="318" t="s">
        <v>352</v>
      </c>
      <c r="C35" s="306">
        <v>19</v>
      </c>
      <c r="D35" s="556">
        <v>22.891566265060199</v>
      </c>
      <c r="F35" s="553"/>
      <c r="G35" s="318" t="s">
        <v>552</v>
      </c>
      <c r="H35" s="306" t="s">
        <v>552</v>
      </c>
      <c r="I35" s="306" t="s">
        <v>552</v>
      </c>
    </row>
    <row r="36" spans="1:16" s="199" customFormat="1" ht="15" customHeight="1" x14ac:dyDescent="0.2">
      <c r="A36" s="553">
        <v>3</v>
      </c>
      <c r="B36" s="318" t="s">
        <v>503</v>
      </c>
      <c r="C36" s="306">
        <v>17</v>
      </c>
      <c r="D36" s="556">
        <v>20.481927710843401</v>
      </c>
      <c r="F36" s="553"/>
      <c r="G36" s="318" t="s">
        <v>552</v>
      </c>
      <c r="H36" s="306" t="s">
        <v>552</v>
      </c>
      <c r="I36" s="306" t="s">
        <v>552</v>
      </c>
    </row>
    <row r="37" spans="1:16" s="199" customFormat="1" ht="15" customHeight="1" x14ac:dyDescent="0.2">
      <c r="A37" s="553">
        <v>4</v>
      </c>
      <c r="B37" s="318" t="s">
        <v>552</v>
      </c>
      <c r="C37" s="306" t="s">
        <v>552</v>
      </c>
      <c r="D37" s="306" t="s">
        <v>552</v>
      </c>
      <c r="F37" s="553"/>
      <c r="G37" s="318" t="s">
        <v>552</v>
      </c>
      <c r="H37" s="306" t="s">
        <v>552</v>
      </c>
      <c r="I37" s="306" t="s">
        <v>552</v>
      </c>
    </row>
    <row r="38" spans="1:16" s="199" customFormat="1" ht="15" customHeight="1" x14ac:dyDescent="0.2">
      <c r="A38" s="553">
        <v>5</v>
      </c>
      <c r="B38" s="318" t="s">
        <v>552</v>
      </c>
      <c r="C38" s="306" t="s">
        <v>552</v>
      </c>
      <c r="D38" s="306" t="s">
        <v>552</v>
      </c>
      <c r="F38" s="553"/>
      <c r="G38" s="318" t="s">
        <v>552</v>
      </c>
      <c r="H38" s="306" t="s">
        <v>552</v>
      </c>
      <c r="I38" s="306" t="s">
        <v>552</v>
      </c>
    </row>
    <row r="39" spans="1:16" s="292" customFormat="1" ht="38.25" x14ac:dyDescent="0.2">
      <c r="A39" s="316"/>
      <c r="B39" s="239" t="s">
        <v>541</v>
      </c>
      <c r="C39" s="317">
        <v>83</v>
      </c>
      <c r="D39" s="240" t="s">
        <v>70</v>
      </c>
      <c r="E39" s="316"/>
      <c r="F39" s="316"/>
      <c r="G39" s="239" t="s">
        <v>550</v>
      </c>
      <c r="H39" s="317">
        <v>19</v>
      </c>
      <c r="I39" s="240" t="s">
        <v>70</v>
      </c>
    </row>
    <row r="40" spans="1:16" s="20" customFormat="1" ht="15" customHeight="1" x14ac:dyDescent="0.2">
      <c r="A40" s="20" t="s">
        <v>239</v>
      </c>
      <c r="B40" s="95"/>
      <c r="C40" s="86"/>
      <c r="D40" s="87"/>
      <c r="H40" s="95"/>
      <c r="I40" s="86"/>
      <c r="J40" s="87"/>
    </row>
    <row r="41" spans="1:16" s="20" customFormat="1" ht="12.75" x14ac:dyDescent="0.2">
      <c r="A41" s="611" t="s">
        <v>655</v>
      </c>
      <c r="B41" s="611"/>
      <c r="C41" s="611"/>
      <c r="D41" s="611"/>
      <c r="E41" s="611"/>
      <c r="F41" s="611"/>
      <c r="G41" s="611"/>
      <c r="H41" s="611"/>
      <c r="I41" s="611"/>
      <c r="J41" s="87"/>
    </row>
    <row r="42" spans="1:16" s="20" customFormat="1" ht="15" customHeight="1" x14ac:dyDescent="0.2">
      <c r="A42" s="95" t="s">
        <v>4</v>
      </c>
      <c r="B42" s="95"/>
      <c r="C42" s="86"/>
      <c r="D42" s="87"/>
      <c r="E42" s="87"/>
      <c r="F42" s="84"/>
      <c r="G42" s="95"/>
      <c r="H42" s="88"/>
      <c r="I42" s="89"/>
      <c r="J42" s="86"/>
    </row>
    <row r="43" spans="1:16" s="20" customFormat="1" ht="15" customHeight="1" x14ac:dyDescent="0.2">
      <c r="A43" s="95" t="s">
        <v>286</v>
      </c>
      <c r="B43" s="95"/>
      <c r="C43" s="95"/>
      <c r="D43" s="95"/>
      <c r="E43" s="95"/>
      <c r="F43" s="95"/>
      <c r="G43" s="95"/>
      <c r="H43" s="95"/>
      <c r="I43" s="95"/>
      <c r="J43" s="95"/>
    </row>
    <row r="44" spans="1:16" s="20" customFormat="1" ht="15" customHeight="1" x14ac:dyDescent="0.2">
      <c r="A44" s="95" t="s">
        <v>551</v>
      </c>
      <c r="B44" s="95"/>
      <c r="C44" s="95"/>
      <c r="D44" s="95"/>
      <c r="E44" s="95"/>
      <c r="F44" s="95"/>
      <c r="G44" s="95"/>
      <c r="H44" s="95"/>
      <c r="I44" s="95"/>
      <c r="J44" s="95"/>
      <c r="K44" s="95"/>
      <c r="L44" s="95"/>
      <c r="M44" s="95"/>
      <c r="N44" s="95"/>
      <c r="O44" s="95"/>
      <c r="P44" s="95"/>
    </row>
    <row r="45" spans="1:16" s="20" customFormat="1" ht="30" customHeight="1" x14ac:dyDescent="0.2">
      <c r="A45" s="611" t="s">
        <v>508</v>
      </c>
      <c r="B45" s="632"/>
      <c r="C45" s="632"/>
      <c r="D45" s="632"/>
      <c r="E45" s="632"/>
      <c r="F45" s="632"/>
      <c r="G45" s="632"/>
      <c r="H45" s="632"/>
      <c r="I45" s="632"/>
      <c r="J45" s="95"/>
    </row>
    <row r="46" spans="1:16" s="199" customFormat="1" ht="15" customHeight="1" x14ac:dyDescent="0.2">
      <c r="A46" s="95" t="s">
        <v>507</v>
      </c>
      <c r="B46" s="95"/>
      <c r="C46" s="95"/>
      <c r="D46" s="95"/>
      <c r="E46" s="95"/>
      <c r="F46" s="95"/>
      <c r="G46" s="95"/>
      <c r="H46" s="95"/>
      <c r="I46" s="95"/>
      <c r="J46" s="95"/>
    </row>
    <row r="47" spans="1:16" s="199" customFormat="1" ht="15" customHeight="1" x14ac:dyDescent="0.2">
      <c r="A47" s="611" t="s">
        <v>506</v>
      </c>
      <c r="B47" s="632"/>
      <c r="C47" s="632"/>
      <c r="D47" s="632"/>
      <c r="E47" s="632"/>
      <c r="F47" s="632"/>
      <c r="G47" s="632"/>
      <c r="H47" s="632"/>
      <c r="I47" s="632"/>
      <c r="J47" s="95"/>
    </row>
    <row r="48" spans="1:16" s="199" customFormat="1" ht="30" customHeight="1" x14ac:dyDescent="0.2">
      <c r="A48" s="611" t="s">
        <v>505</v>
      </c>
      <c r="B48" s="632"/>
      <c r="C48" s="632"/>
      <c r="D48" s="632"/>
      <c r="E48" s="632"/>
      <c r="F48" s="632"/>
      <c r="G48" s="632"/>
      <c r="H48" s="632"/>
      <c r="I48" s="632"/>
      <c r="J48" s="95"/>
    </row>
    <row r="49" spans="1:10" s="199" customFormat="1" ht="27.75" customHeight="1" x14ac:dyDescent="0.2">
      <c r="A49" s="611" t="s">
        <v>656</v>
      </c>
      <c r="B49" s="611"/>
      <c r="C49" s="611"/>
      <c r="D49" s="611"/>
      <c r="E49" s="611"/>
      <c r="F49" s="611"/>
      <c r="G49" s="611"/>
      <c r="H49" s="611"/>
      <c r="I49" s="611"/>
      <c r="J49" s="95"/>
    </row>
    <row r="50" spans="1:10" s="20" customFormat="1" ht="15" customHeight="1" x14ac:dyDescent="0.2">
      <c r="A50" s="218" t="s">
        <v>553</v>
      </c>
      <c r="B50" s="95"/>
      <c r="C50" s="86"/>
      <c r="D50" s="89"/>
      <c r="E50" s="96"/>
      <c r="F50" s="97"/>
      <c r="G50" s="95"/>
      <c r="H50" s="86"/>
      <c r="I50" s="89"/>
      <c r="J50" s="96"/>
    </row>
  </sheetData>
  <mergeCells count="7">
    <mergeCell ref="A49:I49"/>
    <mergeCell ref="A47:I47"/>
    <mergeCell ref="A48:I48"/>
    <mergeCell ref="C3:D3"/>
    <mergeCell ref="H3:I3"/>
    <mergeCell ref="A45:I45"/>
    <mergeCell ref="A41:I41"/>
  </mergeCells>
  <hyperlinks>
    <hyperlink ref="A2" location="Contents!A1" display="Back to contents" xr:uid="{6E80BB7F-6D90-4945-9718-43D5E46837C3}"/>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0D058-D11A-45B7-86CC-73B17C89DF27}">
  <dimension ref="A1:O69"/>
  <sheetViews>
    <sheetView workbookViewId="0">
      <pane ySplit="4" topLeftCell="A5" activePane="bottomLeft" state="frozen"/>
      <selection activeCell="A2" sqref="A2"/>
      <selection pane="bottomLeft" activeCell="A5" sqref="A5"/>
    </sheetView>
  </sheetViews>
  <sheetFormatPr defaultColWidth="7.75" defaultRowHeight="15" customHeight="1" x14ac:dyDescent="0.2"/>
  <cols>
    <col min="1" max="1" width="7.625" style="288" customWidth="1"/>
    <col min="2" max="2" width="26.875" style="309" customWidth="1"/>
    <col min="3" max="3" width="7.75" style="310" customWidth="1"/>
    <col min="4" max="4" width="6.75" style="311" customWidth="1"/>
    <col min="5" max="5" width="2.625" style="288" customWidth="1"/>
    <col min="6" max="6" width="7.625" style="288" customWidth="1"/>
    <col min="7" max="7" width="26.875" style="309" customWidth="1"/>
    <col min="8" max="8" width="7.75" style="310" customWidth="1"/>
    <col min="9" max="9" width="6.75" style="311" customWidth="1"/>
    <col min="10" max="10" width="2.625" style="288" customWidth="1"/>
    <col min="11" max="11" width="7.625" style="288" customWidth="1"/>
    <col min="12" max="12" width="26.875" style="309" customWidth="1"/>
    <col min="13" max="13" width="7.75" style="288" customWidth="1"/>
    <col min="14" max="14" width="6.75" style="288" customWidth="1"/>
    <col min="15" max="16384" width="7.75" style="288"/>
  </cols>
  <sheetData>
    <row r="1" spans="1:14" ht="15" customHeight="1" x14ac:dyDescent="0.25">
      <c r="A1" s="275" t="s">
        <v>653</v>
      </c>
      <c r="B1" s="280"/>
      <c r="C1" s="281"/>
      <c r="D1" s="282"/>
      <c r="E1" s="283"/>
      <c r="F1" s="284"/>
      <c r="G1" s="285"/>
      <c r="H1" s="286"/>
      <c r="I1" s="287"/>
      <c r="J1" s="283"/>
      <c r="K1" s="284"/>
      <c r="L1" s="285"/>
      <c r="M1" s="286"/>
      <c r="N1" s="287"/>
    </row>
    <row r="2" spans="1:14" s="199" customFormat="1" ht="15" customHeight="1" x14ac:dyDescent="0.2">
      <c r="A2" s="500" t="s">
        <v>585</v>
      </c>
    </row>
    <row r="3" spans="1:14" s="20" customFormat="1" ht="15" customHeight="1" x14ac:dyDescent="0.2">
      <c r="A3" s="630" t="s">
        <v>0</v>
      </c>
      <c r="B3" s="630"/>
      <c r="C3" s="630"/>
      <c r="D3" s="630"/>
      <c r="E3" s="289"/>
      <c r="F3" s="630" t="s">
        <v>1</v>
      </c>
      <c r="G3" s="630"/>
      <c r="H3" s="630"/>
      <c r="I3" s="630"/>
      <c r="J3" s="289"/>
      <c r="K3" s="630" t="s">
        <v>2</v>
      </c>
      <c r="L3" s="630"/>
      <c r="M3" s="630"/>
      <c r="N3" s="630"/>
    </row>
    <row r="4" spans="1:14" s="20" customFormat="1" ht="39.950000000000003" customHeight="1" x14ac:dyDescent="0.2">
      <c r="A4" s="15" t="s">
        <v>532</v>
      </c>
      <c r="B4" s="290" t="s">
        <v>515</v>
      </c>
      <c r="C4" s="250" t="s">
        <v>41</v>
      </c>
      <c r="D4" s="125" t="s">
        <v>38</v>
      </c>
      <c r="E4" s="291"/>
      <c r="F4" s="15" t="s">
        <v>532</v>
      </c>
      <c r="G4" s="290" t="s">
        <v>515</v>
      </c>
      <c r="H4" s="250" t="s">
        <v>41</v>
      </c>
      <c r="I4" s="125" t="s">
        <v>38</v>
      </c>
      <c r="J4" s="291"/>
      <c r="K4" s="15" t="s">
        <v>532</v>
      </c>
      <c r="L4" s="290" t="s">
        <v>515</v>
      </c>
      <c r="M4" s="250" t="s">
        <v>41</v>
      </c>
      <c r="N4" s="125" t="s">
        <v>38</v>
      </c>
    </row>
    <row r="5" spans="1:14" s="298" customFormat="1" ht="15" customHeight="1" x14ac:dyDescent="0.2">
      <c r="A5" s="299" t="s">
        <v>273</v>
      </c>
      <c r="B5" s="292"/>
      <c r="C5" s="293"/>
      <c r="D5" s="294"/>
      <c r="E5" s="295"/>
      <c r="F5" s="299" t="s">
        <v>273</v>
      </c>
      <c r="G5" s="292"/>
      <c r="H5" s="297"/>
      <c r="I5" s="295"/>
      <c r="J5" s="295"/>
      <c r="K5" s="299" t="s">
        <v>273</v>
      </c>
      <c r="L5" s="292"/>
      <c r="M5" s="297"/>
      <c r="N5" s="295"/>
    </row>
    <row r="6" spans="1:14" s="20" customFormat="1" ht="15" customHeight="1" x14ac:dyDescent="0.2">
      <c r="A6" s="300">
        <v>1</v>
      </c>
      <c r="B6" s="300" t="s">
        <v>357</v>
      </c>
      <c r="C6" s="301">
        <v>90</v>
      </c>
      <c r="D6" s="302">
        <v>37.037037037037003</v>
      </c>
      <c r="E6" s="214"/>
      <c r="F6" s="300">
        <v>1</v>
      </c>
      <c r="G6" s="245" t="s">
        <v>535</v>
      </c>
      <c r="H6" s="246">
        <v>51</v>
      </c>
      <c r="I6" s="302">
        <v>49.514563106796103</v>
      </c>
      <c r="J6" s="214"/>
      <c r="K6" s="300">
        <v>1</v>
      </c>
      <c r="L6" s="245" t="s">
        <v>357</v>
      </c>
      <c r="M6" s="246">
        <v>126</v>
      </c>
      <c r="N6" s="302">
        <v>36.416184971098303</v>
      </c>
    </row>
    <row r="7" spans="1:14" s="20" customFormat="1" ht="15" customHeight="1" x14ac:dyDescent="0.2">
      <c r="A7" s="300">
        <v>2</v>
      </c>
      <c r="B7" s="300" t="s">
        <v>535</v>
      </c>
      <c r="C7" s="301">
        <v>70</v>
      </c>
      <c r="D7" s="302">
        <v>28.806584362139901</v>
      </c>
      <c r="E7" s="214"/>
      <c r="F7" s="300">
        <v>2</v>
      </c>
      <c r="G7" s="245" t="s">
        <v>357</v>
      </c>
      <c r="H7" s="246">
        <v>36</v>
      </c>
      <c r="I7" s="302">
        <v>34.951456310679603</v>
      </c>
      <c r="J7" s="214"/>
      <c r="K7" s="300">
        <v>2</v>
      </c>
      <c r="L7" s="245" t="s">
        <v>535</v>
      </c>
      <c r="M7" s="246">
        <v>121</v>
      </c>
      <c r="N7" s="302">
        <v>34.971098265896003</v>
      </c>
    </row>
    <row r="8" spans="1:14" s="20" customFormat="1" ht="15" customHeight="1" x14ac:dyDescent="0.2">
      <c r="A8" s="300">
        <v>3</v>
      </c>
      <c r="B8" s="300" t="s">
        <v>346</v>
      </c>
      <c r="C8" s="301">
        <v>65</v>
      </c>
      <c r="D8" s="302">
        <v>26.748971193415599</v>
      </c>
      <c r="E8" s="214"/>
      <c r="F8" s="300">
        <v>3</v>
      </c>
      <c r="G8" s="245" t="s">
        <v>346</v>
      </c>
      <c r="H8" s="246">
        <v>34</v>
      </c>
      <c r="I8" s="302">
        <v>33.009708737864102</v>
      </c>
      <c r="J8" s="214"/>
      <c r="K8" s="300">
        <v>3</v>
      </c>
      <c r="L8" s="245" t="s">
        <v>346</v>
      </c>
      <c r="M8" s="246">
        <v>99</v>
      </c>
      <c r="N8" s="302">
        <v>28.6127167630058</v>
      </c>
    </row>
    <row r="9" spans="1:14" s="20" customFormat="1" ht="15" customHeight="1" x14ac:dyDescent="0.2">
      <c r="A9" s="300">
        <v>4</v>
      </c>
      <c r="B9" s="300" t="s">
        <v>371</v>
      </c>
      <c r="C9" s="301">
        <v>64</v>
      </c>
      <c r="D9" s="302">
        <v>26.337448559670801</v>
      </c>
      <c r="E9" s="214"/>
      <c r="F9" s="300">
        <v>4</v>
      </c>
      <c r="G9" s="245" t="s">
        <v>371</v>
      </c>
      <c r="H9" s="246">
        <v>30</v>
      </c>
      <c r="I9" s="302">
        <v>29.126213592233</v>
      </c>
      <c r="J9" s="214"/>
      <c r="K9" s="300">
        <v>4</v>
      </c>
      <c r="L9" s="245" t="s">
        <v>371</v>
      </c>
      <c r="M9" s="246">
        <v>94</v>
      </c>
      <c r="N9" s="302">
        <v>27.1676300578035</v>
      </c>
    </row>
    <row r="10" spans="1:14" s="20" customFormat="1" ht="15" customHeight="1" x14ac:dyDescent="0.2">
      <c r="A10" s="300">
        <v>5</v>
      </c>
      <c r="B10" s="300" t="s">
        <v>373</v>
      </c>
      <c r="C10" s="301">
        <v>57</v>
      </c>
      <c r="D10" s="302">
        <v>23.456790123456798</v>
      </c>
      <c r="E10" s="214"/>
      <c r="F10" s="300">
        <v>5</v>
      </c>
      <c r="G10" s="245" t="s">
        <v>352</v>
      </c>
      <c r="H10" s="246">
        <v>13</v>
      </c>
      <c r="I10" s="302">
        <v>12.621359223301001</v>
      </c>
      <c r="J10" s="214"/>
      <c r="K10" s="300">
        <v>5</v>
      </c>
      <c r="L10" s="245" t="s">
        <v>373</v>
      </c>
      <c r="M10" s="246">
        <v>65</v>
      </c>
      <c r="N10" s="302">
        <v>18.786127167630099</v>
      </c>
    </row>
    <row r="11" spans="1:14" s="20" customFormat="1" ht="25.5" x14ac:dyDescent="0.2">
      <c r="A11" s="303"/>
      <c r="B11" s="239" t="s">
        <v>514</v>
      </c>
      <c r="C11" s="304">
        <v>243</v>
      </c>
      <c r="D11" s="344" t="s">
        <v>70</v>
      </c>
      <c r="E11" s="305"/>
      <c r="F11" s="303"/>
      <c r="G11" s="239" t="s">
        <v>514</v>
      </c>
      <c r="H11" s="304">
        <v>103</v>
      </c>
      <c r="I11" s="344" t="s">
        <v>70</v>
      </c>
      <c r="J11" s="239"/>
      <c r="K11" s="303"/>
      <c r="L11" s="239" t="s">
        <v>514</v>
      </c>
      <c r="M11" s="304">
        <v>346</v>
      </c>
      <c r="N11" s="344" t="s">
        <v>70</v>
      </c>
    </row>
    <row r="12" spans="1:14" s="298" customFormat="1" ht="15" customHeight="1" x14ac:dyDescent="0.2">
      <c r="A12" s="236"/>
      <c r="B12" s="292"/>
      <c r="C12" s="293"/>
      <c r="D12" s="294"/>
      <c r="E12" s="295"/>
      <c r="F12" s="296"/>
      <c r="G12" s="292"/>
      <c r="H12" s="297"/>
      <c r="I12" s="295"/>
      <c r="J12" s="295"/>
      <c r="K12" s="236"/>
      <c r="L12" s="292"/>
      <c r="M12" s="297"/>
      <c r="N12" s="295"/>
    </row>
    <row r="13" spans="1:14" s="298" customFormat="1" ht="15" customHeight="1" x14ac:dyDescent="0.2">
      <c r="A13" s="299" t="s">
        <v>274</v>
      </c>
      <c r="B13" s="292"/>
      <c r="C13" s="293"/>
      <c r="D13" s="294"/>
      <c r="E13" s="295"/>
      <c r="F13" s="299" t="s">
        <v>274</v>
      </c>
      <c r="G13" s="292"/>
      <c r="H13" s="297"/>
      <c r="I13" s="295"/>
      <c r="J13" s="295"/>
      <c r="K13" s="299" t="s">
        <v>274</v>
      </c>
      <c r="L13" s="292"/>
      <c r="M13" s="297"/>
      <c r="N13" s="295"/>
    </row>
    <row r="14" spans="1:14" s="20" customFormat="1" ht="15" customHeight="1" x14ac:dyDescent="0.2">
      <c r="A14" s="300">
        <v>1</v>
      </c>
      <c r="B14" s="300" t="s">
        <v>371</v>
      </c>
      <c r="C14" s="301">
        <v>348</v>
      </c>
      <c r="D14" s="302">
        <v>35.080645161290299</v>
      </c>
      <c r="E14" s="214"/>
      <c r="F14" s="300">
        <v>1</v>
      </c>
      <c r="G14" s="245" t="s">
        <v>357</v>
      </c>
      <c r="H14" s="246">
        <v>120</v>
      </c>
      <c r="I14" s="302">
        <v>32.697547683923702</v>
      </c>
      <c r="J14" s="214"/>
      <c r="K14" s="300">
        <v>1</v>
      </c>
      <c r="L14" s="245" t="s">
        <v>371</v>
      </c>
      <c r="M14" s="246">
        <v>468</v>
      </c>
      <c r="N14" s="302">
        <v>34.437086092715198</v>
      </c>
    </row>
    <row r="15" spans="1:14" s="20" customFormat="1" ht="15" customHeight="1" x14ac:dyDescent="0.2">
      <c r="A15" s="300">
        <v>2</v>
      </c>
      <c r="B15" s="300" t="s">
        <v>357</v>
      </c>
      <c r="C15" s="301">
        <v>305</v>
      </c>
      <c r="D15" s="302">
        <v>30.745967741935502</v>
      </c>
      <c r="E15" s="214"/>
      <c r="F15" s="300">
        <v>2</v>
      </c>
      <c r="G15" s="245" t="s">
        <v>371</v>
      </c>
      <c r="H15" s="246">
        <v>120</v>
      </c>
      <c r="I15" s="302">
        <v>32.697547683923702</v>
      </c>
      <c r="J15" s="214"/>
      <c r="K15" s="300">
        <v>2</v>
      </c>
      <c r="L15" s="245" t="s">
        <v>357</v>
      </c>
      <c r="M15" s="246">
        <v>425</v>
      </c>
      <c r="N15" s="302">
        <v>31.2729948491538</v>
      </c>
    </row>
    <row r="16" spans="1:14" s="20" customFormat="1" ht="15" customHeight="1" x14ac:dyDescent="0.2">
      <c r="A16" s="300">
        <v>3</v>
      </c>
      <c r="B16" s="300" t="s">
        <v>373</v>
      </c>
      <c r="C16" s="301">
        <v>281</v>
      </c>
      <c r="D16" s="302">
        <v>28.326612903225801</v>
      </c>
      <c r="E16" s="214"/>
      <c r="F16" s="300">
        <v>3</v>
      </c>
      <c r="G16" s="245" t="s">
        <v>535</v>
      </c>
      <c r="H16" s="246">
        <v>110</v>
      </c>
      <c r="I16" s="302">
        <v>29.972752043596699</v>
      </c>
      <c r="J16" s="214"/>
      <c r="K16" s="300">
        <v>3</v>
      </c>
      <c r="L16" s="245" t="s">
        <v>373</v>
      </c>
      <c r="M16" s="246">
        <v>343</v>
      </c>
      <c r="N16" s="302">
        <v>25.239146431199401</v>
      </c>
    </row>
    <row r="17" spans="1:14" s="20" customFormat="1" ht="15" customHeight="1" x14ac:dyDescent="0.2">
      <c r="A17" s="300">
        <v>4</v>
      </c>
      <c r="B17" s="300" t="s">
        <v>346</v>
      </c>
      <c r="C17" s="301">
        <v>227</v>
      </c>
      <c r="D17" s="302">
        <v>22.883064516129</v>
      </c>
      <c r="E17" s="214"/>
      <c r="F17" s="300">
        <v>4</v>
      </c>
      <c r="G17" s="245" t="s">
        <v>346</v>
      </c>
      <c r="H17" s="246">
        <v>99</v>
      </c>
      <c r="I17" s="302">
        <v>26.9754768392371</v>
      </c>
      <c r="J17" s="214"/>
      <c r="K17" s="300">
        <v>4</v>
      </c>
      <c r="L17" s="245" t="s">
        <v>346</v>
      </c>
      <c r="M17" s="246">
        <v>326</v>
      </c>
      <c r="N17" s="302">
        <v>23.9882266372333</v>
      </c>
    </row>
    <row r="18" spans="1:14" s="20" customFormat="1" ht="15" customHeight="1" x14ac:dyDescent="0.2">
      <c r="A18" s="300">
        <v>5</v>
      </c>
      <c r="B18" s="300" t="s">
        <v>352</v>
      </c>
      <c r="C18" s="301">
        <v>226</v>
      </c>
      <c r="D18" s="302">
        <v>22.7822580645161</v>
      </c>
      <c r="E18" s="214"/>
      <c r="F18" s="300">
        <v>5</v>
      </c>
      <c r="G18" s="245" t="s">
        <v>352</v>
      </c>
      <c r="H18" s="246">
        <v>78</v>
      </c>
      <c r="I18" s="302">
        <v>21.253405994550398</v>
      </c>
      <c r="J18" s="214"/>
      <c r="K18" s="300">
        <v>5</v>
      </c>
      <c r="L18" s="245" t="s">
        <v>535</v>
      </c>
      <c r="M18" s="246">
        <v>324</v>
      </c>
      <c r="N18" s="302">
        <v>23.841059602649</v>
      </c>
    </row>
    <row r="19" spans="1:14" s="20" customFormat="1" ht="25.5" x14ac:dyDescent="0.2">
      <c r="A19" s="303"/>
      <c r="B19" s="239" t="s">
        <v>514</v>
      </c>
      <c r="C19" s="304">
        <v>992</v>
      </c>
      <c r="D19" s="344" t="s">
        <v>70</v>
      </c>
      <c r="E19" s="305"/>
      <c r="F19" s="303"/>
      <c r="G19" s="239" t="s">
        <v>514</v>
      </c>
      <c r="H19" s="304">
        <v>367</v>
      </c>
      <c r="I19" s="344" t="s">
        <v>70</v>
      </c>
      <c r="J19" s="239"/>
      <c r="K19" s="303"/>
      <c r="L19" s="239" t="s">
        <v>514</v>
      </c>
      <c r="M19" s="304">
        <v>1359</v>
      </c>
      <c r="N19" s="344" t="s">
        <v>70</v>
      </c>
    </row>
    <row r="20" spans="1:14" s="298" customFormat="1" ht="15" customHeight="1" x14ac:dyDescent="0.2">
      <c r="A20" s="236"/>
      <c r="B20" s="292"/>
      <c r="C20" s="293"/>
      <c r="D20" s="294"/>
      <c r="E20" s="295"/>
      <c r="F20" s="296"/>
      <c r="G20" s="292"/>
      <c r="H20" s="297"/>
      <c r="I20" s="295"/>
      <c r="J20" s="295"/>
      <c r="K20" s="236"/>
      <c r="L20" s="292"/>
      <c r="M20" s="297"/>
      <c r="N20" s="295"/>
    </row>
    <row r="21" spans="1:14" s="298" customFormat="1" ht="15" customHeight="1" x14ac:dyDescent="0.2">
      <c r="A21" s="299" t="s">
        <v>92</v>
      </c>
      <c r="B21" s="292"/>
      <c r="C21" s="293"/>
      <c r="D21" s="294"/>
      <c r="E21" s="295"/>
      <c r="F21" s="299" t="s">
        <v>275</v>
      </c>
      <c r="G21" s="292"/>
      <c r="H21" s="297"/>
      <c r="I21" s="295"/>
      <c r="J21" s="295"/>
      <c r="K21" s="299" t="s">
        <v>275</v>
      </c>
      <c r="L21" s="292"/>
      <c r="M21" s="297"/>
      <c r="N21" s="295"/>
    </row>
    <row r="22" spans="1:14" s="20" customFormat="1" ht="15" customHeight="1" x14ac:dyDescent="0.2">
      <c r="A22" s="300">
        <v>1</v>
      </c>
      <c r="B22" s="300" t="s">
        <v>352</v>
      </c>
      <c r="C22" s="301">
        <v>181</v>
      </c>
      <c r="D22" s="302">
        <v>31.4236111111111</v>
      </c>
      <c r="E22" s="214"/>
      <c r="F22" s="300">
        <v>1</v>
      </c>
      <c r="G22" s="245" t="s">
        <v>352</v>
      </c>
      <c r="H22" s="246">
        <v>65</v>
      </c>
      <c r="I22" s="302">
        <v>30.660377358490599</v>
      </c>
      <c r="J22" s="214"/>
      <c r="K22" s="300">
        <v>1</v>
      </c>
      <c r="L22" s="245" t="s">
        <v>352</v>
      </c>
      <c r="M22" s="246">
        <v>246</v>
      </c>
      <c r="N22" s="302">
        <v>31.2182741116751</v>
      </c>
    </row>
    <row r="23" spans="1:14" s="20" customFormat="1" ht="15" customHeight="1" x14ac:dyDescent="0.2">
      <c r="A23" s="300">
        <v>2</v>
      </c>
      <c r="B23" s="300" t="s">
        <v>371</v>
      </c>
      <c r="C23" s="301">
        <v>153</v>
      </c>
      <c r="D23" s="302">
        <v>26.5625</v>
      </c>
      <c r="E23" s="214"/>
      <c r="F23" s="300">
        <v>2</v>
      </c>
      <c r="G23" s="245" t="s">
        <v>535</v>
      </c>
      <c r="H23" s="246">
        <v>59</v>
      </c>
      <c r="I23" s="302">
        <v>27.8301886792453</v>
      </c>
      <c r="J23" s="214"/>
      <c r="K23" s="300">
        <v>2</v>
      </c>
      <c r="L23" s="245" t="s">
        <v>357</v>
      </c>
      <c r="M23" s="246">
        <v>202</v>
      </c>
      <c r="N23" s="302">
        <v>25.634517766497499</v>
      </c>
    </row>
    <row r="24" spans="1:14" s="20" customFormat="1" ht="15" customHeight="1" x14ac:dyDescent="0.2">
      <c r="A24" s="300">
        <v>3</v>
      </c>
      <c r="B24" s="300" t="s">
        <v>357</v>
      </c>
      <c r="C24" s="301">
        <v>145</v>
      </c>
      <c r="D24" s="302">
        <v>25.1736111111111</v>
      </c>
      <c r="E24" s="214"/>
      <c r="F24" s="300">
        <v>3</v>
      </c>
      <c r="G24" s="245" t="s">
        <v>357</v>
      </c>
      <c r="H24" s="246">
        <v>57</v>
      </c>
      <c r="I24" s="302">
        <v>26.8867924528302</v>
      </c>
      <c r="J24" s="214"/>
      <c r="K24" s="300">
        <v>3</v>
      </c>
      <c r="L24" s="245" t="s">
        <v>371</v>
      </c>
      <c r="M24" s="246">
        <v>199</v>
      </c>
      <c r="N24" s="302">
        <v>25.253807106599002</v>
      </c>
    </row>
    <row r="25" spans="1:14" s="20" customFormat="1" ht="15" customHeight="1" x14ac:dyDescent="0.2">
      <c r="A25" s="300">
        <v>4</v>
      </c>
      <c r="B25" s="300" t="s">
        <v>346</v>
      </c>
      <c r="C25" s="301">
        <v>135</v>
      </c>
      <c r="D25" s="302">
        <v>23.4375</v>
      </c>
      <c r="E25" s="214"/>
      <c r="F25" s="300">
        <v>4</v>
      </c>
      <c r="G25" s="245" t="s">
        <v>371</v>
      </c>
      <c r="H25" s="246">
        <v>46</v>
      </c>
      <c r="I25" s="302">
        <v>21.698113207547198</v>
      </c>
      <c r="J25" s="214"/>
      <c r="K25" s="300">
        <v>4</v>
      </c>
      <c r="L25" s="245" t="s">
        <v>346</v>
      </c>
      <c r="M25" s="246">
        <v>180</v>
      </c>
      <c r="N25" s="302">
        <v>22.842639593908601</v>
      </c>
    </row>
    <row r="26" spans="1:14" s="20" customFormat="1" ht="15" customHeight="1" x14ac:dyDescent="0.2">
      <c r="A26" s="300">
        <v>5</v>
      </c>
      <c r="B26" s="300" t="s">
        <v>373</v>
      </c>
      <c r="C26" s="301">
        <v>120</v>
      </c>
      <c r="D26" s="302">
        <v>20.8333333333333</v>
      </c>
      <c r="E26" s="214"/>
      <c r="F26" s="300">
        <v>5</v>
      </c>
      <c r="G26" s="245" t="s">
        <v>346</v>
      </c>
      <c r="H26" s="246">
        <v>45</v>
      </c>
      <c r="I26" s="302">
        <v>21.2264150943396</v>
      </c>
      <c r="J26" s="214"/>
      <c r="K26" s="300">
        <v>5</v>
      </c>
      <c r="L26" s="245" t="s">
        <v>373</v>
      </c>
      <c r="M26" s="246">
        <v>142</v>
      </c>
      <c r="N26" s="302">
        <v>18.020304568527902</v>
      </c>
    </row>
    <row r="27" spans="1:14" s="20" customFormat="1" ht="25.5" x14ac:dyDescent="0.2">
      <c r="A27" s="303"/>
      <c r="B27" s="239" t="s">
        <v>514</v>
      </c>
      <c r="C27" s="304">
        <v>576</v>
      </c>
      <c r="D27" s="344" t="s">
        <v>70</v>
      </c>
      <c r="E27" s="305"/>
      <c r="F27" s="303"/>
      <c r="G27" s="239" t="s">
        <v>514</v>
      </c>
      <c r="H27" s="304">
        <v>212</v>
      </c>
      <c r="I27" s="344" t="s">
        <v>70</v>
      </c>
      <c r="J27" s="239"/>
      <c r="K27" s="303"/>
      <c r="L27" s="239" t="s">
        <v>514</v>
      </c>
      <c r="M27" s="304">
        <v>788</v>
      </c>
      <c r="N27" s="344" t="s">
        <v>70</v>
      </c>
    </row>
    <row r="28" spans="1:14" s="298" customFormat="1" ht="15" customHeight="1" x14ac:dyDescent="0.2">
      <c r="A28" s="236"/>
      <c r="B28" s="292"/>
      <c r="C28" s="293"/>
      <c r="D28" s="294"/>
      <c r="E28" s="295"/>
      <c r="F28" s="296"/>
      <c r="G28" s="292"/>
      <c r="H28" s="297"/>
      <c r="I28" s="295"/>
      <c r="J28" s="295"/>
      <c r="K28" s="236"/>
      <c r="L28" s="292"/>
      <c r="M28" s="297"/>
      <c r="N28" s="295"/>
    </row>
    <row r="29" spans="1:14" s="298" customFormat="1" ht="15" customHeight="1" x14ac:dyDescent="0.2">
      <c r="A29" s="299" t="s">
        <v>276</v>
      </c>
      <c r="B29" s="292"/>
      <c r="C29" s="293"/>
      <c r="D29" s="294"/>
      <c r="E29" s="295"/>
      <c r="F29" s="299" t="s">
        <v>276</v>
      </c>
      <c r="G29" s="292"/>
      <c r="H29" s="297"/>
      <c r="I29" s="295"/>
      <c r="J29" s="295"/>
      <c r="K29" s="299" t="s">
        <v>276</v>
      </c>
      <c r="L29" s="292"/>
      <c r="M29" s="297"/>
      <c r="N29" s="295"/>
    </row>
    <row r="30" spans="1:14" s="20" customFormat="1" ht="15" customHeight="1" x14ac:dyDescent="0.2">
      <c r="A30" s="300">
        <v>1</v>
      </c>
      <c r="B30" s="300" t="s">
        <v>352</v>
      </c>
      <c r="C30" s="301">
        <v>149</v>
      </c>
      <c r="D30" s="302">
        <v>29.273084479371299</v>
      </c>
      <c r="E30" s="214"/>
      <c r="F30" s="300">
        <v>1</v>
      </c>
      <c r="G30" s="245" t="s">
        <v>346</v>
      </c>
      <c r="H30" s="246">
        <v>55</v>
      </c>
      <c r="I30" s="302">
        <v>29.411764705882401</v>
      </c>
      <c r="J30" s="214"/>
      <c r="K30" s="300">
        <v>1</v>
      </c>
      <c r="L30" s="245" t="s">
        <v>352</v>
      </c>
      <c r="M30" s="246">
        <v>199</v>
      </c>
      <c r="N30" s="302">
        <v>28.591954022988499</v>
      </c>
    </row>
    <row r="31" spans="1:14" s="20" customFormat="1" ht="15" customHeight="1" x14ac:dyDescent="0.2">
      <c r="A31" s="300">
        <v>2</v>
      </c>
      <c r="B31" s="300" t="s">
        <v>346</v>
      </c>
      <c r="C31" s="301">
        <v>130</v>
      </c>
      <c r="D31" s="302">
        <v>25.540275049115898</v>
      </c>
      <c r="E31" s="214"/>
      <c r="F31" s="300">
        <v>2</v>
      </c>
      <c r="G31" s="245" t="s">
        <v>357</v>
      </c>
      <c r="H31" s="246">
        <v>51</v>
      </c>
      <c r="I31" s="302">
        <v>27.272727272727298</v>
      </c>
      <c r="J31" s="214"/>
      <c r="K31" s="300">
        <v>2</v>
      </c>
      <c r="L31" s="245" t="s">
        <v>346</v>
      </c>
      <c r="M31" s="246">
        <v>185</v>
      </c>
      <c r="N31" s="302">
        <v>26.580459770114999</v>
      </c>
    </row>
    <row r="32" spans="1:14" s="20" customFormat="1" ht="15" customHeight="1" x14ac:dyDescent="0.2">
      <c r="A32" s="300">
        <v>3</v>
      </c>
      <c r="B32" s="300" t="s">
        <v>357</v>
      </c>
      <c r="C32" s="301">
        <v>119</v>
      </c>
      <c r="D32" s="302">
        <v>23.379174852652302</v>
      </c>
      <c r="E32" s="214"/>
      <c r="F32" s="300">
        <v>3</v>
      </c>
      <c r="G32" s="245" t="s">
        <v>352</v>
      </c>
      <c r="H32" s="246">
        <v>50</v>
      </c>
      <c r="I32" s="302">
        <v>26.737967914438499</v>
      </c>
      <c r="J32" s="214"/>
      <c r="K32" s="300">
        <v>3</v>
      </c>
      <c r="L32" s="245" t="s">
        <v>357</v>
      </c>
      <c r="M32" s="246">
        <v>170</v>
      </c>
      <c r="N32" s="302">
        <v>24.4252873563218</v>
      </c>
    </row>
    <row r="33" spans="1:14" s="20" customFormat="1" ht="15" customHeight="1" x14ac:dyDescent="0.2">
      <c r="A33" s="300">
        <v>4</v>
      </c>
      <c r="B33" s="300" t="s">
        <v>371</v>
      </c>
      <c r="C33" s="301">
        <v>94</v>
      </c>
      <c r="D33" s="302">
        <v>18.467583497052999</v>
      </c>
      <c r="E33" s="214"/>
      <c r="F33" s="300">
        <v>4</v>
      </c>
      <c r="G33" s="245" t="s">
        <v>535</v>
      </c>
      <c r="H33" s="246">
        <v>48</v>
      </c>
      <c r="I33" s="302">
        <v>25.668449197861001</v>
      </c>
      <c r="J33" s="214"/>
      <c r="K33" s="300">
        <v>4</v>
      </c>
      <c r="L33" s="245" t="s">
        <v>535</v>
      </c>
      <c r="M33" s="246">
        <v>124</v>
      </c>
      <c r="N33" s="302">
        <v>17.816091954023001</v>
      </c>
    </row>
    <row r="34" spans="1:14" s="20" customFormat="1" ht="15" customHeight="1" x14ac:dyDescent="0.2">
      <c r="A34" s="300">
        <v>5</v>
      </c>
      <c r="B34" s="300" t="s">
        <v>535</v>
      </c>
      <c r="C34" s="301">
        <v>76</v>
      </c>
      <c r="D34" s="302">
        <v>14.931237721021599</v>
      </c>
      <c r="E34" s="214"/>
      <c r="F34" s="300">
        <v>5</v>
      </c>
      <c r="G34" s="245" t="s">
        <v>371</v>
      </c>
      <c r="H34" s="246">
        <v>24</v>
      </c>
      <c r="I34" s="302">
        <v>12.834224598930501</v>
      </c>
      <c r="J34" s="214"/>
      <c r="K34" s="300">
        <v>5</v>
      </c>
      <c r="L34" s="245" t="s">
        <v>371</v>
      </c>
      <c r="M34" s="246">
        <v>118</v>
      </c>
      <c r="N34" s="302">
        <v>16.954022988505699</v>
      </c>
    </row>
    <row r="35" spans="1:14" s="20" customFormat="1" ht="25.5" x14ac:dyDescent="0.2">
      <c r="A35" s="303"/>
      <c r="B35" s="239" t="s">
        <v>514</v>
      </c>
      <c r="C35" s="304">
        <v>509</v>
      </c>
      <c r="D35" s="344" t="s">
        <v>70</v>
      </c>
      <c r="E35" s="305"/>
      <c r="F35" s="303"/>
      <c r="G35" s="239" t="s">
        <v>514</v>
      </c>
      <c r="H35" s="304">
        <v>187</v>
      </c>
      <c r="I35" s="344" t="s">
        <v>70</v>
      </c>
      <c r="J35" s="239"/>
      <c r="K35" s="303"/>
      <c r="L35" s="239" t="s">
        <v>514</v>
      </c>
      <c r="M35" s="304">
        <v>696</v>
      </c>
      <c r="N35" s="344" t="s">
        <v>70</v>
      </c>
    </row>
    <row r="36" spans="1:14" s="298" customFormat="1" ht="15" customHeight="1" x14ac:dyDescent="0.2">
      <c r="A36" s="236"/>
      <c r="B36" s="292"/>
      <c r="C36" s="293"/>
      <c r="D36" s="294"/>
      <c r="E36" s="295"/>
      <c r="F36" s="296"/>
      <c r="G36" s="292"/>
      <c r="H36" s="297"/>
      <c r="I36" s="295"/>
      <c r="J36" s="295"/>
      <c r="K36" s="236"/>
      <c r="L36" s="292"/>
      <c r="M36" s="297"/>
      <c r="N36" s="295"/>
    </row>
    <row r="37" spans="1:14" s="298" customFormat="1" ht="15" customHeight="1" x14ac:dyDescent="0.2">
      <c r="A37" s="299" t="s">
        <v>93</v>
      </c>
      <c r="B37" s="292"/>
      <c r="C37" s="293"/>
      <c r="D37" s="294"/>
      <c r="E37" s="295"/>
      <c r="F37" s="299" t="s">
        <v>93</v>
      </c>
      <c r="G37" s="292"/>
      <c r="H37" s="297"/>
      <c r="I37" s="295"/>
      <c r="J37" s="295"/>
      <c r="K37" s="299" t="s">
        <v>93</v>
      </c>
      <c r="L37" s="292"/>
      <c r="M37" s="297"/>
      <c r="N37" s="295"/>
    </row>
    <row r="38" spans="1:14" s="20" customFormat="1" ht="15" customHeight="1" x14ac:dyDescent="0.2">
      <c r="A38" s="300">
        <v>1</v>
      </c>
      <c r="B38" s="300" t="s">
        <v>352</v>
      </c>
      <c r="C38" s="301">
        <v>124</v>
      </c>
      <c r="D38" s="302">
        <v>35.028248587570602</v>
      </c>
      <c r="E38" s="214"/>
      <c r="F38" s="300">
        <v>1</v>
      </c>
      <c r="G38" s="300" t="s">
        <v>352</v>
      </c>
      <c r="H38" s="246">
        <v>54</v>
      </c>
      <c r="I38" s="302">
        <v>36</v>
      </c>
      <c r="J38" s="214"/>
      <c r="K38" s="300">
        <v>1</v>
      </c>
      <c r="L38" s="245" t="s">
        <v>352</v>
      </c>
      <c r="M38" s="246">
        <v>178</v>
      </c>
      <c r="N38" s="302">
        <v>35.317460317460302</v>
      </c>
    </row>
    <row r="39" spans="1:14" s="20" customFormat="1" ht="15" customHeight="1" x14ac:dyDescent="0.2">
      <c r="A39" s="300">
        <v>2</v>
      </c>
      <c r="B39" s="300" t="s">
        <v>346</v>
      </c>
      <c r="C39" s="301">
        <v>82</v>
      </c>
      <c r="D39" s="302">
        <v>23.163841807909598</v>
      </c>
      <c r="E39" s="214"/>
      <c r="F39" s="300">
        <v>2</v>
      </c>
      <c r="G39" s="245" t="s">
        <v>346</v>
      </c>
      <c r="H39" s="246">
        <v>38</v>
      </c>
      <c r="I39" s="302">
        <v>25.3333333333333</v>
      </c>
      <c r="J39" s="214"/>
      <c r="K39" s="300">
        <v>2</v>
      </c>
      <c r="L39" s="300" t="s">
        <v>346</v>
      </c>
      <c r="M39" s="246">
        <v>120</v>
      </c>
      <c r="N39" s="302">
        <v>23.8095238095238</v>
      </c>
    </row>
    <row r="40" spans="1:14" s="20" customFormat="1" ht="15" customHeight="1" x14ac:dyDescent="0.2">
      <c r="A40" s="300">
        <v>3</v>
      </c>
      <c r="B40" s="300" t="s">
        <v>503</v>
      </c>
      <c r="C40" s="301">
        <v>78</v>
      </c>
      <c r="D40" s="302">
        <v>22.033898305084701</v>
      </c>
      <c r="E40" s="214"/>
      <c r="F40" s="300">
        <v>3</v>
      </c>
      <c r="G40" s="245" t="s">
        <v>357</v>
      </c>
      <c r="H40" s="246">
        <v>35</v>
      </c>
      <c r="I40" s="302">
        <v>23.3333333333333</v>
      </c>
      <c r="J40" s="214"/>
      <c r="K40" s="300">
        <v>3</v>
      </c>
      <c r="L40" s="245" t="s">
        <v>503</v>
      </c>
      <c r="M40" s="246">
        <v>113</v>
      </c>
      <c r="N40" s="302">
        <v>22.4206349206349</v>
      </c>
    </row>
    <row r="41" spans="1:14" s="20" customFormat="1" ht="15" customHeight="1" x14ac:dyDescent="0.2">
      <c r="A41" s="300">
        <v>4</v>
      </c>
      <c r="B41" s="300" t="s">
        <v>357</v>
      </c>
      <c r="C41" s="301">
        <v>58</v>
      </c>
      <c r="D41" s="302">
        <v>16.3841807909605</v>
      </c>
      <c r="E41" s="214"/>
      <c r="F41" s="300">
        <v>4</v>
      </c>
      <c r="G41" s="245" t="s">
        <v>503</v>
      </c>
      <c r="H41" s="246">
        <v>35</v>
      </c>
      <c r="I41" s="302">
        <v>23.3333333333333</v>
      </c>
      <c r="J41" s="214"/>
      <c r="K41" s="300">
        <v>4</v>
      </c>
      <c r="L41" s="245" t="s">
        <v>357</v>
      </c>
      <c r="M41" s="246">
        <v>93</v>
      </c>
      <c r="N41" s="302">
        <v>18.452380952380999</v>
      </c>
    </row>
    <row r="42" spans="1:14" s="20" customFormat="1" ht="15" customHeight="1" x14ac:dyDescent="0.2">
      <c r="A42" s="300">
        <v>5</v>
      </c>
      <c r="B42" s="300" t="s">
        <v>371</v>
      </c>
      <c r="C42" s="301">
        <v>36</v>
      </c>
      <c r="D42" s="302">
        <v>10.1694915254237</v>
      </c>
      <c r="E42" s="214"/>
      <c r="F42" s="300">
        <v>5</v>
      </c>
      <c r="G42" s="245" t="s">
        <v>535</v>
      </c>
      <c r="H42" s="246">
        <v>29</v>
      </c>
      <c r="I42" s="302">
        <v>19.3333333333333</v>
      </c>
      <c r="J42" s="214"/>
      <c r="K42" s="300">
        <v>5</v>
      </c>
      <c r="L42" s="245" t="s">
        <v>535</v>
      </c>
      <c r="M42" s="246">
        <v>63</v>
      </c>
      <c r="N42" s="302">
        <v>12.5</v>
      </c>
    </row>
    <row r="43" spans="1:14" s="20" customFormat="1" ht="25.5" x14ac:dyDescent="0.2">
      <c r="A43" s="303"/>
      <c r="B43" s="239" t="s">
        <v>514</v>
      </c>
      <c r="C43" s="304">
        <v>354</v>
      </c>
      <c r="D43" s="344" t="s">
        <v>70</v>
      </c>
      <c r="E43" s="305"/>
      <c r="F43" s="303"/>
      <c r="G43" s="239" t="s">
        <v>514</v>
      </c>
      <c r="H43" s="304">
        <v>150</v>
      </c>
      <c r="I43" s="344" t="s">
        <v>70</v>
      </c>
      <c r="J43" s="239"/>
      <c r="K43" s="303"/>
      <c r="L43" s="239" t="s">
        <v>514</v>
      </c>
      <c r="M43" s="304">
        <v>504</v>
      </c>
      <c r="N43" s="344" t="s">
        <v>70</v>
      </c>
    </row>
    <row r="44" spans="1:14" s="298" customFormat="1" ht="15" customHeight="1" x14ac:dyDescent="0.2">
      <c r="A44" s="236"/>
      <c r="B44" s="292"/>
      <c r="C44" s="293"/>
      <c r="D44" s="294"/>
      <c r="E44" s="295"/>
      <c r="F44" s="296"/>
      <c r="G44" s="292"/>
      <c r="H44" s="297"/>
      <c r="I44" s="295"/>
      <c r="J44" s="295"/>
      <c r="K44" s="236"/>
      <c r="L44" s="292"/>
      <c r="M44" s="297"/>
      <c r="N44" s="295"/>
    </row>
    <row r="45" spans="1:14" s="298" customFormat="1" ht="15" customHeight="1" x14ac:dyDescent="0.2">
      <c r="A45" s="299" t="s">
        <v>94</v>
      </c>
      <c r="B45" s="292"/>
      <c r="C45" s="293"/>
      <c r="D45" s="294"/>
      <c r="E45" s="295"/>
      <c r="F45" s="299" t="s">
        <v>94</v>
      </c>
      <c r="G45" s="292"/>
      <c r="H45" s="297"/>
      <c r="I45" s="295"/>
      <c r="J45" s="295"/>
      <c r="K45" s="299" t="s">
        <v>94</v>
      </c>
      <c r="L45" s="292"/>
      <c r="M45" s="297"/>
      <c r="N45" s="295"/>
    </row>
    <row r="46" spans="1:14" s="20" customFormat="1" ht="15" customHeight="1" x14ac:dyDescent="0.2">
      <c r="A46" s="300">
        <v>1</v>
      </c>
      <c r="B46" s="300" t="s">
        <v>503</v>
      </c>
      <c r="C46" s="301">
        <v>141</v>
      </c>
      <c r="D46" s="302">
        <v>48.122866894197998</v>
      </c>
      <c r="E46" s="214"/>
      <c r="F46" s="300">
        <v>1</v>
      </c>
      <c r="G46" s="300" t="s">
        <v>503</v>
      </c>
      <c r="H46" s="246">
        <v>70</v>
      </c>
      <c r="I46" s="302">
        <v>52.238805970149301</v>
      </c>
      <c r="J46" s="214"/>
      <c r="K46" s="300">
        <v>1</v>
      </c>
      <c r="L46" s="245" t="s">
        <v>503</v>
      </c>
      <c r="M46" s="246">
        <v>211</v>
      </c>
      <c r="N46" s="302">
        <v>49.4145199063232</v>
      </c>
    </row>
    <row r="47" spans="1:14" s="20" customFormat="1" ht="15" customHeight="1" x14ac:dyDescent="0.2">
      <c r="A47" s="300">
        <v>2</v>
      </c>
      <c r="B47" s="300" t="s">
        <v>352</v>
      </c>
      <c r="C47" s="301">
        <v>84</v>
      </c>
      <c r="D47" s="302">
        <v>28.668941979522199</v>
      </c>
      <c r="E47" s="214"/>
      <c r="F47" s="300">
        <v>2</v>
      </c>
      <c r="G47" s="245" t="s">
        <v>352</v>
      </c>
      <c r="H47" s="246">
        <v>44</v>
      </c>
      <c r="I47" s="302">
        <v>32.835820895522403</v>
      </c>
      <c r="J47" s="214"/>
      <c r="K47" s="300">
        <v>2</v>
      </c>
      <c r="L47" s="300" t="s">
        <v>352</v>
      </c>
      <c r="M47" s="246">
        <v>128</v>
      </c>
      <c r="N47" s="302">
        <v>29.9765807962529</v>
      </c>
    </row>
    <row r="48" spans="1:14" s="20" customFormat="1" ht="15" customHeight="1" x14ac:dyDescent="0.2">
      <c r="A48" s="300">
        <v>3</v>
      </c>
      <c r="B48" s="300" t="s">
        <v>346</v>
      </c>
      <c r="C48" s="301">
        <v>57</v>
      </c>
      <c r="D48" s="302">
        <v>19.453924914675799</v>
      </c>
      <c r="E48" s="214"/>
      <c r="F48" s="300">
        <v>3</v>
      </c>
      <c r="G48" s="245" t="s">
        <v>346</v>
      </c>
      <c r="H48" s="246">
        <v>29</v>
      </c>
      <c r="I48" s="302">
        <v>21.641791044776099</v>
      </c>
      <c r="J48" s="214"/>
      <c r="K48" s="300">
        <v>3</v>
      </c>
      <c r="L48" s="245" t="s">
        <v>346</v>
      </c>
      <c r="M48" s="246">
        <v>86</v>
      </c>
      <c r="N48" s="302">
        <v>20.140515222482399</v>
      </c>
    </row>
    <row r="49" spans="1:15" s="20" customFormat="1" ht="15" customHeight="1" x14ac:dyDescent="0.2">
      <c r="A49" s="300">
        <v>4</v>
      </c>
      <c r="B49" s="300" t="s">
        <v>357</v>
      </c>
      <c r="C49" s="301">
        <v>33</v>
      </c>
      <c r="D49" s="302">
        <v>11.262798634812301</v>
      </c>
      <c r="E49" s="214"/>
      <c r="F49" s="300">
        <v>4</v>
      </c>
      <c r="G49" s="245" t="s">
        <v>357</v>
      </c>
      <c r="H49" s="246">
        <v>15</v>
      </c>
      <c r="I49" s="302">
        <v>11.194029850746301</v>
      </c>
      <c r="J49" s="214"/>
      <c r="K49" s="300">
        <v>4</v>
      </c>
      <c r="L49" s="245" t="s">
        <v>357</v>
      </c>
      <c r="M49" s="246">
        <v>48</v>
      </c>
      <c r="N49" s="302">
        <v>11.2412177985948</v>
      </c>
    </row>
    <row r="50" spans="1:15" s="20" customFormat="1" ht="15" customHeight="1" x14ac:dyDescent="0.2">
      <c r="A50" s="300">
        <v>5</v>
      </c>
      <c r="B50" s="300" t="s">
        <v>369</v>
      </c>
      <c r="C50" s="301">
        <v>26</v>
      </c>
      <c r="D50" s="302">
        <v>8.8737201365187701</v>
      </c>
      <c r="E50" s="214"/>
      <c r="F50" s="300">
        <v>5</v>
      </c>
      <c r="G50" s="318" t="s">
        <v>552</v>
      </c>
      <c r="H50" s="306" t="s">
        <v>552</v>
      </c>
      <c r="I50" s="306" t="s">
        <v>552</v>
      </c>
      <c r="J50" s="214"/>
      <c r="K50" s="300">
        <v>5</v>
      </c>
      <c r="L50" s="245" t="s">
        <v>369</v>
      </c>
      <c r="M50" s="246">
        <v>32</v>
      </c>
      <c r="N50" s="302">
        <v>7.4941451990632304</v>
      </c>
    </row>
    <row r="51" spans="1:15" s="20" customFormat="1" ht="25.5" customHeight="1" x14ac:dyDescent="0.2">
      <c r="A51" s="303"/>
      <c r="B51" s="239" t="s">
        <v>514</v>
      </c>
      <c r="C51" s="304">
        <v>293</v>
      </c>
      <c r="D51" s="344" t="s">
        <v>70</v>
      </c>
      <c r="E51" s="305"/>
      <c r="F51" s="303"/>
      <c r="G51" s="239" t="s">
        <v>514</v>
      </c>
      <c r="H51" s="304">
        <v>134</v>
      </c>
      <c r="I51" s="344" t="s">
        <v>70</v>
      </c>
      <c r="J51" s="239"/>
      <c r="K51" s="303"/>
      <c r="L51" s="239" t="s">
        <v>514</v>
      </c>
      <c r="M51" s="304">
        <v>427</v>
      </c>
      <c r="N51" s="344" t="s">
        <v>70</v>
      </c>
    </row>
    <row r="52" spans="1:15" s="298" customFormat="1" ht="15" customHeight="1" x14ac:dyDescent="0.2">
      <c r="A52" s="236"/>
      <c r="B52" s="292"/>
      <c r="C52" s="293"/>
      <c r="D52" s="294"/>
      <c r="E52" s="295"/>
      <c r="F52" s="296"/>
      <c r="G52" s="292"/>
      <c r="H52" s="297"/>
      <c r="I52" s="295"/>
      <c r="J52" s="295"/>
      <c r="K52" s="236"/>
      <c r="L52" s="292"/>
      <c r="M52" s="297"/>
      <c r="N52" s="295"/>
    </row>
    <row r="53" spans="1:15" s="298" customFormat="1" ht="15" customHeight="1" x14ac:dyDescent="0.2">
      <c r="A53" s="299" t="s">
        <v>95</v>
      </c>
      <c r="B53" s="292"/>
      <c r="C53" s="293"/>
      <c r="D53" s="294"/>
      <c r="E53" s="295"/>
      <c r="F53" s="299" t="s">
        <v>95</v>
      </c>
      <c r="G53" s="292"/>
      <c r="H53" s="297"/>
      <c r="I53" s="295"/>
      <c r="J53" s="295"/>
      <c r="K53" s="299" t="s">
        <v>95</v>
      </c>
      <c r="L53" s="292"/>
      <c r="M53" s="297"/>
      <c r="N53" s="295"/>
    </row>
    <row r="54" spans="1:15" s="20" customFormat="1" ht="15" customHeight="1" x14ac:dyDescent="0.2">
      <c r="A54" s="300">
        <v>1</v>
      </c>
      <c r="B54" s="300" t="s">
        <v>503</v>
      </c>
      <c r="C54" s="301">
        <v>123</v>
      </c>
      <c r="D54" s="302">
        <v>61.5</v>
      </c>
      <c r="E54" s="214"/>
      <c r="F54" s="300">
        <v>1</v>
      </c>
      <c r="G54" s="300" t="s">
        <v>503</v>
      </c>
      <c r="H54" s="246">
        <v>116</v>
      </c>
      <c r="I54" s="302">
        <v>66.285714285714306</v>
      </c>
      <c r="J54" s="214"/>
      <c r="K54" s="300">
        <v>1</v>
      </c>
      <c r="L54" s="245" t="s">
        <v>503</v>
      </c>
      <c r="M54" s="246">
        <v>239</v>
      </c>
      <c r="N54" s="302">
        <v>63.733333333333299</v>
      </c>
    </row>
    <row r="55" spans="1:15" s="20" customFormat="1" ht="15" customHeight="1" x14ac:dyDescent="0.2">
      <c r="A55" s="300">
        <v>2</v>
      </c>
      <c r="B55" s="300" t="s">
        <v>352</v>
      </c>
      <c r="C55" s="301">
        <v>53</v>
      </c>
      <c r="D55" s="302">
        <v>26.5</v>
      </c>
      <c r="E55" s="214"/>
      <c r="F55" s="300">
        <v>2</v>
      </c>
      <c r="G55" s="245" t="s">
        <v>352</v>
      </c>
      <c r="H55" s="246">
        <v>42</v>
      </c>
      <c r="I55" s="302">
        <v>24</v>
      </c>
      <c r="J55" s="214"/>
      <c r="K55" s="300">
        <v>2</v>
      </c>
      <c r="L55" s="300" t="s">
        <v>352</v>
      </c>
      <c r="M55" s="246">
        <v>95</v>
      </c>
      <c r="N55" s="302">
        <v>25.3333333333333</v>
      </c>
    </row>
    <row r="56" spans="1:15" s="20" customFormat="1" ht="15" customHeight="1" x14ac:dyDescent="0.2">
      <c r="A56" s="300">
        <v>3</v>
      </c>
      <c r="B56" s="300" t="s">
        <v>346</v>
      </c>
      <c r="C56" s="301">
        <v>36</v>
      </c>
      <c r="D56" s="302">
        <v>18</v>
      </c>
      <c r="E56" s="214"/>
      <c r="F56" s="300">
        <v>3</v>
      </c>
      <c r="G56" s="245" t="s">
        <v>346</v>
      </c>
      <c r="H56" s="246">
        <v>19</v>
      </c>
      <c r="I56" s="302">
        <v>10.8571428571429</v>
      </c>
      <c r="J56" s="214"/>
      <c r="K56" s="300">
        <v>3</v>
      </c>
      <c r="L56" s="245" t="s">
        <v>346</v>
      </c>
      <c r="M56" s="246">
        <v>55</v>
      </c>
      <c r="N56" s="302">
        <v>14.6666666666667</v>
      </c>
    </row>
    <row r="57" spans="1:15" s="20" customFormat="1" ht="15" customHeight="1" x14ac:dyDescent="0.2">
      <c r="A57" s="300">
        <v>4</v>
      </c>
      <c r="B57" s="318" t="s">
        <v>552</v>
      </c>
      <c r="C57" s="306" t="s">
        <v>552</v>
      </c>
      <c r="D57" s="306" t="s">
        <v>552</v>
      </c>
      <c r="E57" s="214"/>
      <c r="F57" s="300">
        <v>4</v>
      </c>
      <c r="G57" s="318" t="s">
        <v>552</v>
      </c>
      <c r="H57" s="306" t="s">
        <v>552</v>
      </c>
      <c r="I57" s="306" t="s">
        <v>552</v>
      </c>
      <c r="J57" s="214"/>
      <c r="K57" s="300">
        <v>4</v>
      </c>
      <c r="L57" s="318" t="s">
        <v>552</v>
      </c>
      <c r="M57" s="306" t="s">
        <v>552</v>
      </c>
      <c r="N57" s="306" t="s">
        <v>552</v>
      </c>
    </row>
    <row r="58" spans="1:15" s="20" customFormat="1" ht="15" customHeight="1" x14ac:dyDescent="0.2">
      <c r="A58" s="300">
        <v>5</v>
      </c>
      <c r="B58" s="318" t="s">
        <v>552</v>
      </c>
      <c r="C58" s="306" t="s">
        <v>552</v>
      </c>
      <c r="D58" s="306" t="s">
        <v>552</v>
      </c>
      <c r="E58" s="214"/>
      <c r="F58" s="300">
        <v>5</v>
      </c>
      <c r="G58" s="318" t="s">
        <v>552</v>
      </c>
      <c r="H58" s="306" t="s">
        <v>552</v>
      </c>
      <c r="I58" s="306" t="s">
        <v>552</v>
      </c>
      <c r="K58" s="300">
        <v>5</v>
      </c>
      <c r="L58" s="318" t="s">
        <v>552</v>
      </c>
      <c r="M58" s="306" t="s">
        <v>552</v>
      </c>
      <c r="N58" s="306" t="s">
        <v>552</v>
      </c>
    </row>
    <row r="59" spans="1:15" s="20" customFormat="1" ht="25.5" customHeight="1" x14ac:dyDescent="0.2">
      <c r="A59" s="303"/>
      <c r="B59" s="239" t="s">
        <v>514</v>
      </c>
      <c r="C59" s="304">
        <v>200</v>
      </c>
      <c r="D59" s="344" t="s">
        <v>70</v>
      </c>
      <c r="E59" s="305"/>
      <c r="F59" s="303"/>
      <c r="G59" s="239" t="s">
        <v>514</v>
      </c>
      <c r="H59" s="304">
        <v>175</v>
      </c>
      <c r="I59" s="344" t="s">
        <v>70</v>
      </c>
      <c r="J59" s="239"/>
      <c r="K59" s="303"/>
      <c r="L59" s="239" t="s">
        <v>514</v>
      </c>
      <c r="M59" s="304">
        <v>375</v>
      </c>
      <c r="N59" s="344" t="s">
        <v>70</v>
      </c>
    </row>
    <row r="60" spans="1:15" s="20" customFormat="1" ht="15" customHeight="1" x14ac:dyDescent="0.2">
      <c r="A60" s="20" t="s">
        <v>254</v>
      </c>
      <c r="B60" s="95"/>
      <c r="C60" s="86"/>
      <c r="D60" s="87"/>
      <c r="H60" s="95"/>
      <c r="I60" s="86"/>
      <c r="J60" s="87"/>
      <c r="M60" s="307"/>
      <c r="N60" s="308"/>
    </row>
    <row r="61" spans="1:15" s="20" customFormat="1" ht="15" customHeight="1" x14ac:dyDescent="0.2">
      <c r="A61" s="20" t="s">
        <v>622</v>
      </c>
      <c r="B61" s="95"/>
      <c r="C61" s="86"/>
      <c r="D61" s="87"/>
      <c r="H61" s="95"/>
      <c r="I61" s="86"/>
      <c r="J61" s="87"/>
      <c r="N61" s="245"/>
      <c r="O61" s="246"/>
    </row>
    <row r="62" spans="1:15" s="20" customFormat="1" ht="15" customHeight="1" x14ac:dyDescent="0.2">
      <c r="A62" s="95" t="s">
        <v>4</v>
      </c>
      <c r="B62" s="95"/>
      <c r="C62" s="86"/>
      <c r="D62" s="87"/>
      <c r="E62" s="87"/>
      <c r="F62" s="84"/>
      <c r="G62" s="95"/>
      <c r="H62" s="88"/>
      <c r="I62" s="89"/>
      <c r="J62" s="86"/>
      <c r="K62" s="84"/>
      <c r="L62" s="86"/>
      <c r="M62" s="246"/>
      <c r="N62" s="302"/>
    </row>
    <row r="63" spans="1:15" s="20" customFormat="1" ht="15" customHeight="1" x14ac:dyDescent="0.2">
      <c r="A63" s="95" t="s">
        <v>286</v>
      </c>
      <c r="B63" s="95"/>
      <c r="C63" s="95"/>
      <c r="D63" s="95"/>
      <c r="E63" s="95"/>
      <c r="F63" s="95"/>
      <c r="G63" s="95"/>
      <c r="H63" s="95"/>
      <c r="I63" s="95"/>
      <c r="J63" s="95"/>
      <c r="K63" s="95"/>
      <c r="L63" s="95"/>
      <c r="M63" s="95"/>
      <c r="N63" s="95"/>
    </row>
    <row r="64" spans="1:15" s="20" customFormat="1" ht="15" customHeight="1" x14ac:dyDescent="0.2">
      <c r="A64" s="95" t="s">
        <v>551</v>
      </c>
      <c r="B64" s="95"/>
      <c r="C64" s="95"/>
      <c r="D64" s="95"/>
      <c r="E64" s="95"/>
      <c r="F64" s="95"/>
      <c r="G64" s="95"/>
      <c r="H64" s="95"/>
      <c r="I64" s="95"/>
      <c r="J64" s="95"/>
      <c r="K64" s="95"/>
      <c r="L64" s="95"/>
      <c r="M64" s="95"/>
      <c r="N64" s="95"/>
    </row>
    <row r="65" spans="1:14" s="20" customFormat="1" ht="15" customHeight="1" x14ac:dyDescent="0.2">
      <c r="A65" s="20" t="s">
        <v>512</v>
      </c>
      <c r="B65" s="95"/>
      <c r="C65" s="95"/>
      <c r="D65" s="95"/>
      <c r="E65" s="95"/>
      <c r="F65" s="95"/>
      <c r="G65" s="95"/>
      <c r="H65" s="95"/>
      <c r="I65" s="95"/>
      <c r="J65" s="95"/>
      <c r="K65" s="95"/>
      <c r="L65" s="95"/>
      <c r="M65" s="307"/>
      <c r="N65" s="308"/>
    </row>
    <row r="66" spans="1:14" s="199" customFormat="1" ht="15" customHeight="1" x14ac:dyDescent="0.2">
      <c r="A66" s="95" t="s">
        <v>533</v>
      </c>
      <c r="B66" s="95"/>
      <c r="C66" s="95"/>
      <c r="D66" s="95"/>
      <c r="E66" s="95"/>
      <c r="F66" s="95"/>
      <c r="G66" s="95"/>
      <c r="H66" s="95"/>
      <c r="I66" s="95"/>
      <c r="J66" s="95"/>
      <c r="K66" s="95"/>
      <c r="L66" s="95"/>
      <c r="M66" s="95"/>
      <c r="N66" s="95"/>
    </row>
    <row r="67" spans="1:14" s="199" customFormat="1" ht="30" customHeight="1" x14ac:dyDescent="0.2">
      <c r="A67" s="611" t="s">
        <v>510</v>
      </c>
      <c r="B67" s="632"/>
      <c r="C67" s="632"/>
      <c r="D67" s="632"/>
      <c r="E67" s="632"/>
      <c r="F67" s="632"/>
      <c r="G67" s="632"/>
      <c r="H67" s="632"/>
      <c r="I67" s="632"/>
      <c r="J67" s="632"/>
      <c r="K67" s="632"/>
      <c r="L67" s="632"/>
      <c r="M67" s="632"/>
      <c r="N67" s="632"/>
    </row>
    <row r="68" spans="1:14" s="199" customFormat="1" ht="15" customHeight="1" x14ac:dyDescent="0.2">
      <c r="A68" s="95" t="s">
        <v>534</v>
      </c>
      <c r="B68" s="95"/>
      <c r="C68" s="95"/>
      <c r="D68" s="95"/>
      <c r="E68" s="95"/>
      <c r="F68" s="95"/>
      <c r="G68" s="95"/>
      <c r="H68" s="95"/>
      <c r="I68" s="95"/>
      <c r="J68" s="95"/>
      <c r="K68" s="95"/>
      <c r="L68" s="95"/>
      <c r="M68" s="20"/>
      <c r="N68" s="20"/>
    </row>
    <row r="69" spans="1:14" s="20" customFormat="1" ht="15" customHeight="1" x14ac:dyDescent="0.2">
      <c r="A69" s="218" t="s">
        <v>553</v>
      </c>
      <c r="B69" s="95"/>
      <c r="C69" s="86"/>
      <c r="D69" s="89"/>
      <c r="E69" s="96"/>
      <c r="F69" s="97"/>
      <c r="G69" s="95"/>
      <c r="H69" s="86"/>
      <c r="I69" s="89"/>
      <c r="J69" s="96"/>
      <c r="K69" s="97"/>
      <c r="L69" s="86"/>
    </row>
  </sheetData>
  <mergeCells count="4">
    <mergeCell ref="A3:D3"/>
    <mergeCell ref="F3:I3"/>
    <mergeCell ref="K3:N3"/>
    <mergeCell ref="A67:N67"/>
  </mergeCells>
  <hyperlinks>
    <hyperlink ref="A2" location="Contents!A1" display="Back to contents" xr:uid="{7122EAC0-F6BD-4AA6-8BBA-11E8C8D67519}"/>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9D787-1B33-4B6E-A32A-CE2837D69451}">
  <dimension ref="A1:T97"/>
  <sheetViews>
    <sheetView workbookViewId="0"/>
  </sheetViews>
  <sheetFormatPr defaultRowHeight="15" customHeight="1" x14ac:dyDescent="0.2"/>
  <cols>
    <col min="1" max="1" width="6.625" style="223" customWidth="1"/>
    <col min="2" max="2" width="27.625" style="223" customWidth="1"/>
    <col min="3" max="3" width="7.625" style="157" customWidth="1"/>
    <col min="4" max="4" width="6.625" style="157" customWidth="1"/>
    <col min="5" max="5" width="2.625" style="157" customWidth="1"/>
    <col min="6" max="6" width="27.625" style="223" customWidth="1"/>
    <col min="7" max="7" width="7.625" style="157" customWidth="1"/>
    <col min="8" max="8" width="6.625" style="157" customWidth="1"/>
    <col min="9" max="9" width="2.625" style="157" customWidth="1"/>
    <col min="10" max="10" width="27.625" style="223" customWidth="1"/>
    <col min="11" max="11" width="7.625" style="157" customWidth="1"/>
    <col min="12" max="12" width="6.625" style="157" customWidth="1"/>
    <col min="13" max="13" width="2.625" style="157" customWidth="1"/>
    <col min="14" max="14" width="27.625" style="223" customWidth="1"/>
    <col min="15" max="15" width="7.625" style="157" customWidth="1"/>
    <col min="16" max="16" width="6.625" style="157" customWidth="1"/>
    <col min="17" max="17" width="2.625" style="157" customWidth="1"/>
    <col min="18" max="18" width="27.625" style="223" customWidth="1"/>
    <col min="19" max="19" width="7.625" style="157" customWidth="1"/>
    <col min="20" max="20" width="6.625" style="157" customWidth="1"/>
    <col min="21" max="16384" width="9" style="157"/>
  </cols>
  <sheetData>
    <row r="1" spans="1:20" ht="15" customHeight="1" x14ac:dyDescent="0.25">
      <c r="A1" s="261" t="s">
        <v>618</v>
      </c>
      <c r="C1" s="152"/>
      <c r="D1" s="154"/>
      <c r="E1" s="154"/>
      <c r="G1" s="155"/>
      <c r="H1" s="154"/>
      <c r="I1" s="154"/>
      <c r="K1" s="155"/>
      <c r="L1" s="154"/>
    </row>
    <row r="2" spans="1:20" s="199" customFormat="1" ht="15" customHeight="1" x14ac:dyDescent="0.2">
      <c r="A2" s="500" t="s">
        <v>585</v>
      </c>
    </row>
    <row r="3" spans="1:20" ht="15" customHeight="1" x14ac:dyDescent="0.2">
      <c r="A3" s="224"/>
      <c r="B3" s="609" t="s">
        <v>599</v>
      </c>
      <c r="C3" s="609"/>
      <c r="D3" s="609"/>
      <c r="E3" s="225"/>
      <c r="F3" s="609" t="s">
        <v>261</v>
      </c>
      <c r="G3" s="609"/>
      <c r="H3" s="609"/>
      <c r="I3" s="225"/>
      <c r="J3" s="609" t="s">
        <v>262</v>
      </c>
      <c r="K3" s="609"/>
      <c r="L3" s="609"/>
      <c r="M3" s="159"/>
      <c r="N3" s="609" t="s">
        <v>263</v>
      </c>
      <c r="O3" s="609"/>
      <c r="P3" s="609"/>
      <c r="Q3" s="159"/>
      <c r="R3" s="609" t="s">
        <v>600</v>
      </c>
      <c r="S3" s="609"/>
      <c r="T3" s="609"/>
    </row>
    <row r="4" spans="1:20" ht="25.5" x14ac:dyDescent="0.2">
      <c r="A4" s="262" t="s">
        <v>39</v>
      </c>
      <c r="B4" s="262" t="s">
        <v>40</v>
      </c>
      <c r="C4" s="19" t="s">
        <v>41</v>
      </c>
      <c r="D4" s="127" t="s">
        <v>38</v>
      </c>
      <c r="E4" s="161"/>
      <c r="F4" s="262" t="s">
        <v>40</v>
      </c>
      <c r="G4" s="19" t="s">
        <v>41</v>
      </c>
      <c r="H4" s="127" t="s">
        <v>38</v>
      </c>
      <c r="I4" s="161"/>
      <c r="J4" s="262" t="s">
        <v>40</v>
      </c>
      <c r="K4" s="19" t="s">
        <v>41</v>
      </c>
      <c r="L4" s="127" t="s">
        <v>38</v>
      </c>
      <c r="M4" s="161"/>
      <c r="N4" s="262" t="s">
        <v>40</v>
      </c>
      <c r="O4" s="19" t="s">
        <v>41</v>
      </c>
      <c r="P4" s="127" t="s">
        <v>38</v>
      </c>
      <c r="Q4" s="161"/>
      <c r="R4" s="262" t="s">
        <v>40</v>
      </c>
      <c r="S4" s="19" t="s">
        <v>41</v>
      </c>
      <c r="T4" s="127" t="s">
        <v>38</v>
      </c>
    </row>
    <row r="5" spans="1:20" ht="15" customHeight="1" x14ac:dyDescent="0.2">
      <c r="A5" s="636" t="s">
        <v>327</v>
      </c>
      <c r="B5" s="637"/>
      <c r="C5" s="113"/>
      <c r="D5" s="104"/>
      <c r="E5" s="163"/>
      <c r="F5" s="228"/>
      <c r="G5" s="113"/>
      <c r="H5" s="104"/>
      <c r="I5" s="163"/>
      <c r="J5" s="228"/>
      <c r="K5" s="113"/>
      <c r="L5" s="104"/>
      <c r="M5" s="163"/>
      <c r="N5" s="228"/>
      <c r="O5" s="113"/>
      <c r="P5" s="104"/>
      <c r="Q5" s="163"/>
      <c r="R5" s="228"/>
      <c r="S5" s="113"/>
      <c r="T5" s="104"/>
    </row>
    <row r="6" spans="1:20" s="265" customFormat="1" ht="15" customHeight="1" x14ac:dyDescent="0.2">
      <c r="A6" s="264">
        <v>1</v>
      </c>
      <c r="B6" s="230" t="s">
        <v>315</v>
      </c>
      <c r="C6" s="231">
        <v>29384</v>
      </c>
      <c r="D6" s="232">
        <v>21.153569268868601</v>
      </c>
      <c r="E6" s="232"/>
      <c r="F6" s="230" t="s">
        <v>315</v>
      </c>
      <c r="G6" s="231">
        <v>25220</v>
      </c>
      <c r="H6" s="232">
        <v>20.320028361022899</v>
      </c>
      <c r="I6" s="232"/>
      <c r="J6" s="230" t="s">
        <v>315</v>
      </c>
      <c r="K6" s="231">
        <v>19845</v>
      </c>
      <c r="L6" s="232">
        <v>19.727424549683899</v>
      </c>
      <c r="M6" s="233"/>
      <c r="N6" s="230" t="s">
        <v>315</v>
      </c>
      <c r="O6" s="234">
        <v>18319</v>
      </c>
      <c r="P6" s="233">
        <v>19.523190382811801</v>
      </c>
      <c r="Q6" s="233"/>
      <c r="R6" s="230" t="s">
        <v>454</v>
      </c>
      <c r="S6" s="234">
        <v>17580</v>
      </c>
      <c r="T6" s="233">
        <v>20.348164266864199</v>
      </c>
    </row>
    <row r="7" spans="1:20" s="265" customFormat="1" ht="25.5" x14ac:dyDescent="0.2">
      <c r="A7" s="264">
        <v>2</v>
      </c>
      <c r="B7" s="230" t="s">
        <v>454</v>
      </c>
      <c r="C7" s="231">
        <v>20995</v>
      </c>
      <c r="D7" s="232">
        <v>15.1143202695309</v>
      </c>
      <c r="E7" s="232"/>
      <c r="F7" s="230" t="s">
        <v>454</v>
      </c>
      <c r="G7" s="231">
        <v>19902</v>
      </c>
      <c r="H7" s="232">
        <v>16.035257908052301</v>
      </c>
      <c r="I7" s="232"/>
      <c r="J7" s="230" t="s">
        <v>454</v>
      </c>
      <c r="K7" s="231">
        <v>17894</v>
      </c>
      <c r="L7" s="232">
        <v>17.787983617638901</v>
      </c>
      <c r="M7" s="233"/>
      <c r="N7" s="230" t="s">
        <v>454</v>
      </c>
      <c r="O7" s="234">
        <v>17932</v>
      </c>
      <c r="P7" s="233">
        <v>19.110751129678601</v>
      </c>
      <c r="Q7" s="233"/>
      <c r="R7" s="230" t="s">
        <v>315</v>
      </c>
      <c r="S7" s="234">
        <v>15972</v>
      </c>
      <c r="T7" s="233">
        <v>18.486966989212501</v>
      </c>
    </row>
    <row r="8" spans="1:20" s="265" customFormat="1" ht="15" customHeight="1" x14ac:dyDescent="0.2">
      <c r="A8" s="264">
        <v>3</v>
      </c>
      <c r="B8" s="230" t="s">
        <v>320</v>
      </c>
      <c r="C8" s="231">
        <v>18847</v>
      </c>
      <c r="D8" s="232">
        <v>13.567973046908699</v>
      </c>
      <c r="E8" s="232"/>
      <c r="F8" s="230" t="s">
        <v>320</v>
      </c>
      <c r="G8" s="231">
        <v>15915</v>
      </c>
      <c r="H8" s="232">
        <v>12.8228886346423</v>
      </c>
      <c r="I8" s="232"/>
      <c r="J8" s="230" t="s">
        <v>320</v>
      </c>
      <c r="K8" s="231">
        <v>12323</v>
      </c>
      <c r="L8" s="232">
        <v>12.249990059246899</v>
      </c>
      <c r="M8" s="233"/>
      <c r="N8" s="230" t="s">
        <v>320</v>
      </c>
      <c r="O8" s="234">
        <v>11519</v>
      </c>
      <c r="P8" s="233">
        <v>12.276195754113701</v>
      </c>
      <c r="Q8" s="233"/>
      <c r="R8" s="230" t="s">
        <v>120</v>
      </c>
      <c r="S8" s="234">
        <v>10614</v>
      </c>
      <c r="T8" s="233">
        <v>12.2852909856938</v>
      </c>
    </row>
    <row r="9" spans="1:20" s="265" customFormat="1" ht="15" customHeight="1" x14ac:dyDescent="0.2">
      <c r="A9" s="264">
        <v>4</v>
      </c>
      <c r="B9" s="230" t="s">
        <v>117</v>
      </c>
      <c r="C9" s="231">
        <v>18586</v>
      </c>
      <c r="D9" s="232">
        <v>13.3800789011432</v>
      </c>
      <c r="E9" s="232"/>
      <c r="F9" s="230" t="s">
        <v>117</v>
      </c>
      <c r="G9" s="231">
        <v>14860</v>
      </c>
      <c r="H9" s="232">
        <v>11.9728636576051</v>
      </c>
      <c r="I9" s="232"/>
      <c r="J9" s="230" t="s">
        <v>120</v>
      </c>
      <c r="K9" s="231">
        <v>11198</v>
      </c>
      <c r="L9" s="232">
        <v>11.1316553342081</v>
      </c>
      <c r="M9" s="233"/>
      <c r="N9" s="230" t="s">
        <v>120</v>
      </c>
      <c r="O9" s="234">
        <v>10800</v>
      </c>
      <c r="P9" s="233">
        <v>11.509932645579299</v>
      </c>
      <c r="Q9" s="233"/>
      <c r="R9" s="230" t="s">
        <v>320</v>
      </c>
      <c r="S9" s="234">
        <v>9765</v>
      </c>
      <c r="T9" s="233">
        <v>11.3026066021575</v>
      </c>
    </row>
    <row r="10" spans="1:20" s="265" customFormat="1" ht="15" customHeight="1" x14ac:dyDescent="0.2">
      <c r="A10" s="264">
        <v>5</v>
      </c>
      <c r="B10" s="230" t="s">
        <v>322</v>
      </c>
      <c r="C10" s="231">
        <v>17683</v>
      </c>
      <c r="D10" s="232">
        <v>12.7300083508509</v>
      </c>
      <c r="E10" s="232"/>
      <c r="F10" s="230" t="s">
        <v>308</v>
      </c>
      <c r="G10" s="231">
        <v>14205</v>
      </c>
      <c r="H10" s="232">
        <v>11.4451230320512</v>
      </c>
      <c r="I10" s="232"/>
      <c r="J10" s="230" t="s">
        <v>117</v>
      </c>
      <c r="K10" s="231">
        <v>10999</v>
      </c>
      <c r="L10" s="232">
        <v>10.933834347290199</v>
      </c>
      <c r="M10" s="233"/>
      <c r="N10" s="230" t="s">
        <v>308</v>
      </c>
      <c r="O10" s="234">
        <v>10063</v>
      </c>
      <c r="P10" s="233">
        <v>10.724486315968999</v>
      </c>
      <c r="Q10" s="233"/>
      <c r="R10" s="230" t="s">
        <v>308</v>
      </c>
      <c r="S10" s="234">
        <v>8733</v>
      </c>
      <c r="T10" s="233">
        <v>10.1081068567989</v>
      </c>
    </row>
    <row r="11" spans="1:20" s="265" customFormat="1" ht="15" customHeight="1" x14ac:dyDescent="0.2">
      <c r="A11" s="264">
        <v>6</v>
      </c>
      <c r="B11" s="230" t="s">
        <v>308</v>
      </c>
      <c r="C11" s="231">
        <v>16818</v>
      </c>
      <c r="D11" s="232">
        <v>12.107294036340599</v>
      </c>
      <c r="E11" s="232"/>
      <c r="F11" s="230" t="s">
        <v>322</v>
      </c>
      <c r="G11" s="231">
        <v>13720</v>
      </c>
      <c r="H11" s="232">
        <v>11.0543532558777</v>
      </c>
      <c r="I11" s="232"/>
      <c r="J11" s="230" t="s">
        <v>308</v>
      </c>
      <c r="K11" s="231">
        <v>10803</v>
      </c>
      <c r="L11" s="232">
        <v>10.738995586305601</v>
      </c>
      <c r="M11" s="233"/>
      <c r="N11" s="230" t="s">
        <v>117</v>
      </c>
      <c r="O11" s="234">
        <v>9862</v>
      </c>
      <c r="P11" s="233">
        <v>10.510273680620701</v>
      </c>
      <c r="Q11" s="233"/>
      <c r="R11" s="230" t="s">
        <v>301</v>
      </c>
      <c r="S11" s="234">
        <v>8660</v>
      </c>
      <c r="T11" s="233">
        <v>10.0236122042687</v>
      </c>
    </row>
    <row r="12" spans="1:20" s="265" customFormat="1" ht="15" customHeight="1" x14ac:dyDescent="0.2">
      <c r="A12" s="264">
        <v>7</v>
      </c>
      <c r="B12" s="230" t="s">
        <v>120</v>
      </c>
      <c r="C12" s="231">
        <v>15039</v>
      </c>
      <c r="D12" s="232">
        <v>10.826590261180099</v>
      </c>
      <c r="E12" s="232"/>
      <c r="F12" s="230" t="s">
        <v>120</v>
      </c>
      <c r="G12" s="231">
        <v>13655</v>
      </c>
      <c r="H12" s="232">
        <v>11.001982048761599</v>
      </c>
      <c r="I12" s="232"/>
      <c r="J12" s="230" t="s">
        <v>301</v>
      </c>
      <c r="K12" s="231">
        <v>9402</v>
      </c>
      <c r="L12" s="232">
        <v>9.3462960753906703</v>
      </c>
      <c r="M12" s="233"/>
      <c r="N12" s="230" t="s">
        <v>301</v>
      </c>
      <c r="O12" s="234">
        <v>9047</v>
      </c>
      <c r="P12" s="233">
        <v>9.6417000596811402</v>
      </c>
      <c r="Q12" s="233"/>
      <c r="R12" s="230" t="s">
        <v>292</v>
      </c>
      <c r="S12" s="234">
        <v>8352</v>
      </c>
      <c r="T12" s="233">
        <v>9.66711421825085</v>
      </c>
    </row>
    <row r="13" spans="1:20" s="265" customFormat="1" ht="15" customHeight="1" x14ac:dyDescent="0.2">
      <c r="A13" s="264">
        <v>8</v>
      </c>
      <c r="B13" s="230" t="s">
        <v>292</v>
      </c>
      <c r="C13" s="231">
        <v>12949</v>
      </c>
      <c r="D13" s="232">
        <v>9.3219972931724602</v>
      </c>
      <c r="E13" s="232"/>
      <c r="F13" s="230" t="s">
        <v>292</v>
      </c>
      <c r="G13" s="231">
        <v>12104</v>
      </c>
      <c r="H13" s="232">
        <v>9.7523244758850804</v>
      </c>
      <c r="I13" s="232"/>
      <c r="J13" s="230" t="s">
        <v>322</v>
      </c>
      <c r="K13" s="231">
        <v>9263</v>
      </c>
      <c r="L13" s="232">
        <v>9.2081196071414393</v>
      </c>
      <c r="M13" s="233"/>
      <c r="N13" s="230" t="s">
        <v>292</v>
      </c>
      <c r="O13" s="234">
        <v>8974</v>
      </c>
      <c r="P13" s="233">
        <v>9.5639014408730496</v>
      </c>
      <c r="Q13" s="233"/>
      <c r="R13" s="230" t="s">
        <v>117</v>
      </c>
      <c r="S13" s="234">
        <v>7794</v>
      </c>
      <c r="T13" s="233">
        <v>9.0212509838418509</v>
      </c>
    </row>
    <row r="14" spans="1:20" s="265" customFormat="1" ht="15" customHeight="1" x14ac:dyDescent="0.2">
      <c r="A14" s="264">
        <v>9</v>
      </c>
      <c r="B14" s="230" t="s">
        <v>301</v>
      </c>
      <c r="C14" s="231">
        <v>12932</v>
      </c>
      <c r="D14" s="232">
        <v>9.3097589771647407</v>
      </c>
      <c r="E14" s="232"/>
      <c r="F14" s="230" t="s">
        <v>301</v>
      </c>
      <c r="G14" s="231">
        <v>11580</v>
      </c>
      <c r="H14" s="232">
        <v>9.3301319754419403</v>
      </c>
      <c r="I14" s="232"/>
      <c r="J14" s="230" t="s">
        <v>292</v>
      </c>
      <c r="K14" s="231">
        <v>9173</v>
      </c>
      <c r="L14" s="232">
        <v>9.1186528291383393</v>
      </c>
      <c r="M14" s="233"/>
      <c r="N14" s="230" t="s">
        <v>322</v>
      </c>
      <c r="O14" s="234">
        <v>7534</v>
      </c>
      <c r="P14" s="233">
        <v>8.0292437547958109</v>
      </c>
      <c r="Q14" s="233"/>
      <c r="R14" s="230" t="s">
        <v>317</v>
      </c>
      <c r="S14" s="234">
        <v>6313</v>
      </c>
      <c r="T14" s="233">
        <v>7.3070512523728004</v>
      </c>
    </row>
    <row r="15" spans="1:20" s="265" customFormat="1" ht="15" customHeight="1" x14ac:dyDescent="0.2">
      <c r="A15" s="264">
        <v>10</v>
      </c>
      <c r="B15" s="230" t="s">
        <v>319</v>
      </c>
      <c r="C15" s="231">
        <v>10635</v>
      </c>
      <c r="D15" s="232">
        <v>7.6561465142396399</v>
      </c>
      <c r="E15" s="232"/>
      <c r="F15" s="230" t="s">
        <v>317</v>
      </c>
      <c r="G15" s="231">
        <v>9764</v>
      </c>
      <c r="H15" s="232">
        <v>7.8669610197076896</v>
      </c>
      <c r="I15" s="232"/>
      <c r="J15" s="230" t="s">
        <v>317</v>
      </c>
      <c r="K15" s="231">
        <v>7170</v>
      </c>
      <c r="L15" s="232">
        <v>7.1275199809137604</v>
      </c>
      <c r="M15" s="233"/>
      <c r="N15" s="230" t="s">
        <v>317</v>
      </c>
      <c r="O15" s="234">
        <v>7006</v>
      </c>
      <c r="P15" s="233">
        <v>7.4665359365674799</v>
      </c>
      <c r="Q15" s="233"/>
      <c r="R15" s="230" t="s">
        <v>319</v>
      </c>
      <c r="S15" s="234">
        <v>6041</v>
      </c>
      <c r="T15" s="233">
        <v>6.9922218621232499</v>
      </c>
    </row>
    <row r="16" spans="1:20" s="265" customFormat="1" ht="15" customHeight="1" x14ac:dyDescent="0.2">
      <c r="A16" s="264">
        <v>11</v>
      </c>
      <c r="B16" s="230" t="s">
        <v>317</v>
      </c>
      <c r="C16" s="231">
        <v>10506</v>
      </c>
      <c r="D16" s="232">
        <v>7.5632792927693204</v>
      </c>
      <c r="E16" s="232"/>
      <c r="F16" s="230" t="s">
        <v>319</v>
      </c>
      <c r="G16" s="231">
        <v>9182</v>
      </c>
      <c r="H16" s="232">
        <v>7.39803728829947</v>
      </c>
      <c r="I16" s="232"/>
      <c r="J16" s="230" t="s">
        <v>319</v>
      </c>
      <c r="K16" s="231">
        <v>7140</v>
      </c>
      <c r="L16" s="232">
        <v>7.0976977215793902</v>
      </c>
      <c r="M16" s="233"/>
      <c r="N16" s="230" t="s">
        <v>319</v>
      </c>
      <c r="O16" s="234">
        <v>6842</v>
      </c>
      <c r="P16" s="233">
        <v>7.2917554778753502</v>
      </c>
      <c r="Q16" s="233"/>
      <c r="R16" s="230" t="s">
        <v>310</v>
      </c>
      <c r="S16" s="234">
        <v>5923</v>
      </c>
      <c r="T16" s="233">
        <v>6.8556414648826403</v>
      </c>
    </row>
    <row r="17" spans="1:20" s="265" customFormat="1" ht="15" customHeight="1" x14ac:dyDescent="0.2">
      <c r="A17" s="264">
        <v>12</v>
      </c>
      <c r="B17" s="230" t="s">
        <v>296</v>
      </c>
      <c r="C17" s="231">
        <v>9490</v>
      </c>
      <c r="D17" s="232">
        <v>6.8318599360728003</v>
      </c>
      <c r="E17" s="232"/>
      <c r="F17" s="230" t="s">
        <v>310</v>
      </c>
      <c r="G17" s="231">
        <v>8415</v>
      </c>
      <c r="H17" s="232">
        <v>6.7800570443302099</v>
      </c>
      <c r="I17" s="232"/>
      <c r="J17" s="230" t="s">
        <v>296</v>
      </c>
      <c r="K17" s="231">
        <v>6227</v>
      </c>
      <c r="L17" s="232">
        <v>6.1901069625034797</v>
      </c>
      <c r="M17" s="233"/>
      <c r="N17" s="230" t="s">
        <v>310</v>
      </c>
      <c r="O17" s="234">
        <v>6243</v>
      </c>
      <c r="P17" s="233">
        <v>6.6533805098473904</v>
      </c>
      <c r="Q17" s="233"/>
      <c r="R17" s="230" t="s">
        <v>302</v>
      </c>
      <c r="S17" s="234">
        <v>5904</v>
      </c>
      <c r="T17" s="233">
        <v>6.83364970600491</v>
      </c>
    </row>
    <row r="18" spans="1:20" s="265" customFormat="1" ht="15" customHeight="1" x14ac:dyDescent="0.2">
      <c r="A18" s="264">
        <v>13</v>
      </c>
      <c r="B18" s="230" t="s">
        <v>307</v>
      </c>
      <c r="C18" s="231">
        <v>9113</v>
      </c>
      <c r="D18" s="232">
        <v>6.5604572810781301</v>
      </c>
      <c r="E18" s="232"/>
      <c r="F18" s="230" t="s">
        <v>307</v>
      </c>
      <c r="G18" s="231">
        <v>8184</v>
      </c>
      <c r="H18" s="232">
        <v>6.5939378313486001</v>
      </c>
      <c r="I18" s="232"/>
      <c r="J18" s="230" t="s">
        <v>307</v>
      </c>
      <c r="K18" s="231">
        <v>6213</v>
      </c>
      <c r="L18" s="232">
        <v>6.1761899081474398</v>
      </c>
      <c r="M18" s="233"/>
      <c r="N18" s="230" t="s">
        <v>296</v>
      </c>
      <c r="O18" s="234">
        <v>5824</v>
      </c>
      <c r="P18" s="233">
        <v>6.2068377525790801</v>
      </c>
      <c r="Q18" s="233"/>
      <c r="R18" s="230" t="s">
        <v>322</v>
      </c>
      <c r="S18" s="234">
        <v>5572</v>
      </c>
      <c r="T18" s="233">
        <v>6.4493726561414899</v>
      </c>
    </row>
    <row r="19" spans="1:20" s="265" customFormat="1" ht="15" customHeight="1" x14ac:dyDescent="0.2">
      <c r="A19" s="264">
        <v>14</v>
      </c>
      <c r="B19" s="230" t="s">
        <v>306</v>
      </c>
      <c r="C19" s="231">
        <v>8940</v>
      </c>
      <c r="D19" s="232">
        <v>6.4359144181760604</v>
      </c>
      <c r="E19" s="232"/>
      <c r="F19" s="230" t="s">
        <v>296</v>
      </c>
      <c r="G19" s="231">
        <v>8137</v>
      </c>
      <c r="H19" s="232">
        <v>6.5560694200493099</v>
      </c>
      <c r="I19" s="232"/>
      <c r="J19" s="230" t="s">
        <v>310</v>
      </c>
      <c r="K19" s="231">
        <v>6085</v>
      </c>
      <c r="L19" s="232">
        <v>6.0489482683208102</v>
      </c>
      <c r="M19" s="233"/>
      <c r="N19" s="230" t="s">
        <v>302</v>
      </c>
      <c r="O19" s="234">
        <v>5797</v>
      </c>
      <c r="P19" s="233">
        <v>6.1780629209651297</v>
      </c>
      <c r="Q19" s="233"/>
      <c r="R19" s="230" t="s">
        <v>296</v>
      </c>
      <c r="S19" s="234">
        <v>5273</v>
      </c>
      <c r="T19" s="233">
        <v>6.1032918190657002</v>
      </c>
    </row>
    <row r="20" spans="1:20" s="265" customFormat="1" ht="15" customHeight="1" x14ac:dyDescent="0.2">
      <c r="A20" s="264">
        <v>15</v>
      </c>
      <c r="B20" s="230" t="s">
        <v>310</v>
      </c>
      <c r="C20" s="231">
        <v>8242</v>
      </c>
      <c r="D20" s="232">
        <v>5.9334235609180199</v>
      </c>
      <c r="E20" s="232"/>
      <c r="F20" s="230" t="s">
        <v>306</v>
      </c>
      <c r="G20" s="231">
        <v>7515</v>
      </c>
      <c r="H20" s="232">
        <v>6.0549172534927598</v>
      </c>
      <c r="I20" s="232"/>
      <c r="J20" s="230" t="s">
        <v>306</v>
      </c>
      <c r="K20" s="231">
        <v>5455</v>
      </c>
      <c r="L20" s="232">
        <v>5.4226808222990996</v>
      </c>
      <c r="M20" s="233"/>
      <c r="N20" s="230" t="s">
        <v>307</v>
      </c>
      <c r="O20" s="234">
        <v>5752</v>
      </c>
      <c r="P20" s="233">
        <v>6.1301048682752199</v>
      </c>
      <c r="Q20" s="233"/>
      <c r="R20" s="230" t="s">
        <v>307</v>
      </c>
      <c r="S20" s="234">
        <v>4975</v>
      </c>
      <c r="T20" s="233">
        <v>5.7583684429834703</v>
      </c>
    </row>
    <row r="21" spans="1:20" s="265" customFormat="1" ht="15" customHeight="1" x14ac:dyDescent="0.2">
      <c r="A21" s="264">
        <v>16</v>
      </c>
      <c r="B21" s="230" t="s">
        <v>297</v>
      </c>
      <c r="C21" s="231">
        <v>6549</v>
      </c>
      <c r="D21" s="232">
        <v>4.7146312667377002</v>
      </c>
      <c r="E21" s="232"/>
      <c r="F21" s="230" t="s">
        <v>297</v>
      </c>
      <c r="G21" s="231">
        <v>5834</v>
      </c>
      <c r="H21" s="232">
        <v>4.7005172663841304</v>
      </c>
      <c r="I21" s="232"/>
      <c r="J21" s="230" t="s">
        <v>302</v>
      </c>
      <c r="K21" s="231">
        <v>5071</v>
      </c>
      <c r="L21" s="232">
        <v>5.0409559028192001</v>
      </c>
      <c r="M21" s="233"/>
      <c r="N21" s="230" t="s">
        <v>299</v>
      </c>
      <c r="O21" s="234">
        <v>4489</v>
      </c>
      <c r="P21" s="233">
        <v>4.7840821894449697</v>
      </c>
      <c r="Q21" s="233"/>
      <c r="R21" s="230" t="s">
        <v>299</v>
      </c>
      <c r="S21" s="234">
        <v>4176</v>
      </c>
      <c r="T21" s="233">
        <v>4.8335571091254197</v>
      </c>
    </row>
    <row r="22" spans="1:20" s="265" customFormat="1" ht="15" customHeight="1" x14ac:dyDescent="0.2">
      <c r="A22" s="264">
        <v>17</v>
      </c>
      <c r="B22" s="230" t="s">
        <v>302</v>
      </c>
      <c r="C22" s="231">
        <v>6442</v>
      </c>
      <c r="D22" s="232">
        <v>4.6376018659832399</v>
      </c>
      <c r="E22" s="232"/>
      <c r="F22" s="230" t="s">
        <v>302</v>
      </c>
      <c r="G22" s="231">
        <v>5728</v>
      </c>
      <c r="H22" s="232">
        <v>4.6151119132410496</v>
      </c>
      <c r="I22" s="232"/>
      <c r="J22" s="230" t="s">
        <v>297</v>
      </c>
      <c r="K22" s="231">
        <v>4264</v>
      </c>
      <c r="L22" s="232">
        <v>4.23873712672472</v>
      </c>
      <c r="M22" s="233"/>
      <c r="N22" s="230" t="s">
        <v>306</v>
      </c>
      <c r="O22" s="234">
        <v>4432</v>
      </c>
      <c r="P22" s="233">
        <v>4.7233353227044104</v>
      </c>
      <c r="Q22" s="233"/>
      <c r="R22" s="230" t="s">
        <v>306</v>
      </c>
      <c r="S22" s="234">
        <v>3723</v>
      </c>
      <c r="T22" s="233">
        <v>4.3092272790406998</v>
      </c>
    </row>
    <row r="23" spans="1:20" s="265" customFormat="1" ht="15" customHeight="1" x14ac:dyDescent="0.2">
      <c r="A23" s="264">
        <v>18</v>
      </c>
      <c r="B23" s="230" t="s">
        <v>287</v>
      </c>
      <c r="C23" s="231">
        <v>5670</v>
      </c>
      <c r="D23" s="232">
        <v>4.0818383390445501</v>
      </c>
      <c r="E23" s="232"/>
      <c r="F23" s="230" t="s">
        <v>293</v>
      </c>
      <c r="G23" s="231">
        <v>5110</v>
      </c>
      <c r="H23" s="232">
        <v>4.11718259019933</v>
      </c>
      <c r="I23" s="232"/>
      <c r="J23" s="230" t="s">
        <v>299</v>
      </c>
      <c r="K23" s="231">
        <v>4201</v>
      </c>
      <c r="L23" s="232">
        <v>4.17611038212255</v>
      </c>
      <c r="M23" s="233"/>
      <c r="N23" s="230" t="s">
        <v>321</v>
      </c>
      <c r="O23" s="234">
        <v>3852</v>
      </c>
      <c r="P23" s="233">
        <v>4.1052093102566296</v>
      </c>
      <c r="Q23" s="233"/>
      <c r="R23" s="230" t="s">
        <v>321</v>
      </c>
      <c r="S23" s="234">
        <v>3563</v>
      </c>
      <c r="T23" s="233">
        <v>4.1240335200703697</v>
      </c>
    </row>
    <row r="24" spans="1:20" s="265" customFormat="1" ht="15" customHeight="1" x14ac:dyDescent="0.2">
      <c r="A24" s="264">
        <v>19</v>
      </c>
      <c r="B24" s="230" t="s">
        <v>293</v>
      </c>
      <c r="C24" s="231">
        <v>5470</v>
      </c>
      <c r="D24" s="232">
        <v>3.9378581507184598</v>
      </c>
      <c r="E24" s="232"/>
      <c r="F24" s="230" t="s">
        <v>299</v>
      </c>
      <c r="G24" s="231">
        <v>4956</v>
      </c>
      <c r="H24" s="232">
        <v>3.9931031148782599</v>
      </c>
      <c r="I24" s="232"/>
      <c r="J24" s="230" t="s">
        <v>293</v>
      </c>
      <c r="K24" s="231">
        <v>3818</v>
      </c>
      <c r="L24" s="232">
        <v>3.7953795379537998</v>
      </c>
      <c r="M24" s="233"/>
      <c r="N24" s="230" t="s">
        <v>297</v>
      </c>
      <c r="O24" s="234">
        <v>3585</v>
      </c>
      <c r="P24" s="233">
        <v>3.8206581976298102</v>
      </c>
      <c r="Q24" s="233"/>
      <c r="R24" s="230" t="s">
        <v>297</v>
      </c>
      <c r="S24" s="234">
        <v>3227</v>
      </c>
      <c r="T24" s="233">
        <v>3.7351266262327001</v>
      </c>
    </row>
    <row r="25" spans="1:20" s="265" customFormat="1" ht="15" customHeight="1" x14ac:dyDescent="0.2">
      <c r="A25" s="266">
        <v>20</v>
      </c>
      <c r="B25" s="251" t="s">
        <v>312</v>
      </c>
      <c r="C25" s="252">
        <v>5293</v>
      </c>
      <c r="D25" s="253">
        <v>3.8104356840498799</v>
      </c>
      <c r="E25" s="253"/>
      <c r="F25" s="251" t="s">
        <v>323</v>
      </c>
      <c r="G25" s="252">
        <v>4692</v>
      </c>
      <c r="H25" s="253">
        <v>3.7803954428992701</v>
      </c>
      <c r="I25" s="253"/>
      <c r="J25" s="251" t="s">
        <v>321</v>
      </c>
      <c r="K25" s="252">
        <v>3682</v>
      </c>
      <c r="L25" s="253">
        <v>3.6601852956380001</v>
      </c>
      <c r="M25" s="254"/>
      <c r="N25" s="251" t="s">
        <v>293</v>
      </c>
      <c r="O25" s="255">
        <v>3573</v>
      </c>
      <c r="P25" s="254">
        <v>3.8078693835791602</v>
      </c>
      <c r="Q25" s="254"/>
      <c r="R25" s="251" t="s">
        <v>293</v>
      </c>
      <c r="S25" s="255">
        <v>3153</v>
      </c>
      <c r="T25" s="254">
        <v>3.6494745127089199</v>
      </c>
    </row>
    <row r="26" spans="1:20" s="267" customFormat="1" ht="15" customHeight="1" x14ac:dyDescent="0.2">
      <c r="A26" s="633" t="s">
        <v>339</v>
      </c>
      <c r="B26" s="634"/>
      <c r="C26" s="23"/>
      <c r="D26" s="24"/>
      <c r="E26" s="242"/>
      <c r="F26" s="243"/>
      <c r="G26" s="23"/>
      <c r="H26" s="24"/>
      <c r="I26" s="242"/>
      <c r="J26" s="243"/>
      <c r="K26" s="23"/>
      <c r="L26" s="24"/>
      <c r="M26" s="242"/>
      <c r="N26" s="243"/>
      <c r="O26" s="23"/>
      <c r="P26" s="24"/>
      <c r="Q26" s="242"/>
      <c r="R26" s="243"/>
      <c r="S26" s="23"/>
      <c r="T26" s="24"/>
    </row>
    <row r="27" spans="1:20" s="265" customFormat="1" ht="25.5" x14ac:dyDescent="0.2">
      <c r="A27" s="264">
        <v>1</v>
      </c>
      <c r="B27" s="230" t="s">
        <v>315</v>
      </c>
      <c r="C27" s="231">
        <v>14226</v>
      </c>
      <c r="D27" s="232">
        <v>10.241310795634501</v>
      </c>
      <c r="E27" s="232"/>
      <c r="F27" s="230" t="s">
        <v>315</v>
      </c>
      <c r="G27" s="231">
        <v>12123</v>
      </c>
      <c r="H27" s="232">
        <v>9.7676329825805297</v>
      </c>
      <c r="I27" s="232"/>
      <c r="J27" s="230" t="s">
        <v>315</v>
      </c>
      <c r="K27" s="231">
        <v>9847</v>
      </c>
      <c r="L27" s="232">
        <v>9.7886595888504502</v>
      </c>
      <c r="M27" s="233"/>
      <c r="N27" s="230" t="s">
        <v>454</v>
      </c>
      <c r="O27" s="234">
        <v>9871</v>
      </c>
      <c r="P27" s="233">
        <v>10.5198652911587</v>
      </c>
      <c r="Q27" s="233"/>
      <c r="R27" s="230" t="s">
        <v>454</v>
      </c>
      <c r="S27" s="234">
        <v>9418</v>
      </c>
      <c r="T27" s="233">
        <v>10.9009676373906</v>
      </c>
    </row>
    <row r="28" spans="1:20" s="265" customFormat="1" ht="25.5" x14ac:dyDescent="0.2">
      <c r="A28" s="264">
        <v>2</v>
      </c>
      <c r="B28" s="230" t="s">
        <v>454</v>
      </c>
      <c r="C28" s="231">
        <v>10606</v>
      </c>
      <c r="D28" s="232">
        <v>7.63526938693236</v>
      </c>
      <c r="E28" s="232"/>
      <c r="F28" s="230" t="s">
        <v>454</v>
      </c>
      <c r="G28" s="231">
        <v>10357</v>
      </c>
      <c r="H28" s="232">
        <v>8.3447475707816992</v>
      </c>
      <c r="I28" s="232"/>
      <c r="J28" s="230" t="s">
        <v>454</v>
      </c>
      <c r="K28" s="231">
        <v>9478</v>
      </c>
      <c r="L28" s="232">
        <v>9.4218457990377402</v>
      </c>
      <c r="M28" s="233"/>
      <c r="N28" s="230" t="s">
        <v>315</v>
      </c>
      <c r="O28" s="234">
        <v>8883</v>
      </c>
      <c r="P28" s="233">
        <v>9.4669196009889998</v>
      </c>
      <c r="Q28" s="233"/>
      <c r="R28" s="230" t="s">
        <v>315</v>
      </c>
      <c r="S28" s="234">
        <v>7820</v>
      </c>
      <c r="T28" s="233">
        <v>9.0513449696745205</v>
      </c>
    </row>
    <row r="29" spans="1:20" s="265" customFormat="1" ht="15" customHeight="1" x14ac:dyDescent="0.2">
      <c r="A29" s="264">
        <v>3</v>
      </c>
      <c r="B29" s="230" t="s">
        <v>306</v>
      </c>
      <c r="C29" s="231">
        <v>7919</v>
      </c>
      <c r="D29" s="232">
        <v>5.7008955567713899</v>
      </c>
      <c r="E29" s="232"/>
      <c r="F29" s="230" t="s">
        <v>306</v>
      </c>
      <c r="G29" s="231">
        <v>6670</v>
      </c>
      <c r="H29" s="232">
        <v>5.3740915609842599</v>
      </c>
      <c r="I29" s="232"/>
      <c r="J29" s="230" t="s">
        <v>120</v>
      </c>
      <c r="K29" s="231">
        <v>5275</v>
      </c>
      <c r="L29" s="232">
        <v>5.2437472662928997</v>
      </c>
      <c r="M29" s="233"/>
      <c r="N29" s="230" t="s">
        <v>120</v>
      </c>
      <c r="O29" s="234">
        <v>5085</v>
      </c>
      <c r="P29" s="233">
        <v>5.4192599539602702</v>
      </c>
      <c r="Q29" s="233"/>
      <c r="R29" s="230" t="s">
        <v>120</v>
      </c>
      <c r="S29" s="234">
        <v>5294</v>
      </c>
      <c r="T29" s="233">
        <v>6.1275984999305502</v>
      </c>
    </row>
    <row r="30" spans="1:20" s="265" customFormat="1" ht="15" customHeight="1" x14ac:dyDescent="0.2">
      <c r="A30" s="264">
        <v>4</v>
      </c>
      <c r="B30" s="230" t="s">
        <v>322</v>
      </c>
      <c r="C30" s="231">
        <v>7102</v>
      </c>
      <c r="D30" s="232">
        <v>5.1127364874593297</v>
      </c>
      <c r="E30" s="232"/>
      <c r="F30" s="230" t="s">
        <v>120</v>
      </c>
      <c r="G30" s="231">
        <v>6304</v>
      </c>
      <c r="H30" s="232">
        <v>5.0792013793770296</v>
      </c>
      <c r="I30" s="232"/>
      <c r="J30" s="230" t="s">
        <v>306</v>
      </c>
      <c r="K30" s="231">
        <v>4877</v>
      </c>
      <c r="L30" s="232">
        <v>4.8481052924569603</v>
      </c>
      <c r="M30" s="233"/>
      <c r="N30" s="230" t="s">
        <v>306</v>
      </c>
      <c r="O30" s="234">
        <v>3894</v>
      </c>
      <c r="P30" s="233">
        <v>4.14997015943388</v>
      </c>
      <c r="Q30" s="233"/>
      <c r="R30" s="230" t="s">
        <v>306</v>
      </c>
      <c r="S30" s="234">
        <v>3297</v>
      </c>
      <c r="T30" s="233">
        <v>3.8161488957822098</v>
      </c>
    </row>
    <row r="31" spans="1:20" s="265" customFormat="1" ht="15" customHeight="1" x14ac:dyDescent="0.2">
      <c r="A31" s="264">
        <v>5</v>
      </c>
      <c r="B31" s="230" t="s">
        <v>120</v>
      </c>
      <c r="C31" s="231">
        <v>6982</v>
      </c>
      <c r="D31" s="232">
        <v>5.0263483744636801</v>
      </c>
      <c r="E31" s="232"/>
      <c r="F31" s="230" t="s">
        <v>322</v>
      </c>
      <c r="G31" s="231">
        <v>5750</v>
      </c>
      <c r="H31" s="232">
        <v>4.6328375525726404</v>
      </c>
      <c r="I31" s="232"/>
      <c r="J31" s="230" t="s">
        <v>322</v>
      </c>
      <c r="K31" s="231">
        <v>3884</v>
      </c>
      <c r="L31" s="232">
        <v>3.8609885084893998</v>
      </c>
      <c r="M31" s="233"/>
      <c r="N31" s="230" t="s">
        <v>322</v>
      </c>
      <c r="O31" s="234">
        <v>3080</v>
      </c>
      <c r="P31" s="233">
        <v>3.2824622729985502</v>
      </c>
      <c r="Q31" s="233"/>
      <c r="R31" s="230" t="s">
        <v>321</v>
      </c>
      <c r="S31" s="234">
        <v>2760</v>
      </c>
      <c r="T31" s="233">
        <v>3.19459234223807</v>
      </c>
    </row>
    <row r="32" spans="1:20" s="265" customFormat="1" ht="15" customHeight="1" x14ac:dyDescent="0.2">
      <c r="A32" s="264">
        <v>6</v>
      </c>
      <c r="B32" s="230" t="s">
        <v>117</v>
      </c>
      <c r="C32" s="231">
        <v>5160</v>
      </c>
      <c r="D32" s="232">
        <v>3.7146888588130298</v>
      </c>
      <c r="E32" s="232"/>
      <c r="F32" s="230" t="s">
        <v>117</v>
      </c>
      <c r="G32" s="231">
        <v>4187</v>
      </c>
      <c r="H32" s="232">
        <v>3.3735114491515898</v>
      </c>
      <c r="I32" s="232"/>
      <c r="J32" s="230" t="s">
        <v>117</v>
      </c>
      <c r="K32" s="231">
        <v>3079</v>
      </c>
      <c r="L32" s="232">
        <v>3.06075788301722</v>
      </c>
      <c r="M32" s="233"/>
      <c r="N32" s="230" t="s">
        <v>321</v>
      </c>
      <c r="O32" s="234">
        <v>2975</v>
      </c>
      <c r="P32" s="233">
        <v>3.1705601500554201</v>
      </c>
      <c r="Q32" s="233"/>
      <c r="R32" s="230" t="s">
        <v>323</v>
      </c>
      <c r="S32" s="234">
        <v>2382</v>
      </c>
      <c r="T32" s="233">
        <v>2.7570720866706799</v>
      </c>
    </row>
    <row r="33" spans="1:20" s="265" customFormat="1" ht="15" customHeight="1" x14ac:dyDescent="0.2">
      <c r="A33" s="264">
        <v>7</v>
      </c>
      <c r="B33" s="230" t="s">
        <v>323</v>
      </c>
      <c r="C33" s="231">
        <v>4062</v>
      </c>
      <c r="D33" s="232">
        <v>2.9242376249028101</v>
      </c>
      <c r="E33" s="232"/>
      <c r="F33" s="230" t="s">
        <v>323</v>
      </c>
      <c r="G33" s="231">
        <v>3815</v>
      </c>
      <c r="H33" s="232">
        <v>3.0737870022721099</v>
      </c>
      <c r="I33" s="232"/>
      <c r="J33" s="230" t="s">
        <v>323</v>
      </c>
      <c r="K33" s="231">
        <v>2955</v>
      </c>
      <c r="L33" s="232">
        <v>2.93749254443517</v>
      </c>
      <c r="M33" s="233"/>
      <c r="N33" s="230" t="s">
        <v>117</v>
      </c>
      <c r="O33" s="234">
        <v>2761</v>
      </c>
      <c r="P33" s="233">
        <v>2.9424929661522699</v>
      </c>
      <c r="Q33" s="233"/>
      <c r="R33" s="230" t="s">
        <v>322</v>
      </c>
      <c r="S33" s="234">
        <v>2312</v>
      </c>
      <c r="T33" s="233">
        <v>2.67604981712116</v>
      </c>
    </row>
    <row r="34" spans="1:20" s="265" customFormat="1" ht="15" customHeight="1" x14ac:dyDescent="0.2">
      <c r="A34" s="264">
        <v>8</v>
      </c>
      <c r="B34" s="230" t="s">
        <v>321</v>
      </c>
      <c r="C34" s="231">
        <v>4012</v>
      </c>
      <c r="D34" s="232">
        <v>2.8882425778212899</v>
      </c>
      <c r="E34" s="232"/>
      <c r="F34" s="230" t="s">
        <v>321</v>
      </c>
      <c r="G34" s="231">
        <v>3395</v>
      </c>
      <c r="H34" s="232">
        <v>2.7353884332146299</v>
      </c>
      <c r="I34" s="232"/>
      <c r="J34" s="230" t="s">
        <v>321</v>
      </c>
      <c r="K34" s="231">
        <v>2816</v>
      </c>
      <c r="L34" s="232">
        <v>2.7993160761859301</v>
      </c>
      <c r="M34" s="233"/>
      <c r="N34" s="230" t="s">
        <v>323</v>
      </c>
      <c r="O34" s="234">
        <v>2759</v>
      </c>
      <c r="P34" s="233">
        <v>2.9403614971438299</v>
      </c>
      <c r="Q34" s="233"/>
      <c r="R34" s="230" t="s">
        <v>125</v>
      </c>
      <c r="S34" s="234">
        <v>2229</v>
      </c>
      <c r="T34" s="233">
        <v>2.5799805546553101</v>
      </c>
    </row>
    <row r="35" spans="1:20" s="265" customFormat="1" ht="15" customHeight="1" x14ac:dyDescent="0.2">
      <c r="A35" s="264">
        <v>9</v>
      </c>
      <c r="B35" s="230" t="s">
        <v>318</v>
      </c>
      <c r="C35" s="231">
        <v>2837</v>
      </c>
      <c r="D35" s="232">
        <v>2.0423589714055299</v>
      </c>
      <c r="E35" s="232"/>
      <c r="F35" s="230" t="s">
        <v>125</v>
      </c>
      <c r="G35" s="231">
        <v>2612</v>
      </c>
      <c r="H35" s="232">
        <v>2.1045168151860398</v>
      </c>
      <c r="I35" s="232"/>
      <c r="J35" s="230" t="s">
        <v>125</v>
      </c>
      <c r="K35" s="231">
        <v>2261</v>
      </c>
      <c r="L35" s="232">
        <v>2.2476042785001402</v>
      </c>
      <c r="M35" s="233"/>
      <c r="N35" s="230" t="s">
        <v>125</v>
      </c>
      <c r="O35" s="234">
        <v>2249</v>
      </c>
      <c r="P35" s="233">
        <v>2.3968368999914702</v>
      </c>
      <c r="Q35" s="233"/>
      <c r="R35" s="230" t="s">
        <v>117</v>
      </c>
      <c r="S35" s="234">
        <v>2188</v>
      </c>
      <c r="T35" s="233">
        <v>2.5325246539191602</v>
      </c>
    </row>
    <row r="36" spans="1:20" s="265" customFormat="1" ht="15" customHeight="1" x14ac:dyDescent="0.2">
      <c r="A36" s="264">
        <v>10</v>
      </c>
      <c r="B36" s="230" t="s">
        <v>125</v>
      </c>
      <c r="C36" s="231">
        <v>2674</v>
      </c>
      <c r="D36" s="232">
        <v>1.9250151179197701</v>
      </c>
      <c r="E36" s="232"/>
      <c r="F36" s="230" t="s">
        <v>318</v>
      </c>
      <c r="G36" s="231">
        <v>2562</v>
      </c>
      <c r="H36" s="232">
        <v>2.0642312712506201</v>
      </c>
      <c r="I36" s="232"/>
      <c r="J36" s="230" t="s">
        <v>318</v>
      </c>
      <c r="K36" s="231">
        <v>2047</v>
      </c>
      <c r="L36" s="232">
        <v>2.0348721619149899</v>
      </c>
      <c r="M36" s="233"/>
      <c r="N36" s="230" t="s">
        <v>318</v>
      </c>
      <c r="O36" s="234">
        <v>1939</v>
      </c>
      <c r="P36" s="233">
        <v>2.0664592036831801</v>
      </c>
      <c r="Q36" s="233"/>
      <c r="R36" s="230" t="s">
        <v>316</v>
      </c>
      <c r="S36" s="234">
        <v>1876</v>
      </c>
      <c r="T36" s="233">
        <v>2.1713968239270298</v>
      </c>
    </row>
    <row r="37" spans="1:20" s="265" customFormat="1" ht="15" customHeight="1" x14ac:dyDescent="0.2">
      <c r="A37" s="264">
        <v>11</v>
      </c>
      <c r="B37" s="230" t="s">
        <v>316</v>
      </c>
      <c r="C37" s="231">
        <v>2602</v>
      </c>
      <c r="D37" s="232">
        <v>1.87318225012238</v>
      </c>
      <c r="E37" s="232"/>
      <c r="F37" s="230" t="s">
        <v>316</v>
      </c>
      <c r="G37" s="231">
        <v>2402</v>
      </c>
      <c r="H37" s="232">
        <v>1.9353175306573001</v>
      </c>
      <c r="I37" s="232"/>
      <c r="J37" s="230" t="s">
        <v>316</v>
      </c>
      <c r="K37" s="231">
        <v>2014</v>
      </c>
      <c r="L37" s="232">
        <v>2.0020676766471799</v>
      </c>
      <c r="M37" s="233"/>
      <c r="N37" s="230" t="s">
        <v>316</v>
      </c>
      <c r="O37" s="234">
        <v>1928</v>
      </c>
      <c r="P37" s="233">
        <v>2.0547361241367601</v>
      </c>
      <c r="Q37" s="233"/>
      <c r="R37" s="230" t="s">
        <v>318</v>
      </c>
      <c r="S37" s="234">
        <v>1754</v>
      </c>
      <c r="T37" s="233">
        <v>2.0301865827121599</v>
      </c>
    </row>
    <row r="38" spans="1:20" s="265" customFormat="1" ht="15" customHeight="1" x14ac:dyDescent="0.2">
      <c r="A38" s="264">
        <v>12</v>
      </c>
      <c r="B38" s="230" t="s">
        <v>309</v>
      </c>
      <c r="C38" s="231">
        <v>2564</v>
      </c>
      <c r="D38" s="232">
        <v>1.8458260143404299</v>
      </c>
      <c r="E38" s="232"/>
      <c r="F38" s="230" t="s">
        <v>305</v>
      </c>
      <c r="G38" s="231">
        <v>2200</v>
      </c>
      <c r="H38" s="232">
        <v>1.7725639331582299</v>
      </c>
      <c r="I38" s="232"/>
      <c r="J38" s="230" t="s">
        <v>313</v>
      </c>
      <c r="K38" s="231">
        <v>1901</v>
      </c>
      <c r="L38" s="232">
        <v>1.88973716648773</v>
      </c>
      <c r="M38" s="233"/>
      <c r="N38" s="230" t="s">
        <v>313</v>
      </c>
      <c r="O38" s="234">
        <v>1652</v>
      </c>
      <c r="P38" s="233">
        <v>1.7605934009719499</v>
      </c>
      <c r="Q38" s="233"/>
      <c r="R38" s="230" t="s">
        <v>313</v>
      </c>
      <c r="S38" s="234">
        <v>1721</v>
      </c>
      <c r="T38" s="233">
        <v>1.99199036992453</v>
      </c>
    </row>
    <row r="39" spans="1:20" s="265" customFormat="1" ht="15" customHeight="1" x14ac:dyDescent="0.2">
      <c r="A39" s="264">
        <v>13</v>
      </c>
      <c r="B39" s="230" t="s">
        <v>305</v>
      </c>
      <c r="C39" s="231">
        <v>2525</v>
      </c>
      <c r="D39" s="232">
        <v>1.8177498776168399</v>
      </c>
      <c r="E39" s="232"/>
      <c r="F39" s="230" t="s">
        <v>309</v>
      </c>
      <c r="G39" s="231">
        <v>2152</v>
      </c>
      <c r="H39" s="232">
        <v>1.7338898109802301</v>
      </c>
      <c r="I39" s="232"/>
      <c r="J39" s="230" t="s">
        <v>309</v>
      </c>
      <c r="K39" s="231">
        <v>1853</v>
      </c>
      <c r="L39" s="232">
        <v>1.84202155155275</v>
      </c>
      <c r="M39" s="233"/>
      <c r="N39" s="230" t="s">
        <v>308</v>
      </c>
      <c r="O39" s="234">
        <v>1600</v>
      </c>
      <c r="P39" s="233">
        <v>1.7051752067524899</v>
      </c>
      <c r="Q39" s="233"/>
      <c r="R39" s="230" t="s">
        <v>308</v>
      </c>
      <c r="S39" s="234">
        <v>1505</v>
      </c>
      <c r="T39" s="233">
        <v>1.7419787953146</v>
      </c>
    </row>
    <row r="40" spans="1:20" s="265" customFormat="1" ht="15" customHeight="1" x14ac:dyDescent="0.2">
      <c r="A40" s="264">
        <v>14</v>
      </c>
      <c r="B40" s="230" t="s">
        <v>287</v>
      </c>
      <c r="C40" s="231">
        <v>2285</v>
      </c>
      <c r="D40" s="232">
        <v>1.64497365162554</v>
      </c>
      <c r="E40" s="232"/>
      <c r="F40" s="230" t="s">
        <v>313</v>
      </c>
      <c r="G40" s="231">
        <v>2115</v>
      </c>
      <c r="H40" s="232">
        <v>1.7040785084680199</v>
      </c>
      <c r="I40" s="232"/>
      <c r="J40" s="230" t="s">
        <v>305</v>
      </c>
      <c r="K40" s="231">
        <v>1620</v>
      </c>
      <c r="L40" s="232">
        <v>1.61040200405583</v>
      </c>
      <c r="M40" s="233"/>
      <c r="N40" s="230" t="s">
        <v>309</v>
      </c>
      <c r="O40" s="234">
        <v>1565</v>
      </c>
      <c r="P40" s="233">
        <v>1.66787449910478</v>
      </c>
      <c r="Q40" s="233"/>
      <c r="R40" s="230" t="s">
        <v>289</v>
      </c>
      <c r="S40" s="234">
        <v>1468</v>
      </c>
      <c r="T40" s="233">
        <v>1.6991527385527101</v>
      </c>
    </row>
    <row r="41" spans="1:20" s="265" customFormat="1" ht="15" customHeight="1" x14ac:dyDescent="0.2">
      <c r="A41" s="264">
        <v>15</v>
      </c>
      <c r="B41" s="230" t="s">
        <v>308</v>
      </c>
      <c r="C41" s="231">
        <v>2267</v>
      </c>
      <c r="D41" s="232">
        <v>1.6320154346761899</v>
      </c>
      <c r="E41" s="232"/>
      <c r="F41" s="230" t="s">
        <v>308</v>
      </c>
      <c r="G41" s="231">
        <v>2054</v>
      </c>
      <c r="H41" s="232">
        <v>1.6549301448668201</v>
      </c>
      <c r="I41" s="232"/>
      <c r="J41" s="230" t="s">
        <v>308</v>
      </c>
      <c r="K41" s="231">
        <v>1615</v>
      </c>
      <c r="L41" s="232">
        <v>1.6054316275000999</v>
      </c>
      <c r="M41" s="233"/>
      <c r="N41" s="230" t="s">
        <v>289</v>
      </c>
      <c r="O41" s="234">
        <v>1434</v>
      </c>
      <c r="P41" s="233">
        <v>1.5282632790519199</v>
      </c>
      <c r="Q41" s="233"/>
      <c r="R41" s="230" t="s">
        <v>309</v>
      </c>
      <c r="S41" s="234">
        <v>1464</v>
      </c>
      <c r="T41" s="233">
        <v>1.6945228945784501</v>
      </c>
    </row>
    <row r="42" spans="1:20" s="265" customFormat="1" ht="15" customHeight="1" x14ac:dyDescent="0.2">
      <c r="A42" s="264">
        <v>16</v>
      </c>
      <c r="B42" s="230" t="s">
        <v>313</v>
      </c>
      <c r="C42" s="231">
        <v>2179</v>
      </c>
      <c r="D42" s="232">
        <v>1.56866415181271</v>
      </c>
      <c r="E42" s="232"/>
      <c r="F42" s="230" t="s">
        <v>296</v>
      </c>
      <c r="G42" s="231">
        <v>1945</v>
      </c>
      <c r="H42" s="232">
        <v>1.5671076590876101</v>
      </c>
      <c r="I42" s="232"/>
      <c r="J42" s="230" t="s">
        <v>296</v>
      </c>
      <c r="K42" s="231">
        <v>1449</v>
      </c>
      <c r="L42" s="232">
        <v>1.44041512584993</v>
      </c>
      <c r="M42" s="233"/>
      <c r="N42" s="230" t="s">
        <v>301</v>
      </c>
      <c r="O42" s="234">
        <v>1382</v>
      </c>
      <c r="P42" s="233">
        <v>1.4728450848324699</v>
      </c>
      <c r="Q42" s="233"/>
      <c r="R42" s="230" t="s">
        <v>301</v>
      </c>
      <c r="S42" s="234">
        <v>1354</v>
      </c>
      <c r="T42" s="233">
        <v>1.56720218528636</v>
      </c>
    </row>
    <row r="43" spans="1:20" s="265" customFormat="1" ht="15" customHeight="1" x14ac:dyDescent="0.2">
      <c r="A43" s="264">
        <v>17</v>
      </c>
      <c r="B43" s="230" t="s">
        <v>296</v>
      </c>
      <c r="C43" s="231">
        <v>2172</v>
      </c>
      <c r="D43" s="232">
        <v>1.5636248452213</v>
      </c>
      <c r="E43" s="232"/>
      <c r="F43" s="230" t="s">
        <v>287</v>
      </c>
      <c r="G43" s="231">
        <v>1820</v>
      </c>
      <c r="H43" s="232">
        <v>1.4663937992490801</v>
      </c>
      <c r="I43" s="232"/>
      <c r="J43" s="230" t="s">
        <v>287</v>
      </c>
      <c r="K43" s="231">
        <v>1406</v>
      </c>
      <c r="L43" s="232">
        <v>1.3976698874706801</v>
      </c>
      <c r="M43" s="233"/>
      <c r="N43" s="230" t="s">
        <v>292</v>
      </c>
      <c r="O43" s="234">
        <v>1367</v>
      </c>
      <c r="P43" s="233">
        <v>1.4568590672691599</v>
      </c>
      <c r="Q43" s="233"/>
      <c r="R43" s="230" t="s">
        <v>292</v>
      </c>
      <c r="S43" s="234">
        <v>1314</v>
      </c>
      <c r="T43" s="233">
        <v>1.5209037455437799</v>
      </c>
    </row>
    <row r="44" spans="1:20" s="265" customFormat="1" ht="15" customHeight="1" x14ac:dyDescent="0.2">
      <c r="A44" s="264">
        <v>18</v>
      </c>
      <c r="B44" s="230" t="s">
        <v>337</v>
      </c>
      <c r="C44" s="231">
        <v>1870</v>
      </c>
      <c r="D44" s="232">
        <v>1.3462147608489099</v>
      </c>
      <c r="E44" s="232"/>
      <c r="F44" s="230" t="s">
        <v>301</v>
      </c>
      <c r="G44" s="231">
        <v>1739</v>
      </c>
      <c r="H44" s="232">
        <v>1.4011312180737101</v>
      </c>
      <c r="I44" s="232"/>
      <c r="J44" s="230" t="s">
        <v>301</v>
      </c>
      <c r="K44" s="231">
        <v>1360</v>
      </c>
      <c r="L44" s="232">
        <v>1.35194242315798</v>
      </c>
      <c r="M44" s="233"/>
      <c r="N44" s="230" t="s">
        <v>305</v>
      </c>
      <c r="O44" s="234">
        <v>1357</v>
      </c>
      <c r="P44" s="233">
        <v>1.4462017222269601</v>
      </c>
      <c r="Q44" s="233"/>
      <c r="R44" s="230" t="s">
        <v>305</v>
      </c>
      <c r="S44" s="234">
        <v>1199</v>
      </c>
      <c r="T44" s="233">
        <v>1.38779573128386</v>
      </c>
    </row>
    <row r="45" spans="1:20" s="265" customFormat="1" ht="15" customHeight="1" x14ac:dyDescent="0.2">
      <c r="A45" s="264">
        <v>19</v>
      </c>
      <c r="B45" s="230" t="s">
        <v>301</v>
      </c>
      <c r="C45" s="231">
        <v>1869</v>
      </c>
      <c r="D45" s="232">
        <v>1.34549485990728</v>
      </c>
      <c r="E45" s="232"/>
      <c r="F45" s="230" t="s">
        <v>292</v>
      </c>
      <c r="G45" s="231">
        <v>1702</v>
      </c>
      <c r="H45" s="232">
        <v>1.3713199155614999</v>
      </c>
      <c r="I45" s="232"/>
      <c r="J45" s="230" t="s">
        <v>292</v>
      </c>
      <c r="K45" s="231">
        <v>1343</v>
      </c>
      <c r="L45" s="232">
        <v>1.3350431428684999</v>
      </c>
      <c r="M45" s="233"/>
      <c r="N45" s="230" t="s">
        <v>296</v>
      </c>
      <c r="O45" s="234">
        <v>1356</v>
      </c>
      <c r="P45" s="233">
        <v>1.4451359877227401</v>
      </c>
      <c r="Q45" s="233"/>
      <c r="R45" s="230" t="s">
        <v>296</v>
      </c>
      <c r="S45" s="234">
        <v>1158</v>
      </c>
      <c r="T45" s="233">
        <v>1.3403398305477101</v>
      </c>
    </row>
    <row r="46" spans="1:20" s="265" customFormat="1" ht="15" customHeight="1" x14ac:dyDescent="0.2">
      <c r="A46" s="266">
        <v>20</v>
      </c>
      <c r="B46" s="251" t="s">
        <v>330</v>
      </c>
      <c r="C46" s="252">
        <v>1738</v>
      </c>
      <c r="D46" s="253">
        <v>1.2511878365536899</v>
      </c>
      <c r="E46" s="253"/>
      <c r="F46" s="251" t="s">
        <v>337</v>
      </c>
      <c r="G46" s="252">
        <v>1584</v>
      </c>
      <c r="H46" s="253">
        <v>1.2762460318739199</v>
      </c>
      <c r="I46" s="253"/>
      <c r="J46" s="251" t="s">
        <v>337</v>
      </c>
      <c r="K46" s="252">
        <v>1289</v>
      </c>
      <c r="L46" s="253">
        <v>1.2813630760666399</v>
      </c>
      <c r="M46" s="254"/>
      <c r="N46" s="251" t="s">
        <v>287</v>
      </c>
      <c r="O46" s="255">
        <v>1273</v>
      </c>
      <c r="P46" s="254">
        <v>1.3566800238724499</v>
      </c>
      <c r="Q46" s="254"/>
      <c r="R46" s="251" t="s">
        <v>331</v>
      </c>
      <c r="S46" s="255">
        <v>1092</v>
      </c>
      <c r="T46" s="254">
        <v>1.26394740497245</v>
      </c>
    </row>
    <row r="47" spans="1:20" s="267" customFormat="1" ht="15" customHeight="1" x14ac:dyDescent="0.2">
      <c r="A47" s="633" t="s">
        <v>325</v>
      </c>
      <c r="B47" s="634"/>
      <c r="C47" s="23"/>
      <c r="D47" s="24"/>
      <c r="E47" s="242"/>
      <c r="F47" s="243"/>
      <c r="G47" s="23"/>
      <c r="H47" s="24"/>
      <c r="I47" s="242"/>
      <c r="J47" s="243"/>
      <c r="K47" s="23"/>
      <c r="L47" s="24"/>
      <c r="M47" s="242"/>
      <c r="N47" s="243"/>
      <c r="O47" s="23"/>
      <c r="P47" s="24"/>
      <c r="Q47" s="242"/>
      <c r="R47" s="243"/>
      <c r="S47" s="23"/>
      <c r="T47" s="24"/>
    </row>
    <row r="48" spans="1:20" s="265" customFormat="1" ht="15" customHeight="1" x14ac:dyDescent="0.2">
      <c r="A48" s="264">
        <v>1</v>
      </c>
      <c r="B48" s="230" t="s">
        <v>301</v>
      </c>
      <c r="C48" s="231">
        <v>10134</v>
      </c>
      <c r="D48" s="232">
        <v>7.2954761424827996</v>
      </c>
      <c r="E48" s="232"/>
      <c r="F48" s="230" t="s">
        <v>301</v>
      </c>
      <c r="G48" s="231">
        <v>9117</v>
      </c>
      <c r="H48" s="232">
        <v>7.3456660811834302</v>
      </c>
      <c r="I48" s="232"/>
      <c r="J48" s="230" t="s">
        <v>301</v>
      </c>
      <c r="K48" s="231">
        <v>7465</v>
      </c>
      <c r="L48" s="232">
        <v>7.4207721977016998</v>
      </c>
      <c r="M48" s="233"/>
      <c r="N48" s="230" t="s">
        <v>301</v>
      </c>
      <c r="O48" s="234">
        <v>7105</v>
      </c>
      <c r="P48" s="233">
        <v>7.5720436524852897</v>
      </c>
      <c r="Q48" s="233"/>
      <c r="R48" s="230" t="s">
        <v>301</v>
      </c>
      <c r="S48" s="234">
        <v>6811</v>
      </c>
      <c r="T48" s="233">
        <v>7.88346682716793</v>
      </c>
    </row>
    <row r="49" spans="1:20" s="265" customFormat="1" ht="15" customHeight="1" x14ac:dyDescent="0.2">
      <c r="A49" s="264">
        <v>2</v>
      </c>
      <c r="B49" s="230" t="s">
        <v>319</v>
      </c>
      <c r="C49" s="231">
        <v>9053</v>
      </c>
      <c r="D49" s="232">
        <v>6.5172632245802999</v>
      </c>
      <c r="E49" s="232"/>
      <c r="F49" s="230" t="s">
        <v>310</v>
      </c>
      <c r="G49" s="231">
        <v>8330</v>
      </c>
      <c r="H49" s="232">
        <v>6.7115716196400097</v>
      </c>
      <c r="I49" s="232"/>
      <c r="J49" s="230" t="s">
        <v>310</v>
      </c>
      <c r="K49" s="231">
        <v>6000</v>
      </c>
      <c r="L49" s="232">
        <v>5.9644518668734401</v>
      </c>
      <c r="M49" s="233"/>
      <c r="N49" s="230" t="s">
        <v>310</v>
      </c>
      <c r="O49" s="234">
        <v>6191</v>
      </c>
      <c r="P49" s="233">
        <v>6.5979623156279299</v>
      </c>
      <c r="Q49" s="233"/>
      <c r="R49" s="230" t="s">
        <v>310</v>
      </c>
      <c r="S49" s="234">
        <v>5886</v>
      </c>
      <c r="T49" s="233">
        <v>6.8128154081207501</v>
      </c>
    </row>
    <row r="50" spans="1:20" s="265" customFormat="1" ht="15" customHeight="1" x14ac:dyDescent="0.2">
      <c r="A50" s="264">
        <v>3</v>
      </c>
      <c r="B50" s="230" t="s">
        <v>310</v>
      </c>
      <c r="C50" s="231">
        <v>8139</v>
      </c>
      <c r="D50" s="232">
        <v>5.85927376393008</v>
      </c>
      <c r="E50" s="232"/>
      <c r="F50" s="230" t="s">
        <v>319</v>
      </c>
      <c r="G50" s="231">
        <v>7801</v>
      </c>
      <c r="H50" s="232">
        <v>6.2853505648033297</v>
      </c>
      <c r="I50" s="232"/>
      <c r="J50" s="230" t="s">
        <v>319</v>
      </c>
      <c r="K50" s="231">
        <v>5996</v>
      </c>
      <c r="L50" s="232">
        <v>5.9604755656288502</v>
      </c>
      <c r="M50" s="233"/>
      <c r="N50" s="230" t="s">
        <v>319</v>
      </c>
      <c r="O50" s="234">
        <v>5757</v>
      </c>
      <c r="P50" s="233">
        <v>6.1354335407963196</v>
      </c>
      <c r="Q50" s="233"/>
      <c r="R50" s="230" t="s">
        <v>319</v>
      </c>
      <c r="S50" s="234">
        <v>5066</v>
      </c>
      <c r="T50" s="233">
        <v>5.8636973933978398</v>
      </c>
    </row>
    <row r="51" spans="1:20" s="265" customFormat="1" ht="15" customHeight="1" x14ac:dyDescent="0.2">
      <c r="A51" s="264">
        <v>4</v>
      </c>
      <c r="B51" s="230" t="s">
        <v>308</v>
      </c>
      <c r="C51" s="231">
        <v>6346</v>
      </c>
      <c r="D51" s="232">
        <v>4.5684913755867198</v>
      </c>
      <c r="E51" s="232"/>
      <c r="F51" s="230" t="s">
        <v>308</v>
      </c>
      <c r="G51" s="231">
        <v>5483</v>
      </c>
      <c r="H51" s="232">
        <v>4.4177127479575198</v>
      </c>
      <c r="I51" s="232"/>
      <c r="J51" s="230" t="s">
        <v>302</v>
      </c>
      <c r="K51" s="231">
        <v>4149</v>
      </c>
      <c r="L51" s="232">
        <v>4.1244184659429797</v>
      </c>
      <c r="M51" s="233"/>
      <c r="N51" s="230" t="s">
        <v>302</v>
      </c>
      <c r="O51" s="234">
        <v>4788</v>
      </c>
      <c r="P51" s="233">
        <v>5.1027368062068401</v>
      </c>
      <c r="Q51" s="233"/>
      <c r="R51" s="230" t="s">
        <v>302</v>
      </c>
      <c r="S51" s="234">
        <v>4824</v>
      </c>
      <c r="T51" s="233">
        <v>5.5835918329552303</v>
      </c>
    </row>
    <row r="52" spans="1:20" s="265" customFormat="1" ht="15" customHeight="1" x14ac:dyDescent="0.2">
      <c r="A52" s="264">
        <v>5</v>
      </c>
      <c r="B52" s="230" t="s">
        <v>297</v>
      </c>
      <c r="C52" s="231">
        <v>6031</v>
      </c>
      <c r="D52" s="232">
        <v>4.3417225789731297</v>
      </c>
      <c r="E52" s="232"/>
      <c r="F52" s="230" t="s">
        <v>297</v>
      </c>
      <c r="G52" s="231">
        <v>5415</v>
      </c>
      <c r="H52" s="232">
        <v>4.3629244082053598</v>
      </c>
      <c r="I52" s="232"/>
      <c r="J52" s="230" t="s">
        <v>308</v>
      </c>
      <c r="K52" s="231">
        <v>4095</v>
      </c>
      <c r="L52" s="232">
        <v>4.0707383991411197</v>
      </c>
      <c r="M52" s="233"/>
      <c r="N52" s="230" t="s">
        <v>317</v>
      </c>
      <c r="O52" s="234">
        <v>3784</v>
      </c>
      <c r="P52" s="233">
        <v>4.0327393639696503</v>
      </c>
      <c r="Q52" s="233"/>
      <c r="R52" s="230" t="s">
        <v>308</v>
      </c>
      <c r="S52" s="234">
        <v>3297</v>
      </c>
      <c r="T52" s="233">
        <v>3.8161488957822098</v>
      </c>
    </row>
    <row r="53" spans="1:20" s="265" customFormat="1" ht="15" customHeight="1" x14ac:dyDescent="0.2">
      <c r="A53" s="264">
        <v>6</v>
      </c>
      <c r="B53" s="230" t="s">
        <v>320</v>
      </c>
      <c r="C53" s="231">
        <v>5928</v>
      </c>
      <c r="D53" s="232">
        <v>4.2675727819851996</v>
      </c>
      <c r="E53" s="232"/>
      <c r="F53" s="230" t="s">
        <v>317</v>
      </c>
      <c r="G53" s="231">
        <v>5373</v>
      </c>
      <c r="H53" s="232">
        <v>4.3290845512996103</v>
      </c>
      <c r="I53" s="232"/>
      <c r="J53" s="230" t="s">
        <v>297</v>
      </c>
      <c r="K53" s="231">
        <v>3961</v>
      </c>
      <c r="L53" s="232">
        <v>3.9375323074476101</v>
      </c>
      <c r="M53" s="233"/>
      <c r="N53" s="230" t="s">
        <v>308</v>
      </c>
      <c r="O53" s="234">
        <v>3745</v>
      </c>
      <c r="P53" s="233">
        <v>3.99117571830506</v>
      </c>
      <c r="Q53" s="233"/>
      <c r="R53" s="230" t="s">
        <v>317</v>
      </c>
      <c r="S53" s="234">
        <v>3281</v>
      </c>
      <c r="T53" s="233">
        <v>3.7976295198851799</v>
      </c>
    </row>
    <row r="54" spans="1:20" s="265" customFormat="1" ht="15" customHeight="1" x14ac:dyDescent="0.2">
      <c r="A54" s="264">
        <v>7</v>
      </c>
      <c r="B54" s="230" t="s">
        <v>317</v>
      </c>
      <c r="C54" s="231">
        <v>5777</v>
      </c>
      <c r="D54" s="232">
        <v>4.1588677397989997</v>
      </c>
      <c r="E54" s="232"/>
      <c r="F54" s="230" t="s">
        <v>320</v>
      </c>
      <c r="G54" s="231">
        <v>5235</v>
      </c>
      <c r="H54" s="232">
        <v>4.2178964500378697</v>
      </c>
      <c r="I54" s="232"/>
      <c r="J54" s="230" t="s">
        <v>320</v>
      </c>
      <c r="K54" s="231">
        <v>3959</v>
      </c>
      <c r="L54" s="232">
        <v>3.93554415682532</v>
      </c>
      <c r="M54" s="233"/>
      <c r="N54" s="230" t="s">
        <v>320</v>
      </c>
      <c r="O54" s="234">
        <v>3702</v>
      </c>
      <c r="P54" s="233">
        <v>3.9453491346235801</v>
      </c>
      <c r="Q54" s="233"/>
      <c r="R54" s="230" t="s">
        <v>320</v>
      </c>
      <c r="S54" s="234">
        <v>3213</v>
      </c>
      <c r="T54" s="233">
        <v>3.7189221723227899</v>
      </c>
    </row>
    <row r="55" spans="1:20" s="265" customFormat="1" ht="15" customHeight="1" x14ac:dyDescent="0.2">
      <c r="A55" s="264">
        <v>8</v>
      </c>
      <c r="B55" s="230" t="s">
        <v>315</v>
      </c>
      <c r="C55" s="231">
        <v>5647</v>
      </c>
      <c r="D55" s="232">
        <v>4.0652806173870504</v>
      </c>
      <c r="E55" s="232"/>
      <c r="F55" s="230" t="s">
        <v>315</v>
      </c>
      <c r="G55" s="231">
        <v>5146</v>
      </c>
      <c r="H55" s="232">
        <v>4.1461881818328301</v>
      </c>
      <c r="I55" s="232"/>
      <c r="J55" s="230" t="s">
        <v>317</v>
      </c>
      <c r="K55" s="231">
        <v>3814</v>
      </c>
      <c r="L55" s="232">
        <v>3.7914032367092099</v>
      </c>
      <c r="M55" s="233"/>
      <c r="N55" s="230" t="s">
        <v>307</v>
      </c>
      <c r="O55" s="234">
        <v>3586</v>
      </c>
      <c r="P55" s="233">
        <v>3.8217239321340299</v>
      </c>
      <c r="Q55" s="233"/>
      <c r="R55" s="230" t="s">
        <v>120</v>
      </c>
      <c r="S55" s="234">
        <v>3111</v>
      </c>
      <c r="T55" s="233">
        <v>3.6008611509792101</v>
      </c>
    </row>
    <row r="56" spans="1:20" s="265" customFormat="1" ht="15" customHeight="1" x14ac:dyDescent="0.2">
      <c r="A56" s="264">
        <v>9</v>
      </c>
      <c r="B56" s="230" t="s">
        <v>307</v>
      </c>
      <c r="C56" s="231">
        <v>5630</v>
      </c>
      <c r="D56" s="232">
        <v>4.05304230137933</v>
      </c>
      <c r="E56" s="232"/>
      <c r="F56" s="230" t="s">
        <v>307</v>
      </c>
      <c r="G56" s="231">
        <v>5034</v>
      </c>
      <c r="H56" s="232">
        <v>4.0559485634175001</v>
      </c>
      <c r="I56" s="232"/>
      <c r="J56" s="230" t="s">
        <v>307</v>
      </c>
      <c r="K56" s="231">
        <v>3744</v>
      </c>
      <c r="L56" s="232">
        <v>3.72181796492902</v>
      </c>
      <c r="M56" s="233"/>
      <c r="N56" s="230" t="s">
        <v>293</v>
      </c>
      <c r="O56" s="234">
        <v>3429</v>
      </c>
      <c r="P56" s="233">
        <v>3.6544036149714398</v>
      </c>
      <c r="Q56" s="233"/>
      <c r="R56" s="230" t="s">
        <v>293</v>
      </c>
      <c r="S56" s="234">
        <v>3066</v>
      </c>
      <c r="T56" s="233">
        <v>3.5487754062688102</v>
      </c>
    </row>
    <row r="57" spans="1:20" s="265" customFormat="1" ht="15" customHeight="1" x14ac:dyDescent="0.2">
      <c r="A57" s="264">
        <v>10</v>
      </c>
      <c r="B57" s="230" t="s">
        <v>302</v>
      </c>
      <c r="C57" s="231">
        <v>5367</v>
      </c>
      <c r="D57" s="232">
        <v>3.8637083537305301</v>
      </c>
      <c r="E57" s="232"/>
      <c r="F57" s="230" t="s">
        <v>293</v>
      </c>
      <c r="G57" s="231">
        <v>4907</v>
      </c>
      <c r="H57" s="232">
        <v>3.95362328182155</v>
      </c>
      <c r="I57" s="232"/>
      <c r="J57" s="230" t="s">
        <v>293</v>
      </c>
      <c r="K57" s="231">
        <v>3681</v>
      </c>
      <c r="L57" s="232">
        <v>3.65919122032685</v>
      </c>
      <c r="M57" s="233"/>
      <c r="N57" s="230" t="s">
        <v>315</v>
      </c>
      <c r="O57" s="234">
        <v>3393</v>
      </c>
      <c r="P57" s="233">
        <v>3.6160371728195102</v>
      </c>
      <c r="Q57" s="233"/>
      <c r="R57" s="230" t="s">
        <v>307</v>
      </c>
      <c r="S57" s="234">
        <v>3022</v>
      </c>
      <c r="T57" s="233">
        <v>3.4978471225519701</v>
      </c>
    </row>
    <row r="58" spans="1:20" s="265" customFormat="1" ht="15" customHeight="1" x14ac:dyDescent="0.2">
      <c r="A58" s="264">
        <v>11</v>
      </c>
      <c r="B58" s="230" t="s">
        <v>293</v>
      </c>
      <c r="C58" s="231">
        <v>5277</v>
      </c>
      <c r="D58" s="232">
        <v>3.7989172689837898</v>
      </c>
      <c r="E58" s="232"/>
      <c r="F58" s="230" t="s">
        <v>302</v>
      </c>
      <c r="G58" s="231">
        <v>4753</v>
      </c>
      <c r="H58" s="232">
        <v>3.8295438065004799</v>
      </c>
      <c r="I58" s="232"/>
      <c r="J58" s="230" t="s">
        <v>315</v>
      </c>
      <c r="K58" s="231">
        <v>3608</v>
      </c>
      <c r="L58" s="232">
        <v>3.58662372261323</v>
      </c>
      <c r="M58" s="233"/>
      <c r="N58" s="230" t="s">
        <v>297</v>
      </c>
      <c r="O58" s="234">
        <v>3315</v>
      </c>
      <c r="P58" s="233">
        <v>3.5329098814903199</v>
      </c>
      <c r="Q58" s="233"/>
      <c r="R58" s="230" t="s">
        <v>315</v>
      </c>
      <c r="S58" s="234">
        <v>2994</v>
      </c>
      <c r="T58" s="233">
        <v>3.4654382147321598</v>
      </c>
    </row>
    <row r="59" spans="1:20" s="265" customFormat="1" ht="15" customHeight="1" x14ac:dyDescent="0.2">
      <c r="A59" s="264">
        <v>12</v>
      </c>
      <c r="B59" s="230" t="s">
        <v>312</v>
      </c>
      <c r="C59" s="231">
        <v>5002</v>
      </c>
      <c r="D59" s="232">
        <v>3.6009445100354198</v>
      </c>
      <c r="E59" s="232"/>
      <c r="F59" s="230" t="s">
        <v>120</v>
      </c>
      <c r="G59" s="231">
        <v>4193</v>
      </c>
      <c r="H59" s="232">
        <v>3.37834571442384</v>
      </c>
      <c r="I59" s="232"/>
      <c r="J59" s="230" t="s">
        <v>312</v>
      </c>
      <c r="K59" s="231">
        <v>3302</v>
      </c>
      <c r="L59" s="232">
        <v>3.2824366774026799</v>
      </c>
      <c r="M59" s="233"/>
      <c r="N59" s="230" t="s">
        <v>120</v>
      </c>
      <c r="O59" s="234">
        <v>3208</v>
      </c>
      <c r="P59" s="233">
        <v>3.4188762895387499</v>
      </c>
      <c r="Q59" s="233"/>
      <c r="R59" s="230" t="s">
        <v>297</v>
      </c>
      <c r="S59" s="234">
        <v>2981</v>
      </c>
      <c r="T59" s="233">
        <v>3.4503912218158299</v>
      </c>
    </row>
    <row r="60" spans="1:20" s="265" customFormat="1" ht="25.5" x14ac:dyDescent="0.2">
      <c r="A60" s="264">
        <v>13</v>
      </c>
      <c r="B60" s="230" t="s">
        <v>120</v>
      </c>
      <c r="C60" s="231">
        <v>4528</v>
      </c>
      <c r="D60" s="232">
        <v>3.2597114637026001</v>
      </c>
      <c r="E60" s="232"/>
      <c r="F60" s="230" t="s">
        <v>312</v>
      </c>
      <c r="G60" s="231">
        <v>3960</v>
      </c>
      <c r="H60" s="232">
        <v>3.1906150796848101</v>
      </c>
      <c r="I60" s="232"/>
      <c r="J60" s="230" t="s">
        <v>120</v>
      </c>
      <c r="K60" s="231">
        <v>3280</v>
      </c>
      <c r="L60" s="232">
        <v>3.2605670205574802</v>
      </c>
      <c r="M60" s="233"/>
      <c r="N60" s="230" t="s">
        <v>299</v>
      </c>
      <c r="O60" s="234">
        <v>2915</v>
      </c>
      <c r="P60" s="233">
        <v>3.1066160798021998</v>
      </c>
      <c r="Q60" s="233"/>
      <c r="R60" s="230" t="s">
        <v>454</v>
      </c>
      <c r="S60" s="234">
        <v>2703</v>
      </c>
      <c r="T60" s="233">
        <v>3.1286170656048902</v>
      </c>
    </row>
    <row r="61" spans="1:20" s="265" customFormat="1" ht="15" customHeight="1" x14ac:dyDescent="0.2">
      <c r="A61" s="264">
        <v>14</v>
      </c>
      <c r="B61" s="230" t="s">
        <v>296</v>
      </c>
      <c r="C61" s="231">
        <v>4039</v>
      </c>
      <c r="D61" s="232">
        <v>2.90767990324531</v>
      </c>
      <c r="E61" s="232"/>
      <c r="F61" s="230" t="s">
        <v>292</v>
      </c>
      <c r="G61" s="231">
        <v>3585</v>
      </c>
      <c r="H61" s="232">
        <v>2.8884735001692001</v>
      </c>
      <c r="I61" s="232"/>
      <c r="J61" s="230" t="s">
        <v>296</v>
      </c>
      <c r="K61" s="231">
        <v>2627</v>
      </c>
      <c r="L61" s="232">
        <v>2.6114358423794202</v>
      </c>
      <c r="M61" s="233"/>
      <c r="N61" s="230" t="s">
        <v>312</v>
      </c>
      <c r="O61" s="234">
        <v>2876</v>
      </c>
      <c r="P61" s="233">
        <v>3.06505243413761</v>
      </c>
      <c r="Q61" s="233"/>
      <c r="R61" s="230" t="s">
        <v>312</v>
      </c>
      <c r="S61" s="234">
        <v>2602</v>
      </c>
      <c r="T61" s="233">
        <v>3.0117135052548698</v>
      </c>
    </row>
    <row r="62" spans="1:20" s="265" customFormat="1" ht="25.5" x14ac:dyDescent="0.2">
      <c r="A62" s="264">
        <v>15</v>
      </c>
      <c r="B62" s="230" t="s">
        <v>292</v>
      </c>
      <c r="C62" s="231">
        <v>3738</v>
      </c>
      <c r="D62" s="232">
        <v>2.6909897198145498</v>
      </c>
      <c r="E62" s="232"/>
      <c r="F62" s="230" t="s">
        <v>296</v>
      </c>
      <c r="G62" s="231">
        <v>3433</v>
      </c>
      <c r="H62" s="232">
        <v>2.7660054466055399</v>
      </c>
      <c r="I62" s="232"/>
      <c r="J62" s="230" t="s">
        <v>454</v>
      </c>
      <c r="K62" s="231">
        <v>2623</v>
      </c>
      <c r="L62" s="232">
        <v>2.60745954113484</v>
      </c>
      <c r="M62" s="233"/>
      <c r="N62" s="230" t="s">
        <v>454</v>
      </c>
      <c r="O62" s="234">
        <v>2684</v>
      </c>
      <c r="P62" s="233">
        <v>2.86043140932731</v>
      </c>
      <c r="Q62" s="233"/>
      <c r="R62" s="230" t="s">
        <v>299</v>
      </c>
      <c r="S62" s="234">
        <v>2547</v>
      </c>
      <c r="T62" s="233">
        <v>2.9480531506088199</v>
      </c>
    </row>
    <row r="63" spans="1:20" s="265" customFormat="1" ht="25.5" x14ac:dyDescent="0.2">
      <c r="A63" s="264">
        <v>16</v>
      </c>
      <c r="B63" s="230" t="s">
        <v>454</v>
      </c>
      <c r="C63" s="231">
        <v>3449</v>
      </c>
      <c r="D63" s="232">
        <v>2.4829383476833602</v>
      </c>
      <c r="E63" s="232"/>
      <c r="F63" s="230" t="s">
        <v>299</v>
      </c>
      <c r="G63" s="231">
        <v>3316</v>
      </c>
      <c r="H63" s="232">
        <v>2.67173727379667</v>
      </c>
      <c r="I63" s="232"/>
      <c r="J63" s="230" t="s">
        <v>292</v>
      </c>
      <c r="K63" s="231">
        <v>2587</v>
      </c>
      <c r="L63" s="232">
        <v>2.5716728299336</v>
      </c>
      <c r="M63" s="233"/>
      <c r="N63" s="230" t="s">
        <v>292</v>
      </c>
      <c r="O63" s="234">
        <v>2484</v>
      </c>
      <c r="P63" s="233">
        <v>2.6472845084832501</v>
      </c>
      <c r="Q63" s="233"/>
      <c r="R63" s="230" t="s">
        <v>292</v>
      </c>
      <c r="S63" s="234">
        <v>2416</v>
      </c>
      <c r="T63" s="233">
        <v>2.7964257604518701</v>
      </c>
    </row>
    <row r="64" spans="1:20" s="265" customFormat="1" ht="25.5" x14ac:dyDescent="0.2">
      <c r="A64" s="264">
        <v>17</v>
      </c>
      <c r="B64" s="230" t="s">
        <v>299</v>
      </c>
      <c r="C64" s="231">
        <v>3263</v>
      </c>
      <c r="D64" s="232">
        <v>2.3490367725400998</v>
      </c>
      <c r="E64" s="232"/>
      <c r="F64" s="230" t="s">
        <v>454</v>
      </c>
      <c r="G64" s="231">
        <v>3278</v>
      </c>
      <c r="H64" s="232">
        <v>2.64112026040576</v>
      </c>
      <c r="I64" s="232"/>
      <c r="J64" s="230" t="s">
        <v>299</v>
      </c>
      <c r="K64" s="231">
        <v>2535</v>
      </c>
      <c r="L64" s="232">
        <v>2.5199809137540301</v>
      </c>
      <c r="M64" s="233"/>
      <c r="N64" s="230" t="s">
        <v>296</v>
      </c>
      <c r="O64" s="234">
        <v>2368</v>
      </c>
      <c r="P64" s="233">
        <v>2.5236593059936898</v>
      </c>
      <c r="Q64" s="233"/>
      <c r="R64" s="230" t="s">
        <v>296</v>
      </c>
      <c r="S64" s="234">
        <v>2227</v>
      </c>
      <c r="T64" s="233">
        <v>2.5776656326681802</v>
      </c>
    </row>
    <row r="65" spans="1:20" s="265" customFormat="1" ht="15" customHeight="1" x14ac:dyDescent="0.2">
      <c r="A65" s="264">
        <v>18</v>
      </c>
      <c r="B65" s="230" t="s">
        <v>291</v>
      </c>
      <c r="C65" s="231">
        <v>3138</v>
      </c>
      <c r="D65" s="232">
        <v>2.2590491548362901</v>
      </c>
      <c r="E65" s="232"/>
      <c r="F65" s="230" t="s">
        <v>291</v>
      </c>
      <c r="G65" s="231">
        <v>2696</v>
      </c>
      <c r="H65" s="232">
        <v>2.17219652899754</v>
      </c>
      <c r="I65" s="232"/>
      <c r="J65" s="230" t="s">
        <v>291</v>
      </c>
      <c r="K65" s="231">
        <v>2300</v>
      </c>
      <c r="L65" s="232">
        <v>2.28637321563482</v>
      </c>
      <c r="M65" s="233"/>
      <c r="N65" s="230" t="s">
        <v>291</v>
      </c>
      <c r="O65" s="234">
        <v>2302</v>
      </c>
      <c r="P65" s="233">
        <v>2.45332082871515</v>
      </c>
      <c r="Q65" s="233"/>
      <c r="R65" s="230" t="s">
        <v>291</v>
      </c>
      <c r="S65" s="234">
        <v>2104</v>
      </c>
      <c r="T65" s="233">
        <v>2.4352979304597402</v>
      </c>
    </row>
    <row r="66" spans="1:20" s="265" customFormat="1" ht="15" customHeight="1" x14ac:dyDescent="0.2">
      <c r="A66" s="264">
        <v>19</v>
      </c>
      <c r="B66" s="230" t="s">
        <v>295</v>
      </c>
      <c r="C66" s="231">
        <v>2910</v>
      </c>
      <c r="D66" s="232">
        <v>2.0949117401445601</v>
      </c>
      <c r="E66" s="232"/>
      <c r="F66" s="230" t="s">
        <v>295</v>
      </c>
      <c r="G66" s="231">
        <v>2647</v>
      </c>
      <c r="H66" s="232">
        <v>2.1327166959408301</v>
      </c>
      <c r="I66" s="232"/>
      <c r="J66" s="230" t="s">
        <v>295</v>
      </c>
      <c r="K66" s="231">
        <v>2241</v>
      </c>
      <c r="L66" s="232">
        <v>2.2277227722772301</v>
      </c>
      <c r="M66" s="233"/>
      <c r="N66" s="230" t="s">
        <v>295</v>
      </c>
      <c r="O66" s="234">
        <v>2019</v>
      </c>
      <c r="P66" s="233">
        <v>2.1517179640208002</v>
      </c>
      <c r="Q66" s="233"/>
      <c r="R66" s="230" t="s">
        <v>295</v>
      </c>
      <c r="S66" s="234">
        <v>1806</v>
      </c>
      <c r="T66" s="233">
        <v>2.0903745543775201</v>
      </c>
    </row>
    <row r="67" spans="1:20" s="265" customFormat="1" ht="15" customHeight="1" x14ac:dyDescent="0.2">
      <c r="A67" s="266">
        <v>20</v>
      </c>
      <c r="B67" s="251" t="s">
        <v>322</v>
      </c>
      <c r="C67" s="252">
        <v>2535</v>
      </c>
      <c r="D67" s="253">
        <v>1.8249488870331401</v>
      </c>
      <c r="E67" s="253"/>
      <c r="F67" s="251" t="s">
        <v>288</v>
      </c>
      <c r="G67" s="252">
        <v>2182</v>
      </c>
      <c r="H67" s="253">
        <v>1.7580611373414801</v>
      </c>
      <c r="I67" s="253"/>
      <c r="J67" s="251" t="s">
        <v>390</v>
      </c>
      <c r="K67" s="252">
        <v>1479</v>
      </c>
      <c r="L67" s="253">
        <v>1.4702373851843</v>
      </c>
      <c r="M67" s="254"/>
      <c r="N67" s="251" t="s">
        <v>288</v>
      </c>
      <c r="O67" s="255">
        <v>1554</v>
      </c>
      <c r="P67" s="254">
        <v>1.65615141955836</v>
      </c>
      <c r="Q67" s="254"/>
      <c r="R67" s="251" t="s">
        <v>288</v>
      </c>
      <c r="S67" s="255">
        <v>1378</v>
      </c>
      <c r="T67" s="254">
        <v>1.5949812491319</v>
      </c>
    </row>
    <row r="68" spans="1:20" s="267" customFormat="1" ht="15" customHeight="1" x14ac:dyDescent="0.2">
      <c r="A68" s="635" t="s">
        <v>324</v>
      </c>
      <c r="B68" s="634"/>
      <c r="C68" s="23"/>
      <c r="D68" s="24"/>
      <c r="E68" s="242"/>
      <c r="F68" s="243"/>
      <c r="G68" s="23"/>
      <c r="H68" s="24"/>
      <c r="I68" s="242"/>
      <c r="J68" s="243"/>
      <c r="K68" s="23"/>
      <c r="L68" s="24"/>
      <c r="M68" s="242"/>
      <c r="N68" s="243"/>
      <c r="O68" s="23"/>
      <c r="P68" s="24"/>
      <c r="Q68" s="242"/>
      <c r="R68" s="243"/>
      <c r="S68" s="23"/>
      <c r="T68" s="24"/>
    </row>
    <row r="69" spans="1:20" s="265" customFormat="1" ht="15" customHeight="1" x14ac:dyDescent="0.2">
      <c r="A69" s="264">
        <v>1</v>
      </c>
      <c r="B69" s="230" t="s">
        <v>320</v>
      </c>
      <c r="C69" s="231">
        <v>12383</v>
      </c>
      <c r="D69" s="232">
        <v>8.9145333602096404</v>
      </c>
      <c r="E69" s="232"/>
      <c r="F69" s="230" t="s">
        <v>320</v>
      </c>
      <c r="G69" s="231">
        <v>10183</v>
      </c>
      <c r="H69" s="232">
        <v>8.2045538778864593</v>
      </c>
      <c r="I69" s="232"/>
      <c r="J69" s="230" t="s">
        <v>320</v>
      </c>
      <c r="K69" s="231">
        <v>7957</v>
      </c>
      <c r="L69" s="232">
        <v>7.9098572507853202</v>
      </c>
      <c r="M69" s="233"/>
      <c r="N69" s="230" t="s">
        <v>320</v>
      </c>
      <c r="O69" s="234">
        <v>7434</v>
      </c>
      <c r="P69" s="233">
        <v>7.9226703043737796</v>
      </c>
      <c r="Q69" s="233"/>
      <c r="R69" s="230" t="s">
        <v>320</v>
      </c>
      <c r="S69" s="234">
        <v>6256</v>
      </c>
      <c r="T69" s="233">
        <v>7.2410759757396201</v>
      </c>
    </row>
    <row r="70" spans="1:20" s="265" customFormat="1" ht="15" customHeight="1" x14ac:dyDescent="0.2">
      <c r="A70" s="264">
        <v>2</v>
      </c>
      <c r="B70" s="230" t="s">
        <v>117</v>
      </c>
      <c r="C70" s="231">
        <v>11643</v>
      </c>
      <c r="D70" s="232">
        <v>8.3818066634031201</v>
      </c>
      <c r="E70" s="232"/>
      <c r="F70" s="230" t="s">
        <v>117</v>
      </c>
      <c r="G70" s="231">
        <v>9258</v>
      </c>
      <c r="H70" s="232">
        <v>7.4592713150812999</v>
      </c>
      <c r="I70" s="232"/>
      <c r="J70" s="230" t="s">
        <v>117</v>
      </c>
      <c r="K70" s="231">
        <v>6931</v>
      </c>
      <c r="L70" s="232">
        <v>6.8899359815499599</v>
      </c>
      <c r="M70" s="233"/>
      <c r="N70" s="230" t="s">
        <v>117</v>
      </c>
      <c r="O70" s="234">
        <v>6253</v>
      </c>
      <c r="P70" s="233">
        <v>6.6640378548895898</v>
      </c>
      <c r="Q70" s="233"/>
      <c r="R70" s="230" t="s">
        <v>454</v>
      </c>
      <c r="S70" s="234">
        <v>5459</v>
      </c>
      <c r="T70" s="233">
        <v>6.3185795638686999</v>
      </c>
    </row>
    <row r="71" spans="1:20" s="265" customFormat="1" ht="15" customHeight="1" x14ac:dyDescent="0.2">
      <c r="A71" s="264">
        <v>3</v>
      </c>
      <c r="B71" s="230" t="s">
        <v>315</v>
      </c>
      <c r="C71" s="231">
        <v>9511</v>
      </c>
      <c r="D71" s="232">
        <v>6.8469778558470402</v>
      </c>
      <c r="E71" s="232"/>
      <c r="F71" s="230" t="s">
        <v>315</v>
      </c>
      <c r="G71" s="231">
        <v>7951</v>
      </c>
      <c r="H71" s="232">
        <v>6.4062071966095697</v>
      </c>
      <c r="I71" s="232"/>
      <c r="J71" s="230" t="s">
        <v>315</v>
      </c>
      <c r="K71" s="231">
        <v>6390</v>
      </c>
      <c r="L71" s="232">
        <v>6.3521412382202103</v>
      </c>
      <c r="M71" s="233"/>
      <c r="N71" s="230" t="s">
        <v>315</v>
      </c>
      <c r="O71" s="234">
        <v>6043</v>
      </c>
      <c r="P71" s="233">
        <v>6.4402336090033296</v>
      </c>
      <c r="Q71" s="233"/>
      <c r="R71" s="230" t="s">
        <v>315</v>
      </c>
      <c r="S71" s="234">
        <v>5158</v>
      </c>
      <c r="T71" s="233">
        <v>5.9701838048057798</v>
      </c>
    </row>
    <row r="72" spans="1:20" s="265" customFormat="1" ht="15" customHeight="1" x14ac:dyDescent="0.2">
      <c r="A72" s="264">
        <v>4</v>
      </c>
      <c r="B72" s="230" t="s">
        <v>308</v>
      </c>
      <c r="C72" s="231">
        <v>8205</v>
      </c>
      <c r="D72" s="232">
        <v>5.9067872260776904</v>
      </c>
      <c r="E72" s="232"/>
      <c r="F72" s="230" t="s">
        <v>292</v>
      </c>
      <c r="G72" s="231">
        <v>6817</v>
      </c>
      <c r="H72" s="232">
        <v>5.4925310601543798</v>
      </c>
      <c r="I72" s="232"/>
      <c r="J72" s="230" t="s">
        <v>454</v>
      </c>
      <c r="K72" s="231">
        <v>5793</v>
      </c>
      <c r="L72" s="232">
        <v>5.7586782774663003</v>
      </c>
      <c r="M72" s="233"/>
      <c r="N72" s="230" t="s">
        <v>454</v>
      </c>
      <c r="O72" s="234">
        <v>5377</v>
      </c>
      <c r="P72" s="233">
        <v>5.7304544291925996</v>
      </c>
      <c r="Q72" s="233"/>
      <c r="R72" s="230" t="s">
        <v>117</v>
      </c>
      <c r="S72" s="234">
        <v>4875</v>
      </c>
      <c r="T72" s="233">
        <v>5.6426223436270204</v>
      </c>
    </row>
    <row r="73" spans="1:20" s="265" customFormat="1" ht="15" customHeight="1" x14ac:dyDescent="0.2">
      <c r="A73" s="264">
        <v>5</v>
      </c>
      <c r="B73" s="230" t="s">
        <v>322</v>
      </c>
      <c r="C73" s="231">
        <v>8046</v>
      </c>
      <c r="D73" s="232">
        <v>5.7923229763584496</v>
      </c>
      <c r="E73" s="232"/>
      <c r="F73" s="230" t="s">
        <v>308</v>
      </c>
      <c r="G73" s="231">
        <v>6668</v>
      </c>
      <c r="H73" s="232">
        <v>5.3724801392268402</v>
      </c>
      <c r="I73" s="232"/>
      <c r="J73" s="230" t="s">
        <v>292</v>
      </c>
      <c r="K73" s="231">
        <v>5243</v>
      </c>
      <c r="L73" s="232">
        <v>5.2119368563362398</v>
      </c>
      <c r="M73" s="233"/>
      <c r="N73" s="230" t="s">
        <v>292</v>
      </c>
      <c r="O73" s="234">
        <v>5123</v>
      </c>
      <c r="P73" s="233">
        <v>5.4597578651206398</v>
      </c>
      <c r="Q73" s="233"/>
      <c r="R73" s="230" t="s">
        <v>292</v>
      </c>
      <c r="S73" s="234">
        <v>4622</v>
      </c>
      <c r="T73" s="233">
        <v>5.3497847122552002</v>
      </c>
    </row>
    <row r="74" spans="1:20" s="265" customFormat="1" ht="15" customHeight="1" x14ac:dyDescent="0.2">
      <c r="A74" s="264">
        <v>6</v>
      </c>
      <c r="B74" s="230" t="s">
        <v>292</v>
      </c>
      <c r="C74" s="231">
        <v>7481</v>
      </c>
      <c r="D74" s="232">
        <v>5.3855789443372597</v>
      </c>
      <c r="E74" s="232"/>
      <c r="F74" s="230" t="s">
        <v>454</v>
      </c>
      <c r="G74" s="231">
        <v>6267</v>
      </c>
      <c r="H74" s="232">
        <v>5.0493900768648201</v>
      </c>
      <c r="I74" s="232"/>
      <c r="J74" s="230" t="s">
        <v>308</v>
      </c>
      <c r="K74" s="231">
        <v>5093</v>
      </c>
      <c r="L74" s="232">
        <v>5.0628255596644003</v>
      </c>
      <c r="M74" s="233"/>
      <c r="N74" s="230" t="s">
        <v>308</v>
      </c>
      <c r="O74" s="234">
        <v>4718</v>
      </c>
      <c r="P74" s="233">
        <v>5.0281353909114204</v>
      </c>
      <c r="Q74" s="233"/>
      <c r="R74" s="230" t="s">
        <v>308</v>
      </c>
      <c r="S74" s="234">
        <v>3931</v>
      </c>
      <c r="T74" s="233">
        <v>4.54997916570212</v>
      </c>
    </row>
    <row r="75" spans="1:20" s="265" customFormat="1" ht="15" customHeight="1" x14ac:dyDescent="0.2">
      <c r="A75" s="264">
        <v>7</v>
      </c>
      <c r="B75" s="230" t="s">
        <v>454</v>
      </c>
      <c r="C75" s="231">
        <v>6940</v>
      </c>
      <c r="D75" s="232">
        <v>4.9961125349152002</v>
      </c>
      <c r="E75" s="232"/>
      <c r="F75" s="230" t="s">
        <v>322</v>
      </c>
      <c r="G75" s="231">
        <v>5916</v>
      </c>
      <c r="H75" s="232">
        <v>4.7665855584382104</v>
      </c>
      <c r="I75" s="232"/>
      <c r="J75" s="230" t="s">
        <v>322</v>
      </c>
      <c r="K75" s="231">
        <v>4043</v>
      </c>
      <c r="L75" s="232">
        <v>4.0190464829615502</v>
      </c>
      <c r="M75" s="233"/>
      <c r="N75" s="230" t="s">
        <v>322</v>
      </c>
      <c r="O75" s="234">
        <v>3343</v>
      </c>
      <c r="P75" s="233">
        <v>3.5627504476084901</v>
      </c>
      <c r="Q75" s="233"/>
      <c r="R75" s="230" t="s">
        <v>322</v>
      </c>
      <c r="S75" s="234">
        <v>2448</v>
      </c>
      <c r="T75" s="233">
        <v>2.8334645122459401</v>
      </c>
    </row>
    <row r="76" spans="1:20" s="265" customFormat="1" ht="15" customHeight="1" x14ac:dyDescent="0.2">
      <c r="A76" s="264">
        <v>8</v>
      </c>
      <c r="B76" s="230" t="s">
        <v>120</v>
      </c>
      <c r="C76" s="231">
        <v>3529</v>
      </c>
      <c r="D76" s="232">
        <v>2.5405304230137902</v>
      </c>
      <c r="E76" s="232"/>
      <c r="F76" s="230" t="s">
        <v>120</v>
      </c>
      <c r="G76" s="231">
        <v>3158</v>
      </c>
      <c r="H76" s="232">
        <v>2.5444349549607601</v>
      </c>
      <c r="I76" s="232"/>
      <c r="J76" s="230" t="s">
        <v>120</v>
      </c>
      <c r="K76" s="231">
        <v>2643</v>
      </c>
      <c r="L76" s="232">
        <v>2.6273410473577501</v>
      </c>
      <c r="M76" s="233"/>
      <c r="N76" s="230" t="s">
        <v>120</v>
      </c>
      <c r="O76" s="234">
        <v>2507</v>
      </c>
      <c r="P76" s="233">
        <v>2.67179640208031</v>
      </c>
      <c r="Q76" s="233"/>
      <c r="R76" s="230" t="s">
        <v>120</v>
      </c>
      <c r="S76" s="234">
        <v>2209</v>
      </c>
      <c r="T76" s="233">
        <v>2.5568313347840199</v>
      </c>
    </row>
    <row r="77" spans="1:20" s="265" customFormat="1" ht="15" customHeight="1" x14ac:dyDescent="0.2">
      <c r="A77" s="264">
        <v>9</v>
      </c>
      <c r="B77" s="230" t="s">
        <v>317</v>
      </c>
      <c r="C77" s="231">
        <v>3475</v>
      </c>
      <c r="D77" s="232">
        <v>2.50165577216575</v>
      </c>
      <c r="E77" s="232"/>
      <c r="F77" s="230" t="s">
        <v>317</v>
      </c>
      <c r="G77" s="231">
        <v>3043</v>
      </c>
      <c r="H77" s="232">
        <v>2.4517782039093099</v>
      </c>
      <c r="I77" s="232"/>
      <c r="J77" s="230" t="s">
        <v>317</v>
      </c>
      <c r="K77" s="231">
        <v>2350</v>
      </c>
      <c r="L77" s="232">
        <v>2.3360769811920998</v>
      </c>
      <c r="M77" s="233"/>
      <c r="N77" s="230" t="s">
        <v>317</v>
      </c>
      <c r="O77" s="234">
        <v>2281</v>
      </c>
      <c r="P77" s="233">
        <v>2.4309404041265199</v>
      </c>
      <c r="Q77" s="233"/>
      <c r="R77" s="230" t="s">
        <v>317</v>
      </c>
      <c r="S77" s="234">
        <v>2098</v>
      </c>
      <c r="T77" s="233">
        <v>2.4283531644983598</v>
      </c>
    </row>
    <row r="78" spans="1:20" s="265" customFormat="1" ht="15" customHeight="1" x14ac:dyDescent="0.2">
      <c r="A78" s="264">
        <v>10</v>
      </c>
      <c r="B78" s="230" t="s">
        <v>296</v>
      </c>
      <c r="C78" s="231">
        <v>3279</v>
      </c>
      <c r="D78" s="232">
        <v>2.3605551876061899</v>
      </c>
      <c r="E78" s="232"/>
      <c r="F78" s="230" t="s">
        <v>296</v>
      </c>
      <c r="G78" s="231">
        <v>2759</v>
      </c>
      <c r="H78" s="232">
        <v>2.2229563143561601</v>
      </c>
      <c r="I78" s="232"/>
      <c r="J78" s="230" t="s">
        <v>296</v>
      </c>
      <c r="K78" s="231">
        <v>2151</v>
      </c>
      <c r="L78" s="232">
        <v>2.1382559942741302</v>
      </c>
      <c r="M78" s="233"/>
      <c r="N78" s="230" t="s">
        <v>296</v>
      </c>
      <c r="O78" s="234">
        <v>2100</v>
      </c>
      <c r="P78" s="233">
        <v>2.2380424588626502</v>
      </c>
      <c r="Q78" s="233"/>
      <c r="R78" s="230" t="s">
        <v>296</v>
      </c>
      <c r="S78" s="234">
        <v>1888</v>
      </c>
      <c r="T78" s="233">
        <v>2.1852863558498101</v>
      </c>
    </row>
    <row r="79" spans="1:20" s="265" customFormat="1" ht="15" customHeight="1" x14ac:dyDescent="0.2">
      <c r="A79" s="264">
        <v>11</v>
      </c>
      <c r="B79" s="230" t="s">
        <v>314</v>
      </c>
      <c r="C79" s="231">
        <v>3098</v>
      </c>
      <c r="D79" s="232">
        <v>2.2302531171710802</v>
      </c>
      <c r="E79" s="232"/>
      <c r="F79" s="230" t="s">
        <v>314</v>
      </c>
      <c r="G79" s="231">
        <v>2669</v>
      </c>
      <c r="H79" s="232">
        <v>2.1504423352724098</v>
      </c>
      <c r="I79" s="232"/>
      <c r="J79" s="230" t="s">
        <v>311</v>
      </c>
      <c r="K79" s="231">
        <v>1968</v>
      </c>
      <c r="L79" s="232">
        <v>1.95634021233449</v>
      </c>
      <c r="M79" s="233"/>
      <c r="N79" s="230" t="s">
        <v>314</v>
      </c>
      <c r="O79" s="234">
        <v>1905</v>
      </c>
      <c r="P79" s="233">
        <v>2.03022423053969</v>
      </c>
      <c r="Q79" s="233"/>
      <c r="R79" s="230" t="s">
        <v>311</v>
      </c>
      <c r="S79" s="234">
        <v>1700</v>
      </c>
      <c r="T79" s="233">
        <v>1.9676836890596801</v>
      </c>
    </row>
    <row r="80" spans="1:20" s="265" customFormat="1" ht="15" customHeight="1" x14ac:dyDescent="0.2">
      <c r="A80" s="264">
        <v>12</v>
      </c>
      <c r="B80" s="230" t="s">
        <v>311</v>
      </c>
      <c r="C80" s="231">
        <v>2554</v>
      </c>
      <c r="D80" s="232">
        <v>1.83862700492412</v>
      </c>
      <c r="E80" s="232"/>
      <c r="F80" s="230" t="s">
        <v>311</v>
      </c>
      <c r="G80" s="231">
        <v>2213</v>
      </c>
      <c r="H80" s="232">
        <v>1.7830381745814301</v>
      </c>
      <c r="I80" s="232"/>
      <c r="J80" s="230" t="s">
        <v>314</v>
      </c>
      <c r="K80" s="231">
        <v>1896</v>
      </c>
      <c r="L80" s="232">
        <v>1.88476678993201</v>
      </c>
      <c r="M80" s="233"/>
      <c r="N80" s="230" t="s">
        <v>311</v>
      </c>
      <c r="O80" s="234">
        <v>1823</v>
      </c>
      <c r="P80" s="233">
        <v>1.94283400119362</v>
      </c>
      <c r="Q80" s="233"/>
      <c r="R80" s="230" t="s">
        <v>314</v>
      </c>
      <c r="S80" s="234">
        <v>1625</v>
      </c>
      <c r="T80" s="233">
        <v>1.88087411454234</v>
      </c>
    </row>
    <row r="81" spans="1:20" s="265" customFormat="1" ht="15" customHeight="1" x14ac:dyDescent="0.2">
      <c r="A81" s="264">
        <v>13</v>
      </c>
      <c r="B81" s="230" t="s">
        <v>307</v>
      </c>
      <c r="C81" s="231">
        <v>2371</v>
      </c>
      <c r="D81" s="232">
        <v>1.7068851326057499</v>
      </c>
      <c r="E81" s="232"/>
      <c r="F81" s="230" t="s">
        <v>307</v>
      </c>
      <c r="G81" s="231">
        <v>2032</v>
      </c>
      <c r="H81" s="232">
        <v>1.63720450553523</v>
      </c>
      <c r="I81" s="232"/>
      <c r="J81" s="230" t="s">
        <v>307</v>
      </c>
      <c r="K81" s="231">
        <v>1647</v>
      </c>
      <c r="L81" s="232">
        <v>1.63724203745676</v>
      </c>
      <c r="M81" s="233"/>
      <c r="N81" s="230" t="s">
        <v>299</v>
      </c>
      <c r="O81" s="234">
        <v>1462</v>
      </c>
      <c r="P81" s="233">
        <v>1.5581038451700899</v>
      </c>
      <c r="Q81" s="233"/>
      <c r="R81" s="230" t="s">
        <v>299</v>
      </c>
      <c r="S81" s="234">
        <v>1503</v>
      </c>
      <c r="T81" s="233">
        <v>1.7396638733274701</v>
      </c>
    </row>
    <row r="82" spans="1:20" s="265" customFormat="1" ht="15" customHeight="1" x14ac:dyDescent="0.2">
      <c r="A82" s="264">
        <v>14</v>
      </c>
      <c r="B82" s="230" t="s">
        <v>300</v>
      </c>
      <c r="C82" s="231">
        <v>2341</v>
      </c>
      <c r="D82" s="232">
        <v>1.68528810435684</v>
      </c>
      <c r="E82" s="232"/>
      <c r="F82" s="230" t="s">
        <v>303</v>
      </c>
      <c r="G82" s="231">
        <v>1898</v>
      </c>
      <c r="H82" s="232">
        <v>1.5292392477883201</v>
      </c>
      <c r="I82" s="232"/>
      <c r="J82" s="230" t="s">
        <v>299</v>
      </c>
      <c r="K82" s="231">
        <v>1545</v>
      </c>
      <c r="L82" s="232">
        <v>1.53584635571991</v>
      </c>
      <c r="M82" s="233"/>
      <c r="N82" s="230" t="s">
        <v>307</v>
      </c>
      <c r="O82" s="234">
        <v>1371</v>
      </c>
      <c r="P82" s="233">
        <v>1.4611220052860401</v>
      </c>
      <c r="Q82" s="233"/>
      <c r="R82" s="230" t="s">
        <v>334</v>
      </c>
      <c r="S82" s="234">
        <v>1222</v>
      </c>
      <c r="T82" s="233">
        <v>1.4144173341358399</v>
      </c>
    </row>
    <row r="83" spans="1:20" s="265" customFormat="1" ht="15" customHeight="1" x14ac:dyDescent="0.2">
      <c r="A83" s="264">
        <v>15</v>
      </c>
      <c r="B83" s="230" t="s">
        <v>303</v>
      </c>
      <c r="C83" s="231">
        <v>2262</v>
      </c>
      <c r="D83" s="232">
        <v>1.6284159299680401</v>
      </c>
      <c r="E83" s="232"/>
      <c r="F83" s="230" t="s">
        <v>300</v>
      </c>
      <c r="G83" s="231">
        <v>1879</v>
      </c>
      <c r="H83" s="232">
        <v>1.51393074109287</v>
      </c>
      <c r="I83" s="232"/>
      <c r="J83" s="230" t="s">
        <v>300</v>
      </c>
      <c r="K83" s="231">
        <v>1494</v>
      </c>
      <c r="L83" s="232">
        <v>1.48514851485149</v>
      </c>
      <c r="M83" s="233"/>
      <c r="N83" s="230" t="s">
        <v>303</v>
      </c>
      <c r="O83" s="234">
        <v>1355</v>
      </c>
      <c r="P83" s="233">
        <v>1.4440702532185199</v>
      </c>
      <c r="Q83" s="233"/>
      <c r="R83" s="230" t="s">
        <v>307</v>
      </c>
      <c r="S83" s="234">
        <v>1211</v>
      </c>
      <c r="T83" s="233">
        <v>1.4016852632066299</v>
      </c>
    </row>
    <row r="84" spans="1:20" s="265" customFormat="1" ht="15" customHeight="1" x14ac:dyDescent="0.2">
      <c r="A84" s="264">
        <v>16</v>
      </c>
      <c r="B84" s="230" t="s">
        <v>298</v>
      </c>
      <c r="C84" s="231">
        <v>2070</v>
      </c>
      <c r="D84" s="232">
        <v>1.49019494917499</v>
      </c>
      <c r="E84" s="232"/>
      <c r="F84" s="230" t="s">
        <v>290</v>
      </c>
      <c r="G84" s="231">
        <v>1504</v>
      </c>
      <c r="H84" s="232">
        <v>1.21178916157726</v>
      </c>
      <c r="I84" s="232"/>
      <c r="J84" s="230" t="s">
        <v>303</v>
      </c>
      <c r="K84" s="231">
        <v>1470</v>
      </c>
      <c r="L84" s="232">
        <v>1.46129070738399</v>
      </c>
      <c r="M84" s="233"/>
      <c r="N84" s="230" t="s">
        <v>300</v>
      </c>
      <c r="O84" s="234">
        <v>1196</v>
      </c>
      <c r="P84" s="233">
        <v>1.27461846704749</v>
      </c>
      <c r="Q84" s="233"/>
      <c r="R84" s="230" t="s">
        <v>303</v>
      </c>
      <c r="S84" s="234">
        <v>1164</v>
      </c>
      <c r="T84" s="233">
        <v>1.3472845965091</v>
      </c>
    </row>
    <row r="85" spans="1:20" s="265" customFormat="1" ht="15" customHeight="1" x14ac:dyDescent="0.2">
      <c r="A85" s="264">
        <v>17</v>
      </c>
      <c r="B85" s="230" t="s">
        <v>336</v>
      </c>
      <c r="C85" s="231">
        <v>1939</v>
      </c>
      <c r="D85" s="232">
        <v>1.3958879258214101</v>
      </c>
      <c r="E85" s="232"/>
      <c r="F85" s="230" t="s">
        <v>299</v>
      </c>
      <c r="G85" s="231">
        <v>1487</v>
      </c>
      <c r="H85" s="232">
        <v>1.19809207663922</v>
      </c>
      <c r="I85" s="232"/>
      <c r="J85" s="230" t="s">
        <v>298</v>
      </c>
      <c r="K85" s="231">
        <v>1215</v>
      </c>
      <c r="L85" s="232">
        <v>1.2078015030418701</v>
      </c>
      <c r="M85" s="233"/>
      <c r="N85" s="230" t="s">
        <v>334</v>
      </c>
      <c r="O85" s="234">
        <v>1123</v>
      </c>
      <c r="P85" s="233">
        <v>1.1968198482394099</v>
      </c>
      <c r="Q85" s="233"/>
      <c r="R85" s="230" t="s">
        <v>300</v>
      </c>
      <c r="S85" s="234">
        <v>1108</v>
      </c>
      <c r="T85" s="233">
        <v>1.2824667808694901</v>
      </c>
    </row>
    <row r="86" spans="1:20" s="265" customFormat="1" ht="15" customHeight="1" x14ac:dyDescent="0.2">
      <c r="A86" s="264">
        <v>18</v>
      </c>
      <c r="B86" s="230" t="s">
        <v>382</v>
      </c>
      <c r="C86" s="231">
        <v>1834</v>
      </c>
      <c r="D86" s="232">
        <v>1.32029832695021</v>
      </c>
      <c r="E86" s="232"/>
      <c r="F86" s="230" t="s">
        <v>294</v>
      </c>
      <c r="G86" s="231">
        <v>1448</v>
      </c>
      <c r="H86" s="232">
        <v>1.1666693523695999</v>
      </c>
      <c r="I86" s="232"/>
      <c r="J86" s="230" t="s">
        <v>294</v>
      </c>
      <c r="K86" s="231">
        <v>1204</v>
      </c>
      <c r="L86" s="232">
        <v>1.19686667461927</v>
      </c>
      <c r="M86" s="233"/>
      <c r="N86" s="230" t="s">
        <v>294</v>
      </c>
      <c r="O86" s="234">
        <v>1101</v>
      </c>
      <c r="P86" s="233">
        <v>1.17337368914656</v>
      </c>
      <c r="Q86" s="233"/>
      <c r="R86" s="230" t="s">
        <v>333</v>
      </c>
      <c r="S86" s="234">
        <v>1072</v>
      </c>
      <c r="T86" s="233">
        <v>1.24079818510116</v>
      </c>
    </row>
    <row r="87" spans="1:20" s="265" customFormat="1" ht="15" customHeight="1" x14ac:dyDescent="0.2">
      <c r="A87" s="264">
        <v>19</v>
      </c>
      <c r="B87" s="230" t="s">
        <v>287</v>
      </c>
      <c r="C87" s="231">
        <v>1766</v>
      </c>
      <c r="D87" s="232">
        <v>1.2713450629193399</v>
      </c>
      <c r="E87" s="232"/>
      <c r="F87" s="230" t="s">
        <v>298</v>
      </c>
      <c r="G87" s="231">
        <v>1420</v>
      </c>
      <c r="H87" s="232">
        <v>1.1441094477657601</v>
      </c>
      <c r="I87" s="232"/>
      <c r="J87" s="230" t="s">
        <v>334</v>
      </c>
      <c r="K87" s="231">
        <v>1180</v>
      </c>
      <c r="L87" s="232">
        <v>1.17300886715178</v>
      </c>
      <c r="M87" s="233"/>
      <c r="N87" s="230" t="s">
        <v>290</v>
      </c>
      <c r="O87" s="234">
        <v>1053</v>
      </c>
      <c r="P87" s="233">
        <v>1.1222184329439899</v>
      </c>
      <c r="Q87" s="233"/>
      <c r="R87" s="230" t="s">
        <v>294</v>
      </c>
      <c r="S87" s="234">
        <v>1029</v>
      </c>
      <c r="T87" s="233">
        <v>1.19102736237789</v>
      </c>
    </row>
    <row r="88" spans="1:20" s="265" customFormat="1" ht="15" customHeight="1" x14ac:dyDescent="0.2">
      <c r="A88" s="264">
        <v>20</v>
      </c>
      <c r="B88" s="230" t="s">
        <v>299</v>
      </c>
      <c r="C88" s="231">
        <v>1752</v>
      </c>
      <c r="D88" s="232">
        <v>1.26126644973652</v>
      </c>
      <c r="E88" s="232"/>
      <c r="F88" s="230" t="s">
        <v>336</v>
      </c>
      <c r="G88" s="231">
        <v>1405</v>
      </c>
      <c r="H88" s="232">
        <v>1.13202378458514</v>
      </c>
      <c r="I88" s="232"/>
      <c r="J88" s="230" t="s">
        <v>290</v>
      </c>
      <c r="K88" s="231">
        <v>1126</v>
      </c>
      <c r="L88" s="232">
        <v>1.11932880034991</v>
      </c>
      <c r="M88" s="233"/>
      <c r="N88" s="230" t="s">
        <v>298</v>
      </c>
      <c r="O88" s="234">
        <v>1019</v>
      </c>
      <c r="P88" s="233">
        <v>1.08598345980049</v>
      </c>
      <c r="Q88" s="233"/>
      <c r="R88" s="230" t="s">
        <v>298</v>
      </c>
      <c r="S88" s="234">
        <v>945</v>
      </c>
      <c r="T88" s="233">
        <v>1.09380063891847</v>
      </c>
    </row>
    <row r="89" spans="1:20" s="165" customFormat="1" ht="15" customHeight="1" x14ac:dyDescent="0.2">
      <c r="A89" s="263"/>
      <c r="B89" s="256" t="s">
        <v>285</v>
      </c>
      <c r="C89" s="257">
        <v>138908</v>
      </c>
      <c r="D89" s="258" t="s">
        <v>70</v>
      </c>
      <c r="E89" s="258"/>
      <c r="F89" s="256" t="s">
        <v>285</v>
      </c>
      <c r="G89" s="257">
        <v>124114</v>
      </c>
      <c r="H89" s="258" t="s">
        <v>70</v>
      </c>
      <c r="I89" s="258"/>
      <c r="J89" s="256" t="s">
        <v>285</v>
      </c>
      <c r="K89" s="257">
        <v>100596</v>
      </c>
      <c r="L89" s="258" t="s">
        <v>70</v>
      </c>
      <c r="M89" s="259"/>
      <c r="N89" s="256" t="s">
        <v>285</v>
      </c>
      <c r="O89" s="260">
        <v>93832</v>
      </c>
      <c r="P89" s="258" t="s">
        <v>70</v>
      </c>
      <c r="Q89" s="259"/>
      <c r="R89" s="256" t="s">
        <v>285</v>
      </c>
      <c r="S89" s="260">
        <v>86396</v>
      </c>
      <c r="T89" s="258" t="s">
        <v>70</v>
      </c>
    </row>
    <row r="90" spans="1:20" s="165" customFormat="1" ht="15" customHeight="1" x14ac:dyDescent="0.2">
      <c r="A90" s="207" t="s">
        <v>616</v>
      </c>
      <c r="B90" s="207" t="s">
        <v>568</v>
      </c>
      <c r="C90" s="242"/>
      <c r="D90" s="439"/>
      <c r="E90" s="439"/>
      <c r="F90" s="548"/>
      <c r="G90" s="242"/>
      <c r="H90" s="439"/>
      <c r="I90" s="439"/>
      <c r="J90" s="548"/>
      <c r="K90" s="242"/>
      <c r="L90" s="439"/>
      <c r="M90" s="549"/>
      <c r="N90" s="548"/>
      <c r="O90" s="550"/>
      <c r="P90" s="439"/>
      <c r="Q90" s="549"/>
      <c r="R90" s="548"/>
      <c r="S90" s="550"/>
      <c r="T90" s="439"/>
    </row>
    <row r="91" spans="1:20" s="20" customFormat="1" ht="15" customHeight="1" x14ac:dyDescent="0.2">
      <c r="A91" s="218" t="s">
        <v>617</v>
      </c>
      <c r="B91" s="95" t="s">
        <v>71</v>
      </c>
      <c r="C91" s="86"/>
      <c r="D91" s="87"/>
      <c r="H91" s="95"/>
      <c r="I91" s="86"/>
      <c r="J91" s="87"/>
      <c r="N91" s="245"/>
      <c r="O91" s="246"/>
      <c r="P91" s="247"/>
      <c r="Q91" s="214"/>
    </row>
    <row r="92" spans="1:20" s="20" customFormat="1" ht="15" customHeight="1" x14ac:dyDescent="0.2">
      <c r="A92" s="218" t="s">
        <v>4</v>
      </c>
      <c r="B92" s="95"/>
      <c r="C92" s="86"/>
      <c r="D92" s="87"/>
      <c r="F92" s="212"/>
      <c r="G92" s="95"/>
      <c r="H92" s="86"/>
      <c r="I92" s="87"/>
      <c r="K92" s="212"/>
      <c r="L92" s="95"/>
      <c r="M92" s="86"/>
      <c r="N92" s="87"/>
    </row>
    <row r="93" spans="1:20" s="12" customFormat="1" ht="15" customHeight="1" x14ac:dyDescent="0.2">
      <c r="A93" s="249" t="s">
        <v>267</v>
      </c>
      <c r="B93" s="248"/>
      <c r="C93" s="248"/>
      <c r="D93" s="248"/>
      <c r="E93" s="248"/>
      <c r="F93" s="248"/>
      <c r="G93" s="248"/>
      <c r="H93" s="248"/>
      <c r="I93" s="248"/>
      <c r="J93" s="248"/>
      <c r="K93" s="248"/>
      <c r="L93" s="248"/>
      <c r="M93" s="248"/>
      <c r="N93" s="248"/>
      <c r="O93" s="248"/>
      <c r="P93" s="248"/>
    </row>
    <row r="94" spans="1:20" s="12" customFormat="1" ht="15" customHeight="1" x14ac:dyDescent="0.2">
      <c r="A94" s="249" t="s">
        <v>551</v>
      </c>
      <c r="B94" s="95"/>
      <c r="C94" s="95"/>
      <c r="D94" s="95"/>
      <c r="E94" s="95"/>
      <c r="F94" s="95"/>
      <c r="G94" s="95"/>
      <c r="H94" s="95"/>
      <c r="I94" s="95"/>
      <c r="J94" s="95"/>
      <c r="K94" s="95"/>
      <c r="L94" s="95"/>
      <c r="M94" s="95"/>
      <c r="N94" s="95"/>
      <c r="O94" s="95"/>
      <c r="P94" s="95"/>
    </row>
    <row r="95" spans="1:20" s="199" customFormat="1" ht="15" customHeight="1" x14ac:dyDescent="0.2">
      <c r="A95" s="249" t="s">
        <v>328</v>
      </c>
      <c r="B95" s="95"/>
      <c r="C95" s="95"/>
      <c r="D95" s="95"/>
      <c r="E95" s="95"/>
      <c r="F95" s="95"/>
      <c r="G95" s="95"/>
      <c r="H95" s="95"/>
      <c r="I95" s="95"/>
      <c r="J95" s="95"/>
      <c r="K95" s="95"/>
      <c r="L95" s="95"/>
      <c r="M95" s="95"/>
      <c r="N95" s="95"/>
      <c r="O95" s="95"/>
      <c r="P95" s="95"/>
    </row>
    <row r="96" spans="1:20" s="199" customFormat="1" ht="15" customHeight="1" x14ac:dyDescent="0.2">
      <c r="A96" s="26" t="s">
        <v>266</v>
      </c>
      <c r="B96" s="248"/>
      <c r="C96" s="248"/>
      <c r="D96" s="248"/>
      <c r="E96" s="248"/>
      <c r="F96" s="248"/>
      <c r="G96" s="248"/>
      <c r="H96" s="248"/>
      <c r="I96" s="248"/>
      <c r="J96" s="248"/>
      <c r="K96" s="248"/>
      <c r="L96" s="248"/>
      <c r="M96" s="248"/>
      <c r="N96" s="248"/>
      <c r="O96" s="248"/>
      <c r="P96" s="248"/>
    </row>
    <row r="97" spans="1:14" s="12" customFormat="1" ht="15" customHeight="1" x14ac:dyDescent="0.2">
      <c r="A97" s="218" t="s">
        <v>553</v>
      </c>
      <c r="B97" s="95"/>
      <c r="C97" s="86"/>
      <c r="D97" s="89"/>
      <c r="E97" s="96"/>
      <c r="F97" s="97"/>
      <c r="G97" s="95"/>
      <c r="H97" s="86"/>
      <c r="I97" s="89"/>
      <c r="J97" s="96"/>
      <c r="K97" s="97"/>
      <c r="L97" s="86"/>
      <c r="M97" s="89"/>
      <c r="N97" s="29"/>
    </row>
  </sheetData>
  <mergeCells count="9">
    <mergeCell ref="R3:T3"/>
    <mergeCell ref="B3:D3"/>
    <mergeCell ref="A47:B47"/>
    <mergeCell ref="A68:B68"/>
    <mergeCell ref="A26:B26"/>
    <mergeCell ref="A5:B5"/>
    <mergeCell ref="F3:H3"/>
    <mergeCell ref="J3:L3"/>
    <mergeCell ref="N3:P3"/>
  </mergeCells>
  <hyperlinks>
    <hyperlink ref="A2" location="Contents!A1" display="Back to contents" xr:uid="{B64F7F5B-DC73-48E0-8A03-A768D10C50C6}"/>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E2D6D-86B3-4FB4-AE20-417576DEC959}">
  <dimension ref="A1:T36"/>
  <sheetViews>
    <sheetView workbookViewId="0"/>
  </sheetViews>
  <sheetFormatPr defaultRowHeight="15" customHeight="1" x14ac:dyDescent="0.2"/>
  <cols>
    <col min="1" max="1" width="6.625" style="223" customWidth="1"/>
    <col min="2" max="2" width="27.625" style="157" customWidth="1"/>
    <col min="3" max="3" width="7.625" style="157" customWidth="1"/>
    <col min="4" max="4" width="6.625" style="157" customWidth="1"/>
    <col min="5" max="5" width="2.625" style="157" customWidth="1"/>
    <col min="6" max="6" width="27.625" style="157" customWidth="1"/>
    <col min="7" max="7" width="7.625" style="157" customWidth="1"/>
    <col min="8" max="8" width="6.625" style="157" customWidth="1"/>
    <col min="9" max="9" width="2.625" style="157" customWidth="1"/>
    <col min="10" max="10" width="27.625" style="157" customWidth="1"/>
    <col min="11" max="11" width="7.625" style="157" customWidth="1"/>
    <col min="12" max="12" width="6.625" style="157" customWidth="1"/>
    <col min="13" max="13" width="2.625" style="157" customWidth="1"/>
    <col min="14" max="14" width="27.625" style="157" customWidth="1"/>
    <col min="15" max="15" width="7.625" style="157" customWidth="1"/>
    <col min="16" max="16" width="6.625" style="157" customWidth="1"/>
    <col min="17" max="17" width="2.625" style="157" customWidth="1"/>
    <col min="18" max="18" width="27.625" style="157" customWidth="1"/>
    <col min="19" max="19" width="7.625" style="157" customWidth="1"/>
    <col min="20" max="20" width="6.625" style="157" customWidth="1"/>
    <col min="21" max="16384" width="9" style="157"/>
  </cols>
  <sheetData>
    <row r="1" spans="1:20" ht="15" customHeight="1" x14ac:dyDescent="0.25">
      <c r="A1" s="151" t="s">
        <v>652</v>
      </c>
      <c r="B1" s="223"/>
      <c r="C1" s="152"/>
      <c r="D1" s="154"/>
      <c r="E1" s="154"/>
      <c r="F1" s="223"/>
      <c r="G1" s="155"/>
      <c r="H1" s="154"/>
      <c r="I1" s="154"/>
      <c r="J1" s="223"/>
      <c r="K1" s="155"/>
      <c r="L1" s="154"/>
      <c r="N1" s="223"/>
      <c r="R1" s="223"/>
    </row>
    <row r="2" spans="1:20" s="199" customFormat="1" ht="15" customHeight="1" x14ac:dyDescent="0.2">
      <c r="A2" s="500" t="s">
        <v>585</v>
      </c>
    </row>
    <row r="3" spans="1:20" ht="15" customHeight="1" x14ac:dyDescent="0.2">
      <c r="A3" s="224"/>
      <c r="B3" s="609" t="s">
        <v>599</v>
      </c>
      <c r="C3" s="609"/>
      <c r="D3" s="609"/>
      <c r="E3" s="225"/>
      <c r="F3" s="609" t="s">
        <v>261</v>
      </c>
      <c r="G3" s="609"/>
      <c r="H3" s="609"/>
      <c r="I3" s="225"/>
      <c r="J3" s="609" t="s">
        <v>262</v>
      </c>
      <c r="K3" s="609"/>
      <c r="L3" s="609"/>
      <c r="M3" s="159"/>
      <c r="N3" s="609" t="s">
        <v>263</v>
      </c>
      <c r="O3" s="609"/>
      <c r="P3" s="609"/>
      <c r="Q3" s="159"/>
      <c r="R3" s="609" t="s">
        <v>600</v>
      </c>
      <c r="S3" s="609"/>
      <c r="T3" s="609"/>
    </row>
    <row r="4" spans="1:20" ht="25.5" x14ac:dyDescent="0.2">
      <c r="A4" s="226" t="s">
        <v>39</v>
      </c>
      <c r="B4" s="126" t="s">
        <v>515</v>
      </c>
      <c r="C4" s="19" t="s">
        <v>41</v>
      </c>
      <c r="D4" s="127" t="s">
        <v>38</v>
      </c>
      <c r="E4" s="163"/>
      <c r="F4" s="126" t="s">
        <v>515</v>
      </c>
      <c r="G4" s="19" t="s">
        <v>41</v>
      </c>
      <c r="H4" s="127" t="s">
        <v>38</v>
      </c>
      <c r="I4" s="163"/>
      <c r="J4" s="126" t="s">
        <v>515</v>
      </c>
      <c r="K4" s="19" t="s">
        <v>41</v>
      </c>
      <c r="L4" s="127" t="s">
        <v>38</v>
      </c>
      <c r="M4" s="163"/>
      <c r="N4" s="126" t="s">
        <v>515</v>
      </c>
      <c r="O4" s="19" t="s">
        <v>41</v>
      </c>
      <c r="P4" s="127" t="s">
        <v>38</v>
      </c>
      <c r="Q4" s="163"/>
      <c r="R4" s="290" t="s">
        <v>515</v>
      </c>
      <c r="S4" s="19" t="s">
        <v>41</v>
      </c>
      <c r="T4" s="127" t="s">
        <v>38</v>
      </c>
    </row>
    <row r="5" spans="1:20" ht="15" customHeight="1" x14ac:dyDescent="0.2">
      <c r="A5" s="227" t="s">
        <v>0</v>
      </c>
      <c r="B5" s="224"/>
      <c r="C5" s="113"/>
      <c r="D5" s="104"/>
      <c r="E5" s="163"/>
      <c r="F5" s="228"/>
      <c r="G5" s="113"/>
      <c r="H5" s="104"/>
      <c r="I5" s="163"/>
      <c r="J5" s="228"/>
      <c r="K5" s="113"/>
      <c r="L5" s="104"/>
      <c r="M5" s="163"/>
      <c r="N5" s="228"/>
      <c r="O5" s="113"/>
      <c r="P5" s="104"/>
      <c r="Q5" s="163"/>
      <c r="R5" s="228"/>
      <c r="S5" s="113"/>
      <c r="T5" s="104"/>
    </row>
    <row r="6" spans="1:20" s="165" customFormat="1" ht="15" customHeight="1" x14ac:dyDescent="0.2">
      <c r="A6" s="229">
        <v>1</v>
      </c>
      <c r="B6" s="230" t="s">
        <v>346</v>
      </c>
      <c r="C6" s="231">
        <v>656</v>
      </c>
      <c r="D6" s="232">
        <v>26.973684210526301</v>
      </c>
      <c r="E6" s="232"/>
      <c r="F6" s="230" t="s">
        <v>371</v>
      </c>
      <c r="G6" s="231">
        <v>501</v>
      </c>
      <c r="H6" s="232">
        <v>26.244106862231501</v>
      </c>
      <c r="I6" s="232"/>
      <c r="J6" s="230" t="s">
        <v>371</v>
      </c>
      <c r="K6" s="231">
        <v>480</v>
      </c>
      <c r="L6" s="232">
        <v>27.858386535113201</v>
      </c>
      <c r="M6" s="233"/>
      <c r="N6" s="230" t="s">
        <v>357</v>
      </c>
      <c r="O6" s="234">
        <v>401</v>
      </c>
      <c r="P6" s="233">
        <v>27.5601374570447</v>
      </c>
      <c r="Q6" s="233"/>
      <c r="R6" s="230" t="s">
        <v>357</v>
      </c>
      <c r="S6" s="234">
        <v>335</v>
      </c>
      <c r="T6" s="233">
        <v>27.081649151172201</v>
      </c>
    </row>
    <row r="7" spans="1:20" s="165" customFormat="1" ht="15" customHeight="1" x14ac:dyDescent="0.2">
      <c r="A7" s="229">
        <v>2</v>
      </c>
      <c r="B7" s="230" t="s">
        <v>371</v>
      </c>
      <c r="C7" s="231">
        <v>647</v>
      </c>
      <c r="D7" s="232">
        <v>26.603618421052602</v>
      </c>
      <c r="E7" s="232"/>
      <c r="F7" s="230" t="s">
        <v>357</v>
      </c>
      <c r="G7" s="231">
        <v>490</v>
      </c>
      <c r="H7" s="232">
        <v>25.667888947092699</v>
      </c>
      <c r="I7" s="232"/>
      <c r="J7" s="230" t="s">
        <v>346</v>
      </c>
      <c r="K7" s="231">
        <v>436</v>
      </c>
      <c r="L7" s="232">
        <v>25.304701102727801</v>
      </c>
      <c r="M7" s="233"/>
      <c r="N7" s="230" t="s">
        <v>371</v>
      </c>
      <c r="O7" s="234">
        <v>385</v>
      </c>
      <c r="P7" s="233">
        <v>26.460481099656398</v>
      </c>
      <c r="Q7" s="233"/>
      <c r="R7" s="230" t="s">
        <v>346</v>
      </c>
      <c r="S7" s="234">
        <v>306</v>
      </c>
      <c r="T7" s="233">
        <v>24.737267582861801</v>
      </c>
    </row>
    <row r="8" spans="1:20" s="165" customFormat="1" ht="15" customHeight="1" x14ac:dyDescent="0.2">
      <c r="A8" s="229">
        <v>3</v>
      </c>
      <c r="B8" s="230" t="s">
        <v>357</v>
      </c>
      <c r="C8" s="231">
        <v>644</v>
      </c>
      <c r="D8" s="232">
        <v>26.480263157894701</v>
      </c>
      <c r="E8" s="232"/>
      <c r="F8" s="230" t="s">
        <v>346</v>
      </c>
      <c r="G8" s="231">
        <v>457</v>
      </c>
      <c r="H8" s="232">
        <v>23.939235201676301</v>
      </c>
      <c r="I8" s="232"/>
      <c r="J8" s="230" t="s">
        <v>357</v>
      </c>
      <c r="K8" s="231">
        <v>436</v>
      </c>
      <c r="L8" s="232">
        <v>25.304701102727801</v>
      </c>
      <c r="M8" s="233"/>
      <c r="N8" s="230" t="s">
        <v>346</v>
      </c>
      <c r="O8" s="234">
        <v>331</v>
      </c>
      <c r="P8" s="233">
        <v>22.749140893470798</v>
      </c>
      <c r="Q8" s="233"/>
      <c r="R8" s="230" t="s">
        <v>371</v>
      </c>
      <c r="S8" s="234">
        <v>281</v>
      </c>
      <c r="T8" s="233">
        <v>22.716248989490701</v>
      </c>
    </row>
    <row r="9" spans="1:20" s="165" customFormat="1" ht="15" customHeight="1" x14ac:dyDescent="0.2">
      <c r="A9" s="229">
        <v>4</v>
      </c>
      <c r="B9" s="230" t="s">
        <v>352</v>
      </c>
      <c r="C9" s="231">
        <v>508</v>
      </c>
      <c r="D9" s="232">
        <v>20.8881578947368</v>
      </c>
      <c r="E9" s="232"/>
      <c r="F9" s="230" t="s">
        <v>352</v>
      </c>
      <c r="G9" s="231">
        <v>364</v>
      </c>
      <c r="H9" s="232">
        <v>19.0675746464117</v>
      </c>
      <c r="I9" s="232"/>
      <c r="J9" s="230" t="s">
        <v>352</v>
      </c>
      <c r="K9" s="231">
        <v>361</v>
      </c>
      <c r="L9" s="232">
        <v>20.951828206616401</v>
      </c>
      <c r="M9" s="233"/>
      <c r="N9" s="230" t="s">
        <v>354</v>
      </c>
      <c r="O9" s="234">
        <v>298</v>
      </c>
      <c r="P9" s="233">
        <v>20.481099656357401</v>
      </c>
      <c r="Q9" s="233"/>
      <c r="R9" s="230" t="s">
        <v>354</v>
      </c>
      <c r="S9" s="234">
        <v>268</v>
      </c>
      <c r="T9" s="233">
        <v>21.665319320937801</v>
      </c>
    </row>
    <row r="10" spans="1:20" s="165" customFormat="1" ht="15" customHeight="1" x14ac:dyDescent="0.2">
      <c r="A10" s="229">
        <v>5</v>
      </c>
      <c r="B10" s="230" t="s">
        <v>373</v>
      </c>
      <c r="C10" s="231">
        <v>488</v>
      </c>
      <c r="D10" s="232">
        <v>20.065789473684202</v>
      </c>
      <c r="E10" s="232"/>
      <c r="F10" s="230" t="s">
        <v>373</v>
      </c>
      <c r="G10" s="231">
        <v>339</v>
      </c>
      <c r="H10" s="232">
        <v>17.757988475641699</v>
      </c>
      <c r="I10" s="232"/>
      <c r="J10" s="230" t="s">
        <v>354</v>
      </c>
      <c r="K10" s="231">
        <v>306</v>
      </c>
      <c r="L10" s="232">
        <v>17.759721416134699</v>
      </c>
      <c r="M10" s="233"/>
      <c r="N10" s="230" t="s">
        <v>352</v>
      </c>
      <c r="O10" s="234">
        <v>295</v>
      </c>
      <c r="P10" s="233">
        <v>20.274914089347099</v>
      </c>
      <c r="Q10" s="233"/>
      <c r="R10" s="230" t="s">
        <v>352</v>
      </c>
      <c r="S10" s="234">
        <v>215</v>
      </c>
      <c r="T10" s="233">
        <v>17.380759902991102</v>
      </c>
    </row>
    <row r="11" spans="1:20" s="181" customFormat="1" ht="25.5" x14ac:dyDescent="0.2">
      <c r="A11" s="235"/>
      <c r="B11" s="236" t="s">
        <v>514</v>
      </c>
      <c r="C11" s="163">
        <v>2432</v>
      </c>
      <c r="D11" s="237" t="s">
        <v>70</v>
      </c>
      <c r="E11" s="164"/>
      <c r="F11" s="236" t="s">
        <v>514</v>
      </c>
      <c r="G11" s="163">
        <v>1909</v>
      </c>
      <c r="H11" s="237" t="s">
        <v>70</v>
      </c>
      <c r="I11" s="164"/>
      <c r="J11" s="236" t="s">
        <v>514</v>
      </c>
      <c r="K11" s="163">
        <v>1723</v>
      </c>
      <c r="L11" s="237" t="s">
        <v>70</v>
      </c>
      <c r="M11" s="179"/>
      <c r="N11" s="236" t="s">
        <v>514</v>
      </c>
      <c r="O11" s="180">
        <v>1455</v>
      </c>
      <c r="P11" s="237" t="s">
        <v>70</v>
      </c>
      <c r="Q11" s="179"/>
      <c r="R11" s="236" t="s">
        <v>514</v>
      </c>
      <c r="S11" s="180">
        <v>1237</v>
      </c>
      <c r="T11" s="237" t="s">
        <v>70</v>
      </c>
    </row>
    <row r="12" spans="1:20" s="181" customFormat="1" ht="25.5" x14ac:dyDescent="0.2">
      <c r="A12" s="238"/>
      <c r="B12" s="239" t="s">
        <v>513</v>
      </c>
      <c r="C12" s="162">
        <v>1.9</v>
      </c>
      <c r="D12" s="240" t="s">
        <v>70</v>
      </c>
      <c r="E12" s="162"/>
      <c r="F12" s="239" t="s">
        <v>513</v>
      </c>
      <c r="G12" s="162">
        <v>1.9</v>
      </c>
      <c r="H12" s="240" t="s">
        <v>70</v>
      </c>
      <c r="I12" s="162"/>
      <c r="J12" s="239" t="s">
        <v>513</v>
      </c>
      <c r="K12" s="162">
        <v>1.9</v>
      </c>
      <c r="L12" s="240" t="s">
        <v>70</v>
      </c>
      <c r="M12" s="241"/>
      <c r="N12" s="239" t="s">
        <v>513</v>
      </c>
      <c r="O12" s="162">
        <v>1.9</v>
      </c>
      <c r="P12" s="240" t="s">
        <v>70</v>
      </c>
      <c r="Q12" s="241"/>
      <c r="R12" s="239" t="s">
        <v>513</v>
      </c>
      <c r="S12" s="162">
        <v>1.9</v>
      </c>
      <c r="T12" s="240" t="s">
        <v>70</v>
      </c>
    </row>
    <row r="13" spans="1:20" ht="14.25" x14ac:dyDescent="0.2">
      <c r="A13" s="227" t="s">
        <v>1</v>
      </c>
      <c r="B13" s="223"/>
      <c r="C13" s="23"/>
      <c r="D13" s="24"/>
      <c r="E13" s="242"/>
      <c r="F13" s="243"/>
      <c r="G13" s="23"/>
      <c r="H13" s="24"/>
      <c r="I13" s="242"/>
      <c r="J13" s="243"/>
      <c r="K13" s="23"/>
      <c r="L13" s="24"/>
      <c r="M13" s="242"/>
      <c r="N13" s="243"/>
      <c r="O13" s="23"/>
      <c r="P13" s="24"/>
      <c r="Q13" s="242"/>
      <c r="R13" s="243"/>
      <c r="S13" s="23"/>
      <c r="T13" s="24"/>
    </row>
    <row r="14" spans="1:20" s="165" customFormat="1" ht="15" customHeight="1" x14ac:dyDescent="0.2">
      <c r="A14" s="229">
        <v>1</v>
      </c>
      <c r="B14" s="230" t="s">
        <v>346</v>
      </c>
      <c r="C14" s="231">
        <v>253</v>
      </c>
      <c r="D14" s="232">
        <v>27.771679473106499</v>
      </c>
      <c r="E14" s="232"/>
      <c r="F14" s="230" t="s">
        <v>354</v>
      </c>
      <c r="G14" s="231">
        <v>218</v>
      </c>
      <c r="H14" s="232">
        <v>27.984595635430001</v>
      </c>
      <c r="I14" s="232"/>
      <c r="J14" s="230" t="s">
        <v>354</v>
      </c>
      <c r="K14" s="231">
        <v>192</v>
      </c>
      <c r="L14" s="232">
        <v>26.890756302521002</v>
      </c>
      <c r="M14" s="233"/>
      <c r="N14" s="230" t="s">
        <v>354</v>
      </c>
      <c r="O14" s="234">
        <v>193</v>
      </c>
      <c r="P14" s="233">
        <v>30.634920634920601</v>
      </c>
      <c r="Q14" s="233"/>
      <c r="R14" s="230" t="s">
        <v>354</v>
      </c>
      <c r="S14" s="234">
        <v>200</v>
      </c>
      <c r="T14" s="233">
        <v>30.349013657056201</v>
      </c>
    </row>
    <row r="15" spans="1:20" s="165" customFormat="1" ht="15" customHeight="1" x14ac:dyDescent="0.2">
      <c r="A15" s="229">
        <v>2</v>
      </c>
      <c r="B15" s="230" t="s">
        <v>354</v>
      </c>
      <c r="C15" s="231">
        <v>227</v>
      </c>
      <c r="D15" s="232">
        <v>24.9176728869374</v>
      </c>
      <c r="E15" s="232"/>
      <c r="F15" s="230" t="s">
        <v>346</v>
      </c>
      <c r="G15" s="231">
        <v>204</v>
      </c>
      <c r="H15" s="232">
        <v>26.1874197689345</v>
      </c>
      <c r="I15" s="232"/>
      <c r="J15" s="230" t="s">
        <v>357</v>
      </c>
      <c r="K15" s="231">
        <v>187</v>
      </c>
      <c r="L15" s="232">
        <v>26.1904761904762</v>
      </c>
      <c r="M15" s="233"/>
      <c r="N15" s="230" t="s">
        <v>346</v>
      </c>
      <c r="O15" s="234">
        <v>190</v>
      </c>
      <c r="P15" s="233">
        <v>30.158730158730201</v>
      </c>
      <c r="Q15" s="233"/>
      <c r="R15" s="230" t="s">
        <v>346</v>
      </c>
      <c r="S15" s="234">
        <v>178</v>
      </c>
      <c r="T15" s="233">
        <v>27.010622154779998</v>
      </c>
    </row>
    <row r="16" spans="1:20" s="165" customFormat="1" ht="15" customHeight="1" x14ac:dyDescent="0.2">
      <c r="A16" s="229">
        <v>3</v>
      </c>
      <c r="B16" s="230" t="s">
        <v>357</v>
      </c>
      <c r="C16" s="231">
        <v>225</v>
      </c>
      <c r="D16" s="232">
        <v>24.698133918770601</v>
      </c>
      <c r="E16" s="232"/>
      <c r="F16" s="230" t="s">
        <v>357</v>
      </c>
      <c r="G16" s="231">
        <v>186</v>
      </c>
      <c r="H16" s="232">
        <v>23.876765083440301</v>
      </c>
      <c r="I16" s="232"/>
      <c r="J16" s="230" t="s">
        <v>346</v>
      </c>
      <c r="K16" s="231">
        <v>182</v>
      </c>
      <c r="L16" s="232">
        <v>25.490196078431399</v>
      </c>
      <c r="M16" s="233"/>
      <c r="N16" s="230" t="s">
        <v>357</v>
      </c>
      <c r="O16" s="234">
        <v>174</v>
      </c>
      <c r="P16" s="233">
        <v>27.619047619047599</v>
      </c>
      <c r="Q16" s="233"/>
      <c r="R16" s="230" t="s">
        <v>357</v>
      </c>
      <c r="S16" s="234">
        <v>171</v>
      </c>
      <c r="T16" s="233">
        <v>25.948406676783002</v>
      </c>
    </row>
    <row r="17" spans="1:20" s="165" customFormat="1" ht="15" customHeight="1" x14ac:dyDescent="0.2">
      <c r="A17" s="229">
        <v>4</v>
      </c>
      <c r="B17" s="230" t="s">
        <v>352</v>
      </c>
      <c r="C17" s="231">
        <v>205</v>
      </c>
      <c r="D17" s="232">
        <v>22.5027442371021</v>
      </c>
      <c r="E17" s="232"/>
      <c r="F17" s="230" t="s">
        <v>352</v>
      </c>
      <c r="G17" s="231">
        <v>163</v>
      </c>
      <c r="H17" s="232">
        <v>20.9242618741977</v>
      </c>
      <c r="I17" s="232"/>
      <c r="J17" s="230" t="s">
        <v>352</v>
      </c>
      <c r="K17" s="231">
        <v>160</v>
      </c>
      <c r="L17" s="232">
        <v>22.408963585434201</v>
      </c>
      <c r="M17" s="233"/>
      <c r="N17" s="230" t="s">
        <v>503</v>
      </c>
      <c r="O17" s="234">
        <v>120</v>
      </c>
      <c r="P17" s="233">
        <v>19.047619047619101</v>
      </c>
      <c r="Q17" s="233"/>
      <c r="R17" s="230" t="s">
        <v>503</v>
      </c>
      <c r="S17" s="234">
        <v>130</v>
      </c>
      <c r="T17" s="233">
        <v>19.726858877086499</v>
      </c>
    </row>
    <row r="18" spans="1:20" s="165" customFormat="1" ht="15" customHeight="1" x14ac:dyDescent="0.2">
      <c r="A18" s="229">
        <v>5</v>
      </c>
      <c r="B18" s="230" t="s">
        <v>371</v>
      </c>
      <c r="C18" s="231">
        <v>200</v>
      </c>
      <c r="D18" s="232">
        <v>21.953896816684999</v>
      </c>
      <c r="E18" s="232"/>
      <c r="F18" s="230" t="s">
        <v>371</v>
      </c>
      <c r="G18" s="231">
        <v>147</v>
      </c>
      <c r="H18" s="232">
        <v>18.870346598202801</v>
      </c>
      <c r="I18" s="232"/>
      <c r="J18" s="230" t="s">
        <v>371</v>
      </c>
      <c r="K18" s="231">
        <v>151</v>
      </c>
      <c r="L18" s="232">
        <v>21.148459383753501</v>
      </c>
      <c r="M18" s="233"/>
      <c r="N18" s="230" t="s">
        <v>371</v>
      </c>
      <c r="O18" s="234">
        <v>120</v>
      </c>
      <c r="P18" s="233">
        <v>19.047619047619101</v>
      </c>
      <c r="Q18" s="233"/>
      <c r="R18" s="230" t="s">
        <v>371</v>
      </c>
      <c r="S18" s="234">
        <v>119</v>
      </c>
      <c r="T18" s="233">
        <v>18.057663125948402</v>
      </c>
    </row>
    <row r="19" spans="1:20" s="181" customFormat="1" ht="25.5" x14ac:dyDescent="0.2">
      <c r="A19" s="235"/>
      <c r="B19" s="236" t="s">
        <v>514</v>
      </c>
      <c r="C19" s="163">
        <v>911</v>
      </c>
      <c r="D19" s="237" t="s">
        <v>70</v>
      </c>
      <c r="E19" s="164"/>
      <c r="F19" s="236" t="s">
        <v>514</v>
      </c>
      <c r="G19" s="163">
        <v>779</v>
      </c>
      <c r="H19" s="237" t="s">
        <v>70</v>
      </c>
      <c r="I19" s="164"/>
      <c r="J19" s="236" t="s">
        <v>514</v>
      </c>
      <c r="K19" s="163">
        <v>714</v>
      </c>
      <c r="L19" s="237" t="s">
        <v>70</v>
      </c>
      <c r="M19" s="179"/>
      <c r="N19" s="236" t="s">
        <v>514</v>
      </c>
      <c r="O19" s="180">
        <v>630</v>
      </c>
      <c r="P19" s="237" t="s">
        <v>70</v>
      </c>
      <c r="Q19" s="179"/>
      <c r="R19" s="236" t="s">
        <v>514</v>
      </c>
      <c r="S19" s="180">
        <v>659</v>
      </c>
      <c r="T19" s="179"/>
    </row>
    <row r="20" spans="1:20" s="181" customFormat="1" ht="25.5" x14ac:dyDescent="0.2">
      <c r="A20" s="238"/>
      <c r="B20" s="239" t="s">
        <v>513</v>
      </c>
      <c r="C20" s="162">
        <v>1.8</v>
      </c>
      <c r="D20" s="240" t="s">
        <v>70</v>
      </c>
      <c r="E20" s="162"/>
      <c r="F20" s="239" t="s">
        <v>513</v>
      </c>
      <c r="G20" s="162">
        <v>1.8</v>
      </c>
      <c r="H20" s="240" t="s">
        <v>70</v>
      </c>
      <c r="I20" s="162"/>
      <c r="J20" s="239" t="s">
        <v>513</v>
      </c>
      <c r="K20" s="162">
        <v>1.8</v>
      </c>
      <c r="L20" s="240" t="s">
        <v>70</v>
      </c>
      <c r="M20" s="241"/>
      <c r="N20" s="239" t="s">
        <v>513</v>
      </c>
      <c r="O20" s="162">
        <v>2</v>
      </c>
      <c r="P20" s="240" t="s">
        <v>70</v>
      </c>
      <c r="Q20" s="241"/>
      <c r="R20" s="239" t="s">
        <v>513</v>
      </c>
      <c r="S20" s="162">
        <v>1.8</v>
      </c>
      <c r="T20" s="240" t="s">
        <v>70</v>
      </c>
    </row>
    <row r="21" spans="1:20" ht="14.25" x14ac:dyDescent="0.2">
      <c r="A21" s="227" t="s">
        <v>2</v>
      </c>
      <c r="B21" s="244"/>
      <c r="C21" s="23"/>
      <c r="D21" s="24"/>
      <c r="E21" s="242"/>
      <c r="F21" s="243"/>
      <c r="G21" s="23"/>
      <c r="H21" s="24"/>
      <c r="I21" s="242"/>
      <c r="J21" s="243"/>
      <c r="K21" s="23"/>
      <c r="L21" s="24"/>
      <c r="M21" s="242"/>
      <c r="N21" s="243"/>
      <c r="O21" s="23"/>
      <c r="P21" s="24"/>
      <c r="Q21" s="242"/>
      <c r="R21" s="243"/>
      <c r="S21" s="23"/>
      <c r="T21" s="24"/>
    </row>
    <row r="22" spans="1:20" s="165" customFormat="1" ht="15" customHeight="1" x14ac:dyDescent="0.2">
      <c r="A22" s="229">
        <v>1</v>
      </c>
      <c r="B22" s="230" t="s">
        <v>346</v>
      </c>
      <c r="C22" s="231">
        <v>909</v>
      </c>
      <c r="D22" s="232">
        <v>27.1911456775352</v>
      </c>
      <c r="E22" s="232"/>
      <c r="F22" s="230" t="s">
        <v>357</v>
      </c>
      <c r="G22" s="231">
        <v>676</v>
      </c>
      <c r="H22" s="232">
        <v>25.148809523809501</v>
      </c>
      <c r="I22" s="232"/>
      <c r="J22" s="230" t="s">
        <v>371</v>
      </c>
      <c r="K22" s="231">
        <v>631</v>
      </c>
      <c r="L22" s="232">
        <v>25.892490767336898</v>
      </c>
      <c r="M22" s="233"/>
      <c r="N22" s="230" t="s">
        <v>357</v>
      </c>
      <c r="O22" s="234">
        <v>575</v>
      </c>
      <c r="P22" s="233">
        <v>27.577937649880099</v>
      </c>
      <c r="Q22" s="233"/>
      <c r="R22" s="230" t="s">
        <v>357</v>
      </c>
      <c r="S22" s="234">
        <v>506</v>
      </c>
      <c r="T22" s="233">
        <v>26.687763713080201</v>
      </c>
    </row>
    <row r="23" spans="1:20" s="165" customFormat="1" ht="15" customHeight="1" x14ac:dyDescent="0.2">
      <c r="A23" s="229">
        <v>2</v>
      </c>
      <c r="B23" s="230" t="s">
        <v>357</v>
      </c>
      <c r="C23" s="231">
        <v>869</v>
      </c>
      <c r="D23" s="232">
        <v>25.994615614717301</v>
      </c>
      <c r="E23" s="232"/>
      <c r="F23" s="230" t="s">
        <v>346</v>
      </c>
      <c r="G23" s="231">
        <v>661</v>
      </c>
      <c r="H23" s="232">
        <v>24.5907738095238</v>
      </c>
      <c r="I23" s="232"/>
      <c r="J23" s="230" t="s">
        <v>357</v>
      </c>
      <c r="K23" s="231">
        <v>623</v>
      </c>
      <c r="L23" s="232">
        <v>25.564218301189999</v>
      </c>
      <c r="M23" s="233"/>
      <c r="N23" s="230" t="s">
        <v>346</v>
      </c>
      <c r="O23" s="234">
        <v>521</v>
      </c>
      <c r="P23" s="233">
        <v>24.988009592326101</v>
      </c>
      <c r="Q23" s="233"/>
      <c r="R23" s="230" t="s">
        <v>346</v>
      </c>
      <c r="S23" s="234">
        <v>484</v>
      </c>
      <c r="T23" s="233">
        <v>25.527426160337601</v>
      </c>
    </row>
    <row r="24" spans="1:20" s="165" customFormat="1" ht="15" customHeight="1" x14ac:dyDescent="0.2">
      <c r="A24" s="229">
        <v>3</v>
      </c>
      <c r="B24" s="230" t="s">
        <v>371</v>
      </c>
      <c r="C24" s="231">
        <v>847</v>
      </c>
      <c r="D24" s="232">
        <v>25.3365240801675</v>
      </c>
      <c r="E24" s="232"/>
      <c r="F24" s="230" t="s">
        <v>371</v>
      </c>
      <c r="G24" s="231">
        <v>648</v>
      </c>
      <c r="H24" s="232">
        <v>24.1071428571429</v>
      </c>
      <c r="I24" s="232"/>
      <c r="J24" s="230" t="s">
        <v>346</v>
      </c>
      <c r="K24" s="231">
        <v>618</v>
      </c>
      <c r="L24" s="232">
        <v>25.359048009848198</v>
      </c>
      <c r="M24" s="233"/>
      <c r="N24" s="230" t="s">
        <v>371</v>
      </c>
      <c r="O24" s="234">
        <v>505</v>
      </c>
      <c r="P24" s="233">
        <v>24.220623501199</v>
      </c>
      <c r="Q24" s="233"/>
      <c r="R24" s="230" t="s">
        <v>354</v>
      </c>
      <c r="S24" s="234">
        <v>468</v>
      </c>
      <c r="T24" s="233">
        <v>24.6835443037975</v>
      </c>
    </row>
    <row r="25" spans="1:20" s="165" customFormat="1" ht="15" customHeight="1" x14ac:dyDescent="0.2">
      <c r="A25" s="229">
        <v>4</v>
      </c>
      <c r="B25" s="230" t="s">
        <v>352</v>
      </c>
      <c r="C25" s="231">
        <v>713</v>
      </c>
      <c r="D25" s="232">
        <v>21.328148369727799</v>
      </c>
      <c r="E25" s="232"/>
      <c r="F25" s="230" t="s">
        <v>354</v>
      </c>
      <c r="G25" s="231">
        <v>553</v>
      </c>
      <c r="H25" s="232">
        <v>20.5729166666667</v>
      </c>
      <c r="I25" s="232"/>
      <c r="J25" s="230" t="s">
        <v>352</v>
      </c>
      <c r="K25" s="231">
        <v>521</v>
      </c>
      <c r="L25" s="232">
        <v>21.378744357816998</v>
      </c>
      <c r="M25" s="233"/>
      <c r="N25" s="230" t="s">
        <v>354</v>
      </c>
      <c r="O25" s="234">
        <v>491</v>
      </c>
      <c r="P25" s="233">
        <v>23.549160671462801</v>
      </c>
      <c r="Q25" s="233"/>
      <c r="R25" s="230" t="s">
        <v>371</v>
      </c>
      <c r="S25" s="234">
        <v>400</v>
      </c>
      <c r="T25" s="233">
        <v>21.097046413502099</v>
      </c>
    </row>
    <row r="26" spans="1:20" s="165" customFormat="1" ht="15" customHeight="1" x14ac:dyDescent="0.2">
      <c r="A26" s="229">
        <v>5</v>
      </c>
      <c r="B26" s="230" t="s">
        <v>354</v>
      </c>
      <c r="C26" s="231">
        <v>664</v>
      </c>
      <c r="D26" s="232">
        <v>19.862399042776001</v>
      </c>
      <c r="E26" s="232"/>
      <c r="F26" s="230" t="s">
        <v>352</v>
      </c>
      <c r="G26" s="231">
        <v>527</v>
      </c>
      <c r="H26" s="232">
        <v>19.605654761904798</v>
      </c>
      <c r="I26" s="232"/>
      <c r="J26" s="230" t="s">
        <v>354</v>
      </c>
      <c r="K26" s="231">
        <v>498</v>
      </c>
      <c r="L26" s="232">
        <v>20.4349610176446</v>
      </c>
      <c r="M26" s="233"/>
      <c r="N26" s="230" t="s">
        <v>352</v>
      </c>
      <c r="O26" s="234">
        <v>406</v>
      </c>
      <c r="P26" s="233">
        <v>19.472422062350098</v>
      </c>
      <c r="Q26" s="233"/>
      <c r="R26" s="230" t="s">
        <v>352</v>
      </c>
      <c r="S26" s="234">
        <v>332</v>
      </c>
      <c r="T26" s="233">
        <v>17.510548523206801</v>
      </c>
    </row>
    <row r="27" spans="1:20" s="181" customFormat="1" ht="25.5" x14ac:dyDescent="0.2">
      <c r="A27" s="235"/>
      <c r="B27" s="236" t="s">
        <v>514</v>
      </c>
      <c r="C27" s="163">
        <v>3343</v>
      </c>
      <c r="D27" s="237" t="s">
        <v>70</v>
      </c>
      <c r="E27" s="164"/>
      <c r="F27" s="236" t="s">
        <v>514</v>
      </c>
      <c r="G27" s="163">
        <v>2688</v>
      </c>
      <c r="H27" s="237" t="s">
        <v>70</v>
      </c>
      <c r="I27" s="164"/>
      <c r="J27" s="236" t="s">
        <v>514</v>
      </c>
      <c r="K27" s="163">
        <v>2437</v>
      </c>
      <c r="L27" s="237" t="s">
        <v>70</v>
      </c>
      <c r="M27" s="179"/>
      <c r="N27" s="236" t="s">
        <v>514</v>
      </c>
      <c r="O27" s="180">
        <v>2085</v>
      </c>
      <c r="P27" s="237" t="s">
        <v>70</v>
      </c>
      <c r="Q27" s="179"/>
      <c r="R27" s="236" t="s">
        <v>514</v>
      </c>
      <c r="S27" s="180">
        <v>1896</v>
      </c>
      <c r="T27" s="237" t="s">
        <v>70</v>
      </c>
    </row>
    <row r="28" spans="1:20" s="181" customFormat="1" ht="25.5" x14ac:dyDescent="0.2">
      <c r="A28" s="238"/>
      <c r="B28" s="239" t="s">
        <v>513</v>
      </c>
      <c r="C28" s="162">
        <v>1.9</v>
      </c>
      <c r="D28" s="240" t="s">
        <v>70</v>
      </c>
      <c r="E28" s="162"/>
      <c r="F28" s="239" t="s">
        <v>513</v>
      </c>
      <c r="G28" s="162">
        <v>1.9</v>
      </c>
      <c r="H28" s="240" t="s">
        <v>70</v>
      </c>
      <c r="I28" s="162"/>
      <c r="J28" s="239" t="s">
        <v>513</v>
      </c>
      <c r="K28" s="162">
        <v>1.9</v>
      </c>
      <c r="L28" s="240" t="s">
        <v>70</v>
      </c>
      <c r="M28" s="241"/>
      <c r="N28" s="239" t="s">
        <v>513</v>
      </c>
      <c r="O28" s="162">
        <v>1.9</v>
      </c>
      <c r="P28" s="240" t="s">
        <v>70</v>
      </c>
      <c r="Q28" s="241"/>
      <c r="R28" s="239" t="s">
        <v>513</v>
      </c>
      <c r="S28" s="162">
        <v>1.9</v>
      </c>
      <c r="T28" s="240" t="s">
        <v>70</v>
      </c>
    </row>
    <row r="29" spans="1:20" s="20" customFormat="1" ht="15" customHeight="1" x14ac:dyDescent="0.2">
      <c r="A29" s="95" t="s">
        <v>239</v>
      </c>
      <c r="B29" s="95"/>
      <c r="C29" s="86"/>
      <c r="D29" s="87"/>
      <c r="H29" s="95"/>
      <c r="I29" s="86"/>
      <c r="J29" s="87"/>
      <c r="N29" s="245"/>
      <c r="O29" s="246"/>
      <c r="P29" s="247"/>
      <c r="Q29" s="214"/>
    </row>
    <row r="30" spans="1:20" s="20" customFormat="1" ht="15" customHeight="1" x14ac:dyDescent="0.2">
      <c r="A30" s="84" t="s">
        <v>4</v>
      </c>
      <c r="B30" s="95"/>
      <c r="C30" s="86"/>
      <c r="D30" s="87"/>
      <c r="F30" s="212"/>
      <c r="G30" s="95"/>
      <c r="H30" s="86"/>
      <c r="I30" s="87"/>
      <c r="K30" s="212"/>
      <c r="L30" s="95"/>
      <c r="M30" s="86"/>
      <c r="N30" s="87"/>
    </row>
    <row r="31" spans="1:20" s="12" customFormat="1" ht="15" customHeight="1" x14ac:dyDescent="0.2">
      <c r="A31" s="95" t="s">
        <v>267</v>
      </c>
      <c r="B31" s="248"/>
      <c r="C31" s="248"/>
      <c r="D31" s="248"/>
      <c r="E31" s="248"/>
      <c r="F31" s="248"/>
      <c r="G31" s="248"/>
      <c r="H31" s="248"/>
      <c r="I31" s="248"/>
      <c r="J31" s="248"/>
      <c r="K31" s="248"/>
      <c r="L31" s="248"/>
      <c r="M31" s="248"/>
      <c r="N31" s="248"/>
      <c r="O31" s="248"/>
      <c r="P31" s="248"/>
    </row>
    <row r="32" spans="1:20" s="12" customFormat="1" ht="15" customHeight="1" x14ac:dyDescent="0.2">
      <c r="A32" s="95" t="s">
        <v>611</v>
      </c>
      <c r="B32" s="248"/>
      <c r="C32" s="248"/>
      <c r="D32" s="248"/>
      <c r="E32" s="248"/>
      <c r="F32" s="248"/>
      <c r="G32" s="248"/>
      <c r="H32" s="248"/>
      <c r="I32" s="248"/>
      <c r="J32" s="248"/>
      <c r="K32" s="248"/>
      <c r="L32" s="248"/>
      <c r="M32" s="248"/>
      <c r="N32" s="248"/>
      <c r="O32" s="248"/>
      <c r="P32" s="248"/>
    </row>
    <row r="33" spans="1:19" s="12" customFormat="1" ht="15" customHeight="1" x14ac:dyDescent="0.2">
      <c r="A33" s="95" t="s">
        <v>612</v>
      </c>
      <c r="B33" s="95"/>
      <c r="C33" s="95"/>
      <c r="D33" s="95"/>
      <c r="E33" s="95"/>
      <c r="F33" s="95"/>
      <c r="G33" s="95"/>
      <c r="H33" s="95"/>
      <c r="I33" s="95"/>
      <c r="J33" s="95"/>
      <c r="K33" s="95"/>
      <c r="L33" s="95"/>
      <c r="M33" s="95"/>
      <c r="N33" s="95"/>
      <c r="O33" s="95"/>
      <c r="P33" s="95"/>
    </row>
    <row r="34" spans="1:19" s="199" customFormat="1" ht="15" customHeight="1" x14ac:dyDescent="0.2">
      <c r="A34" s="95" t="s">
        <v>613</v>
      </c>
      <c r="B34" s="95"/>
      <c r="C34" s="95"/>
      <c r="D34" s="95"/>
      <c r="E34" s="95"/>
      <c r="F34" s="95"/>
      <c r="G34" s="95"/>
      <c r="H34" s="95"/>
      <c r="I34" s="95"/>
      <c r="J34" s="95"/>
      <c r="K34" s="95"/>
      <c r="L34" s="95"/>
      <c r="M34" s="95"/>
      <c r="N34" s="95"/>
      <c r="O34" s="95"/>
      <c r="P34" s="95"/>
    </row>
    <row r="35" spans="1:19" s="199" customFormat="1" ht="30" customHeight="1" x14ac:dyDescent="0.2">
      <c r="A35" s="617" t="s">
        <v>614</v>
      </c>
      <c r="B35" s="600"/>
      <c r="C35" s="600"/>
      <c r="D35" s="600"/>
      <c r="E35" s="600"/>
      <c r="F35" s="600"/>
      <c r="G35" s="600"/>
      <c r="H35" s="600"/>
      <c r="I35" s="600"/>
      <c r="J35" s="600"/>
      <c r="K35" s="600"/>
      <c r="L35" s="600"/>
      <c r="M35" s="600"/>
      <c r="N35" s="600"/>
      <c r="O35" s="600"/>
      <c r="P35" s="600"/>
      <c r="Q35" s="600"/>
      <c r="R35" s="600"/>
      <c r="S35" s="600"/>
    </row>
    <row r="36" spans="1:19" s="12" customFormat="1" ht="15" customHeight="1" x14ac:dyDescent="0.2">
      <c r="A36" s="249" t="s">
        <v>553</v>
      </c>
      <c r="B36" s="95"/>
      <c r="C36" s="86"/>
      <c r="D36" s="89"/>
      <c r="E36" s="96"/>
      <c r="F36" s="97"/>
      <c r="G36" s="95"/>
      <c r="H36" s="86"/>
      <c r="I36" s="89"/>
      <c r="J36" s="96"/>
      <c r="K36" s="97"/>
      <c r="L36" s="86"/>
      <c r="M36" s="89"/>
      <c r="N36" s="29"/>
    </row>
  </sheetData>
  <mergeCells count="6">
    <mergeCell ref="A35:S35"/>
    <mergeCell ref="R3:T3"/>
    <mergeCell ref="B3:D3"/>
    <mergeCell ref="F3:H3"/>
    <mergeCell ref="J3:L3"/>
    <mergeCell ref="N3:P3"/>
  </mergeCells>
  <hyperlinks>
    <hyperlink ref="A2" location="Contents!A1" display="Back to contents" xr:uid="{881F976A-4695-461F-BEF1-521BADE5721F}"/>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D435-2ACA-43E9-8D1D-2E86EAD438D3}">
  <dimension ref="A1:R20"/>
  <sheetViews>
    <sheetView workbookViewId="0"/>
  </sheetViews>
  <sheetFormatPr defaultRowHeight="14.25" x14ac:dyDescent="0.2"/>
  <cols>
    <col min="1" max="1" width="27.625" style="157" customWidth="1"/>
    <col min="2" max="2" width="10.625" style="157" customWidth="1"/>
    <col min="3" max="3" width="4.625" style="157" customWidth="1"/>
    <col min="4" max="5" width="10.625" style="592" customWidth="1"/>
    <col min="6" max="16384" width="9" style="157"/>
  </cols>
  <sheetData>
    <row r="1" spans="1:18" ht="15" customHeight="1" x14ac:dyDescent="0.25">
      <c r="A1" s="151" t="s">
        <v>659</v>
      </c>
      <c r="B1" s="152"/>
      <c r="C1" s="152"/>
      <c r="D1" s="202"/>
      <c r="E1" s="202"/>
      <c r="F1" s="223"/>
      <c r="G1" s="155"/>
      <c r="H1" s="154"/>
      <c r="I1" s="154"/>
      <c r="J1" s="223"/>
      <c r="K1" s="155"/>
      <c r="L1" s="154"/>
      <c r="N1" s="223"/>
      <c r="R1" s="223"/>
    </row>
    <row r="2" spans="1:18" x14ac:dyDescent="0.2">
      <c r="A2" s="500" t="s">
        <v>585</v>
      </c>
    </row>
    <row r="3" spans="1:18" ht="30" customHeight="1" x14ac:dyDescent="0.2">
      <c r="A3" s="590"/>
      <c r="B3" s="594"/>
      <c r="C3" s="594"/>
      <c r="D3" s="638" t="s">
        <v>663</v>
      </c>
      <c r="E3" s="639"/>
      <c r="F3" s="361"/>
    </row>
    <row r="4" spans="1:18" ht="15" customHeight="1" x14ac:dyDescent="0.2">
      <c r="A4" s="126" t="s">
        <v>662</v>
      </c>
      <c r="B4" s="591" t="s">
        <v>661</v>
      </c>
      <c r="C4" s="591"/>
      <c r="D4" s="591" t="s">
        <v>75</v>
      </c>
      <c r="E4" s="591" t="s">
        <v>38</v>
      </c>
      <c r="F4" s="361"/>
    </row>
    <row r="5" spans="1:18" x14ac:dyDescent="0.2">
      <c r="A5" s="376" t="s">
        <v>309</v>
      </c>
      <c r="B5" s="63">
        <v>3212</v>
      </c>
      <c r="C5" s="592"/>
      <c r="D5" s="63">
        <v>2317</v>
      </c>
      <c r="E5" s="64">
        <v>72.135740971357393</v>
      </c>
    </row>
    <row r="6" spans="1:18" x14ac:dyDescent="0.2">
      <c r="A6" s="376" t="s">
        <v>130</v>
      </c>
      <c r="B6" s="63">
        <v>1189</v>
      </c>
      <c r="C6" s="592"/>
      <c r="D6" s="63">
        <v>444</v>
      </c>
      <c r="E6" s="64">
        <v>37.342304457527298</v>
      </c>
    </row>
    <row r="7" spans="1:18" x14ac:dyDescent="0.2">
      <c r="A7" s="381" t="s">
        <v>125</v>
      </c>
      <c r="B7" s="63">
        <v>2825</v>
      </c>
      <c r="C7" s="592"/>
      <c r="D7" s="63">
        <v>507</v>
      </c>
      <c r="E7" s="64">
        <v>17.946902654867301</v>
      </c>
    </row>
    <row r="8" spans="1:18" x14ac:dyDescent="0.2">
      <c r="A8" s="381" t="s">
        <v>347</v>
      </c>
      <c r="B8" s="63">
        <v>1199</v>
      </c>
      <c r="C8" s="592"/>
      <c r="D8" s="63">
        <v>102</v>
      </c>
      <c r="E8" s="64">
        <v>8.5070892410341994</v>
      </c>
    </row>
    <row r="9" spans="1:18" x14ac:dyDescent="0.2">
      <c r="A9" s="381" t="s">
        <v>315</v>
      </c>
      <c r="B9" s="63">
        <v>3550</v>
      </c>
      <c r="C9" s="592"/>
      <c r="D9" s="63">
        <v>240</v>
      </c>
      <c r="E9" s="64">
        <v>6.76056338028169</v>
      </c>
    </row>
    <row r="10" spans="1:18" x14ac:dyDescent="0.2">
      <c r="A10" s="376" t="s">
        <v>330</v>
      </c>
      <c r="B10" s="63">
        <v>2095</v>
      </c>
      <c r="C10" s="592"/>
      <c r="D10" s="63">
        <v>27</v>
      </c>
      <c r="E10" s="64">
        <v>1.2887828162291199</v>
      </c>
    </row>
    <row r="11" spans="1:18" x14ac:dyDescent="0.2">
      <c r="A11" s="376" t="s">
        <v>660</v>
      </c>
      <c r="B11" s="63">
        <v>8830</v>
      </c>
      <c r="C11" s="592"/>
      <c r="D11" s="63">
        <v>1040</v>
      </c>
      <c r="E11" s="64">
        <v>11.778029445073599</v>
      </c>
    </row>
    <row r="12" spans="1:18" ht="15" x14ac:dyDescent="0.25">
      <c r="A12" s="593" t="s">
        <v>67</v>
      </c>
      <c r="B12" s="69">
        <v>22900</v>
      </c>
      <c r="C12" s="595"/>
      <c r="D12" s="69" t="s">
        <v>109</v>
      </c>
      <c r="E12" s="70" t="s">
        <v>109</v>
      </c>
    </row>
    <row r="13" spans="1:18" s="20" customFormat="1" ht="15" customHeight="1" x14ac:dyDescent="0.2">
      <c r="A13" s="20" t="s">
        <v>239</v>
      </c>
      <c r="B13" s="95"/>
      <c r="C13" s="86"/>
      <c r="D13" s="87"/>
      <c r="H13" s="95"/>
      <c r="I13" s="86"/>
      <c r="J13" s="87"/>
    </row>
    <row r="14" spans="1:18" s="20" customFormat="1" ht="15" customHeight="1" x14ac:dyDescent="0.2">
      <c r="A14" s="95" t="s">
        <v>4</v>
      </c>
      <c r="B14" s="95"/>
      <c r="C14" s="86"/>
      <c r="D14" s="87"/>
      <c r="E14" s="87"/>
      <c r="F14" s="84"/>
      <c r="G14" s="95"/>
      <c r="H14" s="88"/>
      <c r="I14" s="89"/>
      <c r="J14" s="86"/>
    </row>
    <row r="15" spans="1:18" s="20" customFormat="1" ht="27.95" customHeight="1" x14ac:dyDescent="0.2">
      <c r="A15" s="611" t="s">
        <v>286</v>
      </c>
      <c r="B15" s="640"/>
      <c r="C15" s="640"/>
      <c r="D15" s="640"/>
      <c r="E15" s="640"/>
      <c r="F15" s="640"/>
      <c r="G15" s="640"/>
      <c r="H15" s="640"/>
      <c r="I15" s="95"/>
      <c r="J15" s="95"/>
    </row>
    <row r="16" spans="1:18" s="20" customFormat="1" ht="15" customHeight="1" x14ac:dyDescent="0.2">
      <c r="A16" s="95" t="s">
        <v>664</v>
      </c>
      <c r="B16" s="95"/>
      <c r="C16" s="95"/>
      <c r="D16" s="95"/>
      <c r="E16" s="95"/>
      <c r="F16" s="95"/>
      <c r="G16" s="95"/>
      <c r="H16" s="95"/>
      <c r="I16" s="95"/>
      <c r="J16" s="95"/>
      <c r="K16" s="95"/>
      <c r="L16" s="95"/>
      <c r="M16" s="95"/>
      <c r="N16" s="95"/>
      <c r="O16" s="95"/>
      <c r="P16" s="95"/>
    </row>
    <row r="17" spans="1:10" s="199" customFormat="1" ht="27.95" customHeight="1" x14ac:dyDescent="0.2">
      <c r="A17" s="611" t="s">
        <v>665</v>
      </c>
      <c r="B17" s="640"/>
      <c r="C17" s="640"/>
      <c r="D17" s="640"/>
      <c r="E17" s="640"/>
      <c r="F17" s="640"/>
      <c r="G17" s="640"/>
      <c r="H17" s="640"/>
      <c r="I17" s="95"/>
      <c r="J17" s="95"/>
    </row>
    <row r="18" spans="1:10" s="199" customFormat="1" ht="27.95" customHeight="1" x14ac:dyDescent="0.2">
      <c r="A18" s="611" t="s">
        <v>666</v>
      </c>
      <c r="B18" s="632"/>
      <c r="C18" s="632"/>
      <c r="D18" s="632"/>
      <c r="E18" s="632"/>
      <c r="F18" s="632"/>
      <c r="G18" s="632"/>
      <c r="H18" s="632"/>
      <c r="I18" s="632"/>
      <c r="J18" s="95"/>
    </row>
    <row r="19" spans="1:10" s="199" customFormat="1" ht="39.950000000000003" customHeight="1" x14ac:dyDescent="0.2">
      <c r="A19" s="611" t="s">
        <v>510</v>
      </c>
      <c r="B19" s="632"/>
      <c r="C19" s="632"/>
      <c r="D19" s="632"/>
      <c r="E19" s="632"/>
      <c r="F19" s="632"/>
      <c r="G19" s="632"/>
      <c r="H19" s="632"/>
      <c r="I19" s="632"/>
      <c r="J19" s="95"/>
    </row>
    <row r="20" spans="1:10" s="20" customFormat="1" ht="15" customHeight="1" x14ac:dyDescent="0.2">
      <c r="A20" s="218" t="s">
        <v>553</v>
      </c>
      <c r="B20" s="95"/>
      <c r="C20" s="86"/>
      <c r="D20" s="89"/>
      <c r="E20" s="96"/>
      <c r="F20" s="97"/>
      <c r="G20" s="95"/>
      <c r="H20" s="86"/>
      <c r="I20" s="89"/>
      <c r="J20" s="96"/>
    </row>
  </sheetData>
  <mergeCells count="5">
    <mergeCell ref="D3:E3"/>
    <mergeCell ref="A18:I18"/>
    <mergeCell ref="A19:I19"/>
    <mergeCell ref="A15:H15"/>
    <mergeCell ref="A17:H17"/>
  </mergeCells>
  <hyperlinks>
    <hyperlink ref="A2" location="Contents!A1" display="Back to contents" xr:uid="{7BDE18B3-4E67-4D81-9532-CA3F3D214D10}"/>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9FBF3-72F1-4F36-A6B5-9EF74807E236}">
  <dimension ref="A1:T112"/>
  <sheetViews>
    <sheetView workbookViewId="0">
      <pane ySplit="4" topLeftCell="A5" activePane="bottomLeft" state="frozen"/>
      <selection activeCell="A2" sqref="A2"/>
      <selection pane="bottomLeft" activeCell="A5" sqref="A5"/>
    </sheetView>
  </sheetViews>
  <sheetFormatPr defaultRowHeight="15" customHeight="1" x14ac:dyDescent="0.2"/>
  <cols>
    <col min="1" max="10" width="9" style="191"/>
    <col min="11" max="11" width="2.625" style="191" customWidth="1"/>
    <col min="12" max="16384" width="9" style="191"/>
  </cols>
  <sheetData>
    <row r="1" spans="1:20" ht="15" customHeight="1" x14ac:dyDescent="0.25">
      <c r="A1" s="151" t="s">
        <v>189</v>
      </c>
      <c r="B1" s="152"/>
      <c r="C1" s="152"/>
      <c r="D1" s="152"/>
      <c r="E1" s="152"/>
      <c r="F1" s="152"/>
      <c r="G1" s="152"/>
      <c r="H1" s="152"/>
      <c r="I1" s="154"/>
      <c r="J1" s="154"/>
      <c r="K1" s="154"/>
      <c r="L1" s="155"/>
      <c r="M1" s="155"/>
      <c r="N1" s="155"/>
      <c r="O1" s="155"/>
      <c r="P1" s="155"/>
      <c r="Q1" s="155"/>
      <c r="R1" s="155"/>
      <c r="S1" s="154"/>
      <c r="T1" s="154"/>
    </row>
    <row r="2" spans="1:20" s="199" customFormat="1" ht="15" customHeight="1" x14ac:dyDescent="0.2">
      <c r="A2" s="500" t="s">
        <v>585</v>
      </c>
    </row>
    <row r="3" spans="1:20" s="165" customFormat="1" ht="15" customHeight="1" x14ac:dyDescent="0.2">
      <c r="A3" s="192"/>
      <c r="B3" s="616" t="s">
        <v>0</v>
      </c>
      <c r="C3" s="616"/>
      <c r="D3" s="616"/>
      <c r="E3" s="616"/>
      <c r="F3" s="616"/>
      <c r="G3" s="616"/>
      <c r="H3" s="616"/>
      <c r="I3" s="616"/>
      <c r="J3" s="616"/>
      <c r="K3" s="193"/>
      <c r="L3" s="616" t="s">
        <v>1</v>
      </c>
      <c r="M3" s="616"/>
      <c r="N3" s="616"/>
      <c r="O3" s="616"/>
      <c r="P3" s="616"/>
      <c r="Q3" s="616"/>
      <c r="R3" s="616"/>
      <c r="S3" s="616"/>
      <c r="T3" s="616"/>
    </row>
    <row r="4" spans="1:20" s="165" customFormat="1" ht="15" customHeight="1" x14ac:dyDescent="0.2">
      <c r="A4" s="194" t="s">
        <v>26</v>
      </c>
      <c r="B4" s="195" t="s">
        <v>145</v>
      </c>
      <c r="C4" s="195">
        <v>1</v>
      </c>
      <c r="D4" s="195">
        <v>15</v>
      </c>
      <c r="E4" s="195">
        <v>25</v>
      </c>
      <c r="F4" s="195">
        <v>45</v>
      </c>
      <c r="G4" s="195">
        <v>65</v>
      </c>
      <c r="H4" s="195">
        <v>75</v>
      </c>
      <c r="I4" s="195">
        <v>85</v>
      </c>
      <c r="J4" s="195">
        <v>95</v>
      </c>
      <c r="K4" s="195"/>
      <c r="L4" s="195" t="s">
        <v>145</v>
      </c>
      <c r="M4" s="195">
        <v>1</v>
      </c>
      <c r="N4" s="195">
        <v>15</v>
      </c>
      <c r="O4" s="195">
        <v>25</v>
      </c>
      <c r="P4" s="195">
        <v>45</v>
      </c>
      <c r="Q4" s="195">
        <v>65</v>
      </c>
      <c r="R4" s="195">
        <v>75</v>
      </c>
      <c r="S4" s="195">
        <v>85</v>
      </c>
      <c r="T4" s="195">
        <v>95</v>
      </c>
    </row>
    <row r="5" spans="1:20" s="165" customFormat="1" ht="15" customHeight="1" x14ac:dyDescent="0.2">
      <c r="A5" s="182" t="s">
        <v>146</v>
      </c>
      <c r="B5" s="186">
        <v>47.2</v>
      </c>
      <c r="C5" s="186">
        <v>54.3</v>
      </c>
      <c r="D5" s="186">
        <v>59.5</v>
      </c>
      <c r="E5" s="186">
        <v>62.1</v>
      </c>
      <c r="F5" s="186">
        <v>68</v>
      </c>
      <c r="G5" s="186">
        <v>76.099999999999994</v>
      </c>
      <c r="H5" s="186">
        <v>81.72</v>
      </c>
      <c r="I5" s="177">
        <v>88.9</v>
      </c>
      <c r="J5" s="177">
        <v>97.2</v>
      </c>
      <c r="K5" s="177"/>
      <c r="L5" s="177">
        <v>50.8</v>
      </c>
      <c r="M5" s="177">
        <v>57.4</v>
      </c>
      <c r="N5" s="177">
        <v>62.5</v>
      </c>
      <c r="O5" s="177">
        <v>64.7</v>
      </c>
      <c r="P5" s="177">
        <v>70.599999999999994</v>
      </c>
      <c r="Q5" s="177">
        <v>77.3</v>
      </c>
      <c r="R5" s="177">
        <v>82.24</v>
      </c>
      <c r="S5" s="177">
        <v>88.9</v>
      </c>
      <c r="T5" s="177">
        <v>97.3</v>
      </c>
    </row>
    <row r="6" spans="1:20" s="165" customFormat="1" ht="15" customHeight="1" x14ac:dyDescent="0.2">
      <c r="A6" s="182" t="s">
        <v>147</v>
      </c>
      <c r="B6" s="186">
        <v>51.1</v>
      </c>
      <c r="C6" s="186">
        <v>57.9</v>
      </c>
      <c r="D6" s="186">
        <v>62</v>
      </c>
      <c r="E6" s="186">
        <v>63.9</v>
      </c>
      <c r="F6" s="186">
        <v>69</v>
      </c>
      <c r="G6" s="186">
        <v>76.3</v>
      </c>
      <c r="H6" s="186">
        <v>81.7</v>
      </c>
      <c r="I6" s="177">
        <v>88.8</v>
      </c>
      <c r="J6" s="177">
        <v>97.2</v>
      </c>
      <c r="K6" s="177"/>
      <c r="L6" s="177">
        <v>54.8</v>
      </c>
      <c r="M6" s="177">
        <v>60.9</v>
      </c>
      <c r="N6" s="177">
        <v>65</v>
      </c>
      <c r="O6" s="177">
        <v>66.7</v>
      </c>
      <c r="P6" s="177">
        <v>71.7</v>
      </c>
      <c r="Q6" s="177">
        <v>77.8</v>
      </c>
      <c r="R6" s="177">
        <v>82.37</v>
      </c>
      <c r="S6" s="177">
        <v>89.1</v>
      </c>
      <c r="T6" s="177">
        <v>97.2</v>
      </c>
    </row>
    <row r="7" spans="1:20" s="165" customFormat="1" ht="15" customHeight="1" x14ac:dyDescent="0.2">
      <c r="A7" s="182" t="s">
        <v>148</v>
      </c>
      <c r="B7" s="186">
        <v>55.2</v>
      </c>
      <c r="C7" s="186">
        <v>61</v>
      </c>
      <c r="D7" s="186">
        <v>64</v>
      </c>
      <c r="E7" s="186">
        <v>65.599999999999994</v>
      </c>
      <c r="F7" s="186">
        <v>69.8</v>
      </c>
      <c r="G7" s="186">
        <v>76.3</v>
      </c>
      <c r="H7" s="186">
        <v>81.58</v>
      </c>
      <c r="I7" s="177">
        <v>88.7</v>
      </c>
      <c r="J7" s="177">
        <v>96.9</v>
      </c>
      <c r="K7" s="177"/>
      <c r="L7" s="177">
        <v>58.8</v>
      </c>
      <c r="M7" s="177">
        <v>63.9</v>
      </c>
      <c r="N7" s="177">
        <v>66.900000000000006</v>
      </c>
      <c r="O7" s="177">
        <v>68.400000000000006</v>
      </c>
      <c r="P7" s="177">
        <v>72.599999999999994</v>
      </c>
      <c r="Q7" s="177">
        <v>77.900000000000006</v>
      </c>
      <c r="R7" s="177">
        <v>82.59</v>
      </c>
      <c r="S7" s="177">
        <v>89.2</v>
      </c>
      <c r="T7" s="177">
        <v>97.1</v>
      </c>
    </row>
    <row r="8" spans="1:20" s="165" customFormat="1" ht="15" customHeight="1" x14ac:dyDescent="0.2">
      <c r="A8" s="182" t="s">
        <v>149</v>
      </c>
      <c r="B8" s="186">
        <v>59.2</v>
      </c>
      <c r="C8" s="186">
        <v>63.7</v>
      </c>
      <c r="D8" s="186">
        <v>66.400000000000006</v>
      </c>
      <c r="E8" s="186">
        <v>67.7</v>
      </c>
      <c r="F8" s="186">
        <v>71</v>
      </c>
      <c r="G8" s="186">
        <v>77</v>
      </c>
      <c r="H8" s="186">
        <v>81.87</v>
      </c>
      <c r="I8" s="177">
        <v>88.6</v>
      </c>
      <c r="J8" s="177">
        <v>96.9</v>
      </c>
      <c r="K8" s="177"/>
      <c r="L8" s="177">
        <v>63.3</v>
      </c>
      <c r="M8" s="177">
        <v>67</v>
      </c>
      <c r="N8" s="177">
        <v>69.599999999999994</v>
      </c>
      <c r="O8" s="177">
        <v>70.7</v>
      </c>
      <c r="P8" s="177">
        <v>74</v>
      </c>
      <c r="Q8" s="177">
        <v>78.599999999999994</v>
      </c>
      <c r="R8" s="177">
        <v>82.73</v>
      </c>
      <c r="S8" s="177">
        <v>89.1</v>
      </c>
      <c r="T8" s="177">
        <v>97.1</v>
      </c>
    </row>
    <row r="9" spans="1:20" s="165" customFormat="1" ht="15" customHeight="1" x14ac:dyDescent="0.2">
      <c r="A9" s="182" t="s">
        <v>150</v>
      </c>
      <c r="B9" s="186">
        <v>63.5</v>
      </c>
      <c r="C9" s="186">
        <v>66.5</v>
      </c>
      <c r="D9" s="186">
        <v>68.400000000000006</v>
      </c>
      <c r="E9" s="186">
        <v>69.400000000000006</v>
      </c>
      <c r="F9" s="186">
        <v>71.900000000000006</v>
      </c>
      <c r="G9" s="186">
        <v>77.400000000000006</v>
      </c>
      <c r="H9" s="186">
        <v>82.19</v>
      </c>
      <c r="I9" s="177">
        <v>88.9</v>
      </c>
      <c r="J9" s="177">
        <v>97.1</v>
      </c>
      <c r="K9" s="177"/>
      <c r="L9" s="177">
        <v>67.099999999999994</v>
      </c>
      <c r="M9" s="177">
        <v>69.7</v>
      </c>
      <c r="N9" s="177">
        <v>71.3</v>
      </c>
      <c r="O9" s="177">
        <v>72.2</v>
      </c>
      <c r="P9" s="177">
        <v>74.7</v>
      </c>
      <c r="Q9" s="177">
        <v>79.2</v>
      </c>
      <c r="R9" s="177">
        <v>83.23</v>
      </c>
      <c r="S9" s="177">
        <v>89.3</v>
      </c>
      <c r="T9" s="177">
        <v>97</v>
      </c>
    </row>
    <row r="10" spans="1:20" s="165" customFormat="1" ht="15" customHeight="1" x14ac:dyDescent="0.2">
      <c r="A10" s="182" t="s">
        <v>151</v>
      </c>
      <c r="B10" s="186">
        <v>66.099999999999994</v>
      </c>
      <c r="C10" s="186">
        <v>68.3</v>
      </c>
      <c r="D10" s="186">
        <v>69.3</v>
      </c>
      <c r="E10" s="186">
        <v>70</v>
      </c>
      <c r="F10" s="186">
        <v>71.8</v>
      </c>
      <c r="G10" s="186">
        <v>77.3</v>
      </c>
      <c r="H10" s="186">
        <v>82.23</v>
      </c>
      <c r="I10" s="177">
        <v>88.8</v>
      </c>
      <c r="J10" s="177">
        <v>96.9</v>
      </c>
      <c r="K10" s="177"/>
      <c r="L10" s="177">
        <v>70.599999999999994</v>
      </c>
      <c r="M10" s="177">
        <v>72.5</v>
      </c>
      <c r="N10" s="177">
        <v>73.3</v>
      </c>
      <c r="O10" s="177">
        <v>73.7</v>
      </c>
      <c r="P10" s="177">
        <v>75.5</v>
      </c>
      <c r="Q10" s="177">
        <v>79.400000000000006</v>
      </c>
      <c r="R10" s="177">
        <v>83.32</v>
      </c>
      <c r="S10" s="177">
        <v>89.3</v>
      </c>
      <c r="T10" s="177">
        <v>97.1</v>
      </c>
    </row>
    <row r="11" spans="1:20" s="165" customFormat="1" ht="15" customHeight="1" x14ac:dyDescent="0.2">
      <c r="A11" s="182" t="s">
        <v>152</v>
      </c>
      <c r="B11" s="186">
        <v>67.099999999999994</v>
      </c>
      <c r="C11" s="186">
        <v>68.900000000000006</v>
      </c>
      <c r="D11" s="186">
        <v>69.7</v>
      </c>
      <c r="E11" s="186">
        <v>70.5</v>
      </c>
      <c r="F11" s="186">
        <v>72.2</v>
      </c>
      <c r="G11" s="186">
        <v>77.3</v>
      </c>
      <c r="H11" s="186">
        <v>82.33</v>
      </c>
      <c r="I11" s="177">
        <v>89</v>
      </c>
      <c r="J11" s="177">
        <v>97.1</v>
      </c>
      <c r="K11" s="177"/>
      <c r="L11" s="177">
        <v>72.8</v>
      </c>
      <c r="M11" s="177">
        <v>74.2</v>
      </c>
      <c r="N11" s="177">
        <v>74.900000000000006</v>
      </c>
      <c r="O11" s="177">
        <v>75.2</v>
      </c>
      <c r="P11" s="177">
        <v>76.400000000000006</v>
      </c>
      <c r="Q11" s="177">
        <v>80</v>
      </c>
      <c r="R11" s="177">
        <v>83.69</v>
      </c>
      <c r="S11" s="177">
        <v>89.5</v>
      </c>
      <c r="T11" s="177">
        <v>97.3</v>
      </c>
    </row>
    <row r="12" spans="1:20" s="165" customFormat="1" ht="15" customHeight="1" x14ac:dyDescent="0.2">
      <c r="A12" s="182" t="s">
        <v>153</v>
      </c>
      <c r="B12" s="186">
        <v>67.900000000000006</v>
      </c>
      <c r="C12" s="186">
        <v>69.5</v>
      </c>
      <c r="D12" s="186">
        <v>70.099999999999994</v>
      </c>
      <c r="E12" s="186">
        <v>70.8</v>
      </c>
      <c r="F12" s="186">
        <v>72.400000000000006</v>
      </c>
      <c r="G12" s="186">
        <v>77.5</v>
      </c>
      <c r="H12" s="186">
        <v>82.47</v>
      </c>
      <c r="I12" s="177">
        <v>89.1</v>
      </c>
      <c r="J12" s="177">
        <v>97.3</v>
      </c>
      <c r="K12" s="177"/>
      <c r="L12" s="177">
        <v>74.2</v>
      </c>
      <c r="M12" s="177">
        <v>75.5</v>
      </c>
      <c r="N12" s="177">
        <v>76</v>
      </c>
      <c r="O12" s="177">
        <v>76.3</v>
      </c>
      <c r="P12" s="177">
        <v>77.400000000000006</v>
      </c>
      <c r="Q12" s="177">
        <v>80.7</v>
      </c>
      <c r="R12" s="177">
        <v>84.16</v>
      </c>
      <c r="S12" s="177">
        <v>89.8</v>
      </c>
      <c r="T12" s="177">
        <v>97.6</v>
      </c>
    </row>
    <row r="13" spans="1:20" s="165" customFormat="1" ht="15" customHeight="1" x14ac:dyDescent="0.2">
      <c r="A13" s="182" t="s">
        <v>154</v>
      </c>
      <c r="B13" s="186">
        <v>67.599999999999994</v>
      </c>
      <c r="C13" s="186">
        <v>69.099999999999994</v>
      </c>
      <c r="D13" s="186">
        <v>69.599999999999994</v>
      </c>
      <c r="E13" s="186">
        <v>70.400000000000006</v>
      </c>
      <c r="F13" s="186">
        <v>72</v>
      </c>
      <c r="G13" s="186">
        <v>77.2</v>
      </c>
      <c r="H13" s="186">
        <v>82.33</v>
      </c>
      <c r="I13" s="177">
        <v>89.1</v>
      </c>
      <c r="J13" s="177">
        <v>97.3</v>
      </c>
      <c r="K13" s="177"/>
      <c r="L13" s="177">
        <v>74.2</v>
      </c>
      <c r="M13" s="177">
        <v>75.400000000000006</v>
      </c>
      <c r="N13" s="177">
        <v>75.8</v>
      </c>
      <c r="O13" s="177">
        <v>76.2</v>
      </c>
      <c r="P13" s="177">
        <v>77.3</v>
      </c>
      <c r="Q13" s="177">
        <v>80.7</v>
      </c>
      <c r="R13" s="177">
        <v>84.22</v>
      </c>
      <c r="S13" s="177">
        <v>89.9</v>
      </c>
      <c r="T13" s="177">
        <v>97.7</v>
      </c>
    </row>
    <row r="14" spans="1:20" s="165" customFormat="1" ht="15" customHeight="1" x14ac:dyDescent="0.2">
      <c r="A14" s="182" t="s">
        <v>155</v>
      </c>
      <c r="B14" s="186">
        <v>67.8</v>
      </c>
      <c r="C14" s="186">
        <v>69.3</v>
      </c>
      <c r="D14" s="186">
        <v>69.8</v>
      </c>
      <c r="E14" s="186">
        <v>70.599999999999994</v>
      </c>
      <c r="F14" s="186">
        <v>72.099999999999994</v>
      </c>
      <c r="G14" s="186">
        <v>77.2</v>
      </c>
      <c r="H14" s="186">
        <v>82.29</v>
      </c>
      <c r="I14" s="177">
        <v>89.1</v>
      </c>
      <c r="J14" s="177">
        <v>97.6</v>
      </c>
      <c r="K14" s="177"/>
      <c r="L14" s="177">
        <v>74.5</v>
      </c>
      <c r="M14" s="177">
        <v>75.7</v>
      </c>
      <c r="N14" s="177">
        <v>76.2</v>
      </c>
      <c r="O14" s="177">
        <v>76.5</v>
      </c>
      <c r="P14" s="177">
        <v>77.599999999999994</v>
      </c>
      <c r="Q14" s="177">
        <v>80.900000000000006</v>
      </c>
      <c r="R14" s="177">
        <v>84.36</v>
      </c>
      <c r="S14" s="177">
        <v>90</v>
      </c>
      <c r="T14" s="177">
        <v>97.8</v>
      </c>
    </row>
    <row r="15" spans="1:20" s="165" customFormat="1" ht="15" customHeight="1" x14ac:dyDescent="0.2">
      <c r="A15" s="182" t="s">
        <v>156</v>
      </c>
      <c r="B15" s="186">
        <v>69.599999999999994</v>
      </c>
      <c r="C15" s="186">
        <v>70.599999999999994</v>
      </c>
      <c r="D15" s="186">
        <v>71.099999999999994</v>
      </c>
      <c r="E15" s="186">
        <v>71.900000000000006</v>
      </c>
      <c r="F15" s="186">
        <v>73.3</v>
      </c>
      <c r="G15" s="186">
        <v>78.099999999999994</v>
      </c>
      <c r="H15" s="186">
        <v>82.91</v>
      </c>
      <c r="I15" s="177">
        <v>89.5</v>
      </c>
      <c r="J15" s="177">
        <v>97.9</v>
      </c>
      <c r="K15" s="177"/>
      <c r="L15" s="177">
        <v>76.599999999999994</v>
      </c>
      <c r="M15" s="177">
        <v>77.5</v>
      </c>
      <c r="N15" s="177">
        <v>77.8</v>
      </c>
      <c r="O15" s="177">
        <v>78.099999999999994</v>
      </c>
      <c r="P15" s="177">
        <v>79</v>
      </c>
      <c r="Q15" s="177">
        <v>82.1</v>
      </c>
      <c r="R15" s="177">
        <v>85.289999999999992</v>
      </c>
      <c r="S15" s="177">
        <v>90.5</v>
      </c>
      <c r="T15" s="177">
        <v>98.1</v>
      </c>
    </row>
    <row r="16" spans="1:20" s="165" customFormat="1" ht="15" customHeight="1" x14ac:dyDescent="0.2">
      <c r="A16" s="182" t="s">
        <v>157</v>
      </c>
      <c r="B16" s="186">
        <v>71.2</v>
      </c>
      <c r="C16" s="186">
        <v>72.099999999999994</v>
      </c>
      <c r="D16" s="186">
        <v>72.400000000000006</v>
      </c>
      <c r="E16" s="186">
        <v>73.2</v>
      </c>
      <c r="F16" s="186">
        <v>74.5</v>
      </c>
      <c r="G16" s="186">
        <v>78.8</v>
      </c>
      <c r="H16" s="186">
        <v>83.31</v>
      </c>
      <c r="I16" s="177">
        <v>89.7</v>
      </c>
      <c r="J16" s="177">
        <v>97.7</v>
      </c>
      <c r="K16" s="177"/>
      <c r="L16" s="177">
        <v>78.3</v>
      </c>
      <c r="M16" s="177">
        <v>79</v>
      </c>
      <c r="N16" s="177">
        <v>79.3</v>
      </c>
      <c r="O16" s="177">
        <v>79.5</v>
      </c>
      <c r="P16" s="177">
        <v>80.3</v>
      </c>
      <c r="Q16" s="177">
        <v>83</v>
      </c>
      <c r="R16" s="177">
        <v>85.89</v>
      </c>
      <c r="S16" s="177">
        <v>90.7</v>
      </c>
      <c r="T16" s="177">
        <v>98</v>
      </c>
    </row>
    <row r="17" spans="1:20" s="165" customFormat="1" ht="15" customHeight="1" x14ac:dyDescent="0.2">
      <c r="A17" s="182" t="s">
        <v>158</v>
      </c>
      <c r="B17" s="186">
        <v>72.7</v>
      </c>
      <c r="C17" s="186">
        <v>73.5</v>
      </c>
      <c r="D17" s="186">
        <v>73.8</v>
      </c>
      <c r="E17" s="186">
        <v>74.5</v>
      </c>
      <c r="F17" s="186">
        <v>75.8</v>
      </c>
      <c r="G17" s="186">
        <v>79.599999999999994</v>
      </c>
      <c r="H17" s="186">
        <v>83.78</v>
      </c>
      <c r="I17" s="177">
        <v>89.9</v>
      </c>
      <c r="J17" s="177">
        <v>98.1</v>
      </c>
      <c r="K17" s="177"/>
      <c r="L17" s="177">
        <v>79.2</v>
      </c>
      <c r="M17" s="177">
        <v>79.8</v>
      </c>
      <c r="N17" s="177">
        <v>80.099999999999994</v>
      </c>
      <c r="O17" s="177">
        <v>80.400000000000006</v>
      </c>
      <c r="P17" s="177">
        <v>81.099999999999994</v>
      </c>
      <c r="Q17" s="177">
        <v>83.6</v>
      </c>
      <c r="R17" s="177">
        <v>86.37</v>
      </c>
      <c r="S17" s="177">
        <v>91.1</v>
      </c>
      <c r="T17" s="177">
        <v>98.3</v>
      </c>
    </row>
    <row r="18" spans="1:20" s="165" customFormat="1" ht="15" customHeight="1" x14ac:dyDescent="0.2">
      <c r="A18" s="182" t="s">
        <v>159</v>
      </c>
      <c r="B18" s="186">
        <v>74.3</v>
      </c>
      <c r="C18" s="186">
        <v>74.900000000000006</v>
      </c>
      <c r="D18" s="186">
        <v>75.2</v>
      </c>
      <c r="E18" s="186">
        <v>75.8</v>
      </c>
      <c r="F18" s="186">
        <v>77</v>
      </c>
      <c r="G18" s="186">
        <v>80.400000000000006</v>
      </c>
      <c r="H18" s="186">
        <v>84.31</v>
      </c>
      <c r="I18" s="177">
        <v>90.2</v>
      </c>
      <c r="J18" s="177">
        <v>98.1</v>
      </c>
      <c r="K18" s="177"/>
      <c r="L18" s="177">
        <v>80.400000000000006</v>
      </c>
      <c r="M18" s="177">
        <v>80.900000000000006</v>
      </c>
      <c r="N18" s="177">
        <v>81.099999999999994</v>
      </c>
      <c r="O18" s="177">
        <v>81.400000000000006</v>
      </c>
      <c r="P18" s="177">
        <v>82</v>
      </c>
      <c r="Q18" s="177">
        <v>84.3</v>
      </c>
      <c r="R18" s="177">
        <v>86.87</v>
      </c>
      <c r="S18" s="177">
        <v>91.4</v>
      </c>
      <c r="T18" s="177">
        <v>98.4</v>
      </c>
    </row>
    <row r="19" spans="1:20" s="165" customFormat="1" ht="15" customHeight="1" x14ac:dyDescent="0.2">
      <c r="A19" s="182" t="s">
        <v>160</v>
      </c>
      <c r="B19" s="186">
        <v>75</v>
      </c>
      <c r="C19" s="186">
        <v>75.5</v>
      </c>
      <c r="D19" s="186">
        <v>75.7</v>
      </c>
      <c r="E19" s="186">
        <v>76.3</v>
      </c>
      <c r="F19" s="186">
        <v>77.5</v>
      </c>
      <c r="G19" s="186">
        <v>80.7</v>
      </c>
      <c r="H19" s="186">
        <v>84.44</v>
      </c>
      <c r="I19" s="177">
        <v>90.1</v>
      </c>
      <c r="J19" s="177">
        <v>97.8</v>
      </c>
      <c r="K19" s="177"/>
      <c r="L19" s="177">
        <v>80.8</v>
      </c>
      <c r="M19" s="177">
        <v>81.3</v>
      </c>
      <c r="N19" s="177">
        <v>81.5</v>
      </c>
      <c r="O19" s="177">
        <v>81.7</v>
      </c>
      <c r="P19" s="177">
        <v>82.3</v>
      </c>
      <c r="Q19" s="177">
        <v>84.5</v>
      </c>
      <c r="R19" s="177">
        <v>86.98</v>
      </c>
      <c r="S19" s="177">
        <v>91.3</v>
      </c>
      <c r="T19" s="177">
        <v>98</v>
      </c>
    </row>
    <row r="20" spans="1:20" s="165" customFormat="1" ht="15" customHeight="1" x14ac:dyDescent="0.2">
      <c r="A20" s="182" t="s">
        <v>161</v>
      </c>
      <c r="B20" s="186">
        <v>75.2</v>
      </c>
      <c r="C20" s="186">
        <v>75.7</v>
      </c>
      <c r="D20" s="186">
        <v>75.900000000000006</v>
      </c>
      <c r="E20" s="186">
        <v>76.5</v>
      </c>
      <c r="F20" s="186">
        <v>77.8</v>
      </c>
      <c r="G20" s="186">
        <v>80.8</v>
      </c>
      <c r="H20" s="186">
        <v>84.51</v>
      </c>
      <c r="I20" s="177">
        <v>90.2</v>
      </c>
      <c r="J20" s="177">
        <v>98.2</v>
      </c>
      <c r="K20" s="177"/>
      <c r="L20" s="177">
        <v>81.099999999999994</v>
      </c>
      <c r="M20" s="177">
        <v>81.5</v>
      </c>
      <c r="N20" s="177">
        <v>81.7</v>
      </c>
      <c r="O20" s="177">
        <v>81.900000000000006</v>
      </c>
      <c r="P20" s="177">
        <v>82.5</v>
      </c>
      <c r="Q20" s="177">
        <v>84.6</v>
      </c>
      <c r="R20" s="177">
        <v>87.07</v>
      </c>
      <c r="S20" s="177">
        <v>91.4</v>
      </c>
      <c r="T20" s="177">
        <v>98.2</v>
      </c>
    </row>
    <row r="21" spans="1:20" s="165" customFormat="1" ht="15" customHeight="1" x14ac:dyDescent="0.2">
      <c r="A21" s="182" t="s">
        <v>162</v>
      </c>
      <c r="B21" s="186">
        <v>75.599999999999994</v>
      </c>
      <c r="C21" s="186">
        <v>76</v>
      </c>
      <c r="D21" s="186">
        <v>76.3</v>
      </c>
      <c r="E21" s="186">
        <v>76.8</v>
      </c>
      <c r="F21" s="186">
        <v>78.099999999999994</v>
      </c>
      <c r="G21" s="186">
        <v>81.099999999999994</v>
      </c>
      <c r="H21" s="186">
        <v>84.710000000000008</v>
      </c>
      <c r="I21" s="177">
        <v>90.3</v>
      </c>
      <c r="J21" s="177">
        <v>98.3</v>
      </c>
      <c r="K21" s="177"/>
      <c r="L21" s="177">
        <v>81.3</v>
      </c>
      <c r="M21" s="177">
        <v>81.7</v>
      </c>
      <c r="N21" s="177">
        <v>81.900000000000006</v>
      </c>
      <c r="O21" s="177">
        <v>82.1</v>
      </c>
      <c r="P21" s="177">
        <v>82.7</v>
      </c>
      <c r="Q21" s="177">
        <v>84.8</v>
      </c>
      <c r="R21" s="177">
        <v>87.2</v>
      </c>
      <c r="S21" s="177">
        <v>91.4</v>
      </c>
      <c r="T21" s="177">
        <v>98.4</v>
      </c>
    </row>
    <row r="22" spans="1:20" s="165" customFormat="1" ht="15" customHeight="1" x14ac:dyDescent="0.2">
      <c r="A22" s="182" t="s">
        <v>163</v>
      </c>
      <c r="B22" s="186">
        <v>75.900000000000006</v>
      </c>
      <c r="C22" s="186">
        <v>76.3</v>
      </c>
      <c r="D22" s="186">
        <v>76.5</v>
      </c>
      <c r="E22" s="186">
        <v>77.099999999999994</v>
      </c>
      <c r="F22" s="186">
        <v>78.400000000000006</v>
      </c>
      <c r="G22" s="186">
        <v>81.3</v>
      </c>
      <c r="H22" s="186">
        <v>84.85</v>
      </c>
      <c r="I22" s="177">
        <v>90.4</v>
      </c>
      <c r="J22" s="177">
        <v>98.3</v>
      </c>
      <c r="K22" s="177"/>
      <c r="L22" s="177">
        <v>81.5</v>
      </c>
      <c r="M22" s="177">
        <v>81.900000000000006</v>
      </c>
      <c r="N22" s="177">
        <v>82.1</v>
      </c>
      <c r="O22" s="177">
        <v>82.3</v>
      </c>
      <c r="P22" s="177">
        <v>83</v>
      </c>
      <c r="Q22" s="177">
        <v>85</v>
      </c>
      <c r="R22" s="177">
        <v>87.34</v>
      </c>
      <c r="S22" s="177">
        <v>91.5</v>
      </c>
      <c r="T22" s="177">
        <v>98.4</v>
      </c>
    </row>
    <row r="23" spans="1:20" s="165" customFormat="1" ht="15" customHeight="1" x14ac:dyDescent="0.2">
      <c r="A23" s="182" t="s">
        <v>164</v>
      </c>
      <c r="B23" s="186">
        <v>76.2</v>
      </c>
      <c r="C23" s="186">
        <v>76.7</v>
      </c>
      <c r="D23" s="186">
        <v>76.900000000000006</v>
      </c>
      <c r="E23" s="186">
        <v>77.5</v>
      </c>
      <c r="F23" s="186">
        <v>78.8</v>
      </c>
      <c r="G23" s="186">
        <v>81.599999999999994</v>
      </c>
      <c r="H23" s="186">
        <v>85.06</v>
      </c>
      <c r="I23" s="177">
        <v>90.5</v>
      </c>
      <c r="J23" s="177">
        <v>98.5</v>
      </c>
      <c r="K23" s="177"/>
      <c r="L23" s="177">
        <v>81.8</v>
      </c>
      <c r="M23" s="177">
        <v>82.2</v>
      </c>
      <c r="N23" s="177">
        <v>82.4</v>
      </c>
      <c r="O23" s="177">
        <v>82.6</v>
      </c>
      <c r="P23" s="177">
        <v>83.2</v>
      </c>
      <c r="Q23" s="177">
        <v>85.2</v>
      </c>
      <c r="R23" s="177">
        <v>87.5</v>
      </c>
      <c r="S23" s="177">
        <v>91.6</v>
      </c>
      <c r="T23" s="177">
        <v>98.6</v>
      </c>
    </row>
    <row r="24" spans="1:20" s="165" customFormat="1" ht="15" customHeight="1" x14ac:dyDescent="0.2">
      <c r="A24" s="182" t="s">
        <v>165</v>
      </c>
      <c r="B24" s="186">
        <v>76.599999999999994</v>
      </c>
      <c r="C24" s="186">
        <v>77</v>
      </c>
      <c r="D24" s="186">
        <v>77.2</v>
      </c>
      <c r="E24" s="186">
        <v>77.8</v>
      </c>
      <c r="F24" s="186">
        <v>79.099999999999994</v>
      </c>
      <c r="G24" s="186">
        <v>81.900000000000006</v>
      </c>
      <c r="H24" s="186">
        <v>85.2</v>
      </c>
      <c r="I24" s="177">
        <v>90.5</v>
      </c>
      <c r="J24" s="177">
        <v>98.4</v>
      </c>
      <c r="K24" s="177"/>
      <c r="L24" s="177">
        <v>82</v>
      </c>
      <c r="M24" s="177">
        <v>82.4</v>
      </c>
      <c r="N24" s="177">
        <v>82.6</v>
      </c>
      <c r="O24" s="177">
        <v>82.8</v>
      </c>
      <c r="P24" s="177">
        <v>83.5</v>
      </c>
      <c r="Q24" s="177">
        <v>85.4</v>
      </c>
      <c r="R24" s="177">
        <v>87.65</v>
      </c>
      <c r="S24" s="177">
        <v>91.6</v>
      </c>
      <c r="T24" s="177">
        <v>98.5</v>
      </c>
    </row>
    <row r="25" spans="1:20" s="165" customFormat="1" ht="15" customHeight="1" x14ac:dyDescent="0.2">
      <c r="A25" s="182" t="s">
        <v>166</v>
      </c>
      <c r="B25" s="186">
        <v>77</v>
      </c>
      <c r="C25" s="186">
        <v>77.5</v>
      </c>
      <c r="D25" s="186">
        <v>77.7</v>
      </c>
      <c r="E25" s="186">
        <v>78.2</v>
      </c>
      <c r="F25" s="186">
        <v>79.5</v>
      </c>
      <c r="G25" s="186">
        <v>82.2</v>
      </c>
      <c r="H25" s="186">
        <v>85.44</v>
      </c>
      <c r="I25" s="177">
        <v>90.6</v>
      </c>
      <c r="J25" s="177">
        <v>98.6</v>
      </c>
      <c r="K25" s="177"/>
      <c r="L25" s="177">
        <v>82.4</v>
      </c>
      <c r="M25" s="177">
        <v>82.8</v>
      </c>
      <c r="N25" s="177">
        <v>83</v>
      </c>
      <c r="O25" s="177">
        <v>83.2</v>
      </c>
      <c r="P25" s="177">
        <v>83.8</v>
      </c>
      <c r="Q25" s="177">
        <v>85.7</v>
      </c>
      <c r="R25" s="177">
        <v>87.89</v>
      </c>
      <c r="S25" s="177">
        <v>91.8</v>
      </c>
      <c r="T25" s="177">
        <v>98.5</v>
      </c>
    </row>
    <row r="26" spans="1:20" s="165" customFormat="1" ht="15" customHeight="1" x14ac:dyDescent="0.2">
      <c r="A26" s="182" t="s">
        <v>167</v>
      </c>
      <c r="B26" s="186">
        <v>77.400000000000006</v>
      </c>
      <c r="C26" s="186">
        <v>77.8</v>
      </c>
      <c r="D26" s="186">
        <v>78</v>
      </c>
      <c r="E26" s="186">
        <v>78.5</v>
      </c>
      <c r="F26" s="186">
        <v>79.7</v>
      </c>
      <c r="G26" s="186">
        <v>82.4</v>
      </c>
      <c r="H26" s="186">
        <v>85.51</v>
      </c>
      <c r="I26" s="177">
        <v>90.6</v>
      </c>
      <c r="J26" s="177">
        <v>98.2</v>
      </c>
      <c r="K26" s="177"/>
      <c r="L26" s="177">
        <v>82.6</v>
      </c>
      <c r="M26" s="177">
        <v>83</v>
      </c>
      <c r="N26" s="177">
        <v>83.1</v>
      </c>
      <c r="O26" s="177">
        <v>83.3</v>
      </c>
      <c r="P26" s="177">
        <v>83.9</v>
      </c>
      <c r="Q26" s="177">
        <v>85.8</v>
      </c>
      <c r="R26" s="177">
        <v>87.98</v>
      </c>
      <c r="S26" s="177">
        <v>91.8</v>
      </c>
      <c r="T26" s="177">
        <v>98.6</v>
      </c>
    </row>
    <row r="27" spans="1:20" s="165" customFormat="1" ht="15" customHeight="1" x14ac:dyDescent="0.2">
      <c r="A27" s="182" t="s">
        <v>168</v>
      </c>
      <c r="B27" s="186">
        <v>77.8</v>
      </c>
      <c r="C27" s="186">
        <v>78.2</v>
      </c>
      <c r="D27" s="186">
        <v>78.400000000000006</v>
      </c>
      <c r="E27" s="186">
        <v>78.8</v>
      </c>
      <c r="F27" s="186">
        <v>80</v>
      </c>
      <c r="G27" s="186">
        <v>82.6</v>
      </c>
      <c r="H27" s="186">
        <v>85.65</v>
      </c>
      <c r="I27" s="177">
        <v>90.6</v>
      </c>
      <c r="J27" s="177">
        <v>98.1</v>
      </c>
      <c r="K27" s="177"/>
      <c r="L27" s="177">
        <v>82.8</v>
      </c>
      <c r="M27" s="177">
        <v>83.2</v>
      </c>
      <c r="N27" s="177">
        <v>83.4</v>
      </c>
      <c r="O27" s="177">
        <v>83.5</v>
      </c>
      <c r="P27" s="177">
        <v>84.1</v>
      </c>
      <c r="Q27" s="177">
        <v>86</v>
      </c>
      <c r="R27" s="177">
        <v>88.08</v>
      </c>
      <c r="S27" s="177">
        <v>91.9</v>
      </c>
      <c r="T27" s="177">
        <v>98.7</v>
      </c>
    </row>
    <row r="28" spans="1:20" s="165" customFormat="1" ht="15" customHeight="1" x14ac:dyDescent="0.2">
      <c r="A28" s="182" t="s">
        <v>169</v>
      </c>
      <c r="B28" s="186">
        <v>78.099999999999994</v>
      </c>
      <c r="C28" s="186">
        <v>78.5</v>
      </c>
      <c r="D28" s="186">
        <v>78.7</v>
      </c>
      <c r="E28" s="186">
        <v>79.099999999999994</v>
      </c>
      <c r="F28" s="186">
        <v>80.2</v>
      </c>
      <c r="G28" s="186">
        <v>82.8</v>
      </c>
      <c r="H28" s="186">
        <v>85.78</v>
      </c>
      <c r="I28" s="177">
        <v>90.7</v>
      </c>
      <c r="J28" s="177">
        <v>98.1</v>
      </c>
      <c r="K28" s="177"/>
      <c r="L28" s="177">
        <v>83</v>
      </c>
      <c r="M28" s="177">
        <v>83.4</v>
      </c>
      <c r="N28" s="177">
        <v>83.5</v>
      </c>
      <c r="O28" s="177">
        <v>83.7</v>
      </c>
      <c r="P28" s="177">
        <v>84.3</v>
      </c>
      <c r="Q28" s="177">
        <v>86.1</v>
      </c>
      <c r="R28" s="177">
        <v>88.17</v>
      </c>
      <c r="S28" s="177">
        <v>91.9</v>
      </c>
      <c r="T28" s="177">
        <v>98.6</v>
      </c>
    </row>
    <row r="29" spans="1:20" s="165" customFormat="1" ht="15" customHeight="1" x14ac:dyDescent="0.2">
      <c r="A29" s="182" t="s">
        <v>170</v>
      </c>
      <c r="B29" s="186">
        <v>78.5</v>
      </c>
      <c r="C29" s="186">
        <v>78.900000000000006</v>
      </c>
      <c r="D29" s="186">
        <v>79.099999999999994</v>
      </c>
      <c r="E29" s="186">
        <v>79.5</v>
      </c>
      <c r="F29" s="186">
        <v>80.599999999999994</v>
      </c>
      <c r="G29" s="186">
        <v>83.1</v>
      </c>
      <c r="H29" s="186">
        <v>86.039999999999992</v>
      </c>
      <c r="I29" s="177">
        <v>90.9</v>
      </c>
      <c r="J29" s="177">
        <v>98.2</v>
      </c>
      <c r="K29" s="177"/>
      <c r="L29" s="177">
        <v>83.3</v>
      </c>
      <c r="M29" s="177">
        <v>83.7</v>
      </c>
      <c r="N29" s="177">
        <v>83.9</v>
      </c>
      <c r="O29" s="177">
        <v>84</v>
      </c>
      <c r="P29" s="177">
        <v>84.6</v>
      </c>
      <c r="Q29" s="177">
        <v>86.4</v>
      </c>
      <c r="R29" s="177">
        <v>88.37</v>
      </c>
      <c r="S29" s="177">
        <v>92.1</v>
      </c>
      <c r="T29" s="177">
        <v>98.6</v>
      </c>
    </row>
    <row r="30" spans="1:20" s="165" customFormat="1" ht="15" customHeight="1" x14ac:dyDescent="0.2">
      <c r="A30" s="182" t="s">
        <v>171</v>
      </c>
      <c r="B30" s="186">
        <v>78.7</v>
      </c>
      <c r="C30" s="186">
        <v>79.099999999999994</v>
      </c>
      <c r="D30" s="186">
        <v>79.3</v>
      </c>
      <c r="E30" s="186">
        <v>79.7</v>
      </c>
      <c r="F30" s="186">
        <v>80.7</v>
      </c>
      <c r="G30" s="186">
        <v>83.3</v>
      </c>
      <c r="H30" s="186">
        <v>86.12</v>
      </c>
      <c r="I30" s="177">
        <v>90.9</v>
      </c>
      <c r="J30" s="177">
        <v>98.2</v>
      </c>
      <c r="K30" s="177"/>
      <c r="L30" s="177">
        <v>83.5</v>
      </c>
      <c r="M30" s="177">
        <v>83.9</v>
      </c>
      <c r="N30" s="177">
        <v>84</v>
      </c>
      <c r="O30" s="177">
        <v>84.2</v>
      </c>
      <c r="P30" s="177">
        <v>84.7</v>
      </c>
      <c r="Q30" s="177">
        <v>86.5</v>
      </c>
      <c r="R30" s="177">
        <v>88.42</v>
      </c>
      <c r="S30" s="177">
        <v>92.1</v>
      </c>
      <c r="T30" s="177">
        <v>98.5</v>
      </c>
    </row>
    <row r="31" spans="1:20" s="165" customFormat="1" ht="15" customHeight="1" x14ac:dyDescent="0.2">
      <c r="A31" s="182" t="s">
        <v>172</v>
      </c>
      <c r="B31" s="186">
        <v>79</v>
      </c>
      <c r="C31" s="186">
        <v>79.400000000000006</v>
      </c>
      <c r="D31" s="186">
        <v>79.599999999999994</v>
      </c>
      <c r="E31" s="186">
        <v>80</v>
      </c>
      <c r="F31" s="186">
        <v>81</v>
      </c>
      <c r="G31" s="186">
        <v>83.5</v>
      </c>
      <c r="H31" s="186">
        <v>86.289999999999992</v>
      </c>
      <c r="I31" s="177">
        <v>91</v>
      </c>
      <c r="J31" s="177">
        <v>98.1</v>
      </c>
      <c r="K31" s="177"/>
      <c r="L31" s="177">
        <v>83.7</v>
      </c>
      <c r="M31" s="177">
        <v>84.1</v>
      </c>
      <c r="N31" s="177">
        <v>84.2</v>
      </c>
      <c r="O31" s="177">
        <v>84.4</v>
      </c>
      <c r="P31" s="177">
        <v>84.9</v>
      </c>
      <c r="Q31" s="177">
        <v>86.6</v>
      </c>
      <c r="R31" s="177">
        <v>88.51</v>
      </c>
      <c r="S31" s="177">
        <v>92.1</v>
      </c>
      <c r="T31" s="177">
        <v>98.4</v>
      </c>
    </row>
    <row r="32" spans="1:20" s="165" customFormat="1" ht="15" customHeight="1" x14ac:dyDescent="0.2">
      <c r="A32" s="182" t="s">
        <v>173</v>
      </c>
      <c r="B32" s="186">
        <v>79.2</v>
      </c>
      <c r="C32" s="186">
        <v>79.599999999999994</v>
      </c>
      <c r="D32" s="186">
        <v>79.7</v>
      </c>
      <c r="E32" s="186">
        <v>80.099999999999994</v>
      </c>
      <c r="F32" s="186">
        <v>81.099999999999994</v>
      </c>
      <c r="G32" s="186">
        <v>83.6</v>
      </c>
      <c r="H32" s="186">
        <v>86.3</v>
      </c>
      <c r="I32" s="177">
        <v>91</v>
      </c>
      <c r="J32" s="177">
        <v>98.1</v>
      </c>
      <c r="K32" s="177"/>
      <c r="L32" s="177">
        <v>83.7</v>
      </c>
      <c r="M32" s="177">
        <v>84.1</v>
      </c>
      <c r="N32" s="177">
        <v>84.2</v>
      </c>
      <c r="O32" s="177">
        <v>84.4</v>
      </c>
      <c r="P32" s="177">
        <v>84.9</v>
      </c>
      <c r="Q32" s="177">
        <v>86.6</v>
      </c>
      <c r="R32" s="177">
        <v>88.5</v>
      </c>
      <c r="S32" s="177">
        <v>92</v>
      </c>
      <c r="T32" s="177">
        <v>98.4</v>
      </c>
    </row>
    <row r="33" spans="1:20" s="165" customFormat="1" ht="15" customHeight="1" x14ac:dyDescent="0.2">
      <c r="A33" s="182" t="s">
        <v>174</v>
      </c>
      <c r="B33" s="186">
        <v>79.3</v>
      </c>
      <c r="C33" s="186">
        <v>79.7</v>
      </c>
      <c r="D33" s="186">
        <v>79.900000000000006</v>
      </c>
      <c r="E33" s="186">
        <v>80.2</v>
      </c>
      <c r="F33" s="186">
        <v>81.3</v>
      </c>
      <c r="G33" s="186">
        <v>83.7</v>
      </c>
      <c r="H33" s="186">
        <v>86.42</v>
      </c>
      <c r="I33" s="177">
        <v>91</v>
      </c>
      <c r="J33" s="177">
        <v>98.1</v>
      </c>
      <c r="K33" s="177"/>
      <c r="L33" s="177">
        <v>83.9</v>
      </c>
      <c r="M33" s="177">
        <v>84.2</v>
      </c>
      <c r="N33" s="177">
        <v>84.4</v>
      </c>
      <c r="O33" s="177">
        <v>84.5</v>
      </c>
      <c r="P33" s="177">
        <v>85.1</v>
      </c>
      <c r="Q33" s="177">
        <v>86.8</v>
      </c>
      <c r="R33" s="177">
        <v>88.6</v>
      </c>
      <c r="S33" s="177">
        <v>92.1</v>
      </c>
      <c r="T33" s="177">
        <v>98.4</v>
      </c>
    </row>
    <row r="34" spans="1:20" s="165" customFormat="1" ht="15" customHeight="1" x14ac:dyDescent="0.2">
      <c r="A34" s="182" t="s">
        <v>175</v>
      </c>
      <c r="B34" s="186">
        <v>79.5</v>
      </c>
      <c r="C34" s="186">
        <v>79.900000000000006</v>
      </c>
      <c r="D34" s="186">
        <v>80.099999999999994</v>
      </c>
      <c r="E34" s="186">
        <v>80.400000000000006</v>
      </c>
      <c r="F34" s="186">
        <v>81.3</v>
      </c>
      <c r="G34" s="186">
        <v>83.9</v>
      </c>
      <c r="H34" s="186">
        <v>86.52</v>
      </c>
      <c r="I34" s="177">
        <v>91</v>
      </c>
      <c r="J34" s="177">
        <v>98.1</v>
      </c>
      <c r="K34" s="177"/>
      <c r="L34" s="177">
        <v>84</v>
      </c>
      <c r="M34" s="177">
        <v>84.3</v>
      </c>
      <c r="N34" s="177">
        <v>84.5</v>
      </c>
      <c r="O34" s="177">
        <v>84.6</v>
      </c>
      <c r="P34" s="177">
        <v>85.1</v>
      </c>
      <c r="Q34" s="177">
        <v>86.8</v>
      </c>
      <c r="R34" s="177">
        <v>88.67</v>
      </c>
      <c r="S34" s="177">
        <v>92.1</v>
      </c>
      <c r="T34" s="177">
        <v>98.4</v>
      </c>
    </row>
    <row r="35" spans="1:20" s="165" customFormat="1" ht="15" customHeight="1" x14ac:dyDescent="0.2">
      <c r="A35" s="182" t="s">
        <v>176</v>
      </c>
      <c r="B35" s="186">
        <v>79.8</v>
      </c>
      <c r="C35" s="186">
        <v>80.099999999999994</v>
      </c>
      <c r="D35" s="186">
        <v>80.3</v>
      </c>
      <c r="E35" s="186">
        <v>80.599999999999994</v>
      </c>
      <c r="F35" s="186">
        <v>81.599999999999994</v>
      </c>
      <c r="G35" s="186">
        <v>84.1</v>
      </c>
      <c r="H35" s="186">
        <v>86.72</v>
      </c>
      <c r="I35" s="177">
        <v>91.2</v>
      </c>
      <c r="J35" s="177">
        <v>98.3</v>
      </c>
      <c r="K35" s="177"/>
      <c r="L35" s="177">
        <v>84.2</v>
      </c>
      <c r="M35" s="177">
        <v>84.5</v>
      </c>
      <c r="N35" s="177">
        <v>84.6</v>
      </c>
      <c r="O35" s="177">
        <v>84.8</v>
      </c>
      <c r="P35" s="177">
        <v>85.3</v>
      </c>
      <c r="Q35" s="177">
        <v>87</v>
      </c>
      <c r="R35" s="177">
        <v>88.82</v>
      </c>
      <c r="S35" s="177">
        <v>92.2</v>
      </c>
      <c r="T35" s="177">
        <v>98.5</v>
      </c>
    </row>
    <row r="36" spans="1:20" s="165" customFormat="1" ht="15" customHeight="1" x14ac:dyDescent="0.2">
      <c r="A36" s="182" t="s">
        <v>177</v>
      </c>
      <c r="B36" s="186">
        <v>79.900000000000006</v>
      </c>
      <c r="C36" s="186">
        <v>80.3</v>
      </c>
      <c r="D36" s="186">
        <v>80.400000000000006</v>
      </c>
      <c r="E36" s="186">
        <v>80.7</v>
      </c>
      <c r="F36" s="186">
        <v>81.7</v>
      </c>
      <c r="G36" s="186">
        <v>84.1</v>
      </c>
      <c r="H36" s="186">
        <v>86.7</v>
      </c>
      <c r="I36" s="177">
        <v>91.1</v>
      </c>
      <c r="J36" s="177">
        <v>98.1</v>
      </c>
      <c r="K36" s="177"/>
      <c r="L36" s="177">
        <v>84.3</v>
      </c>
      <c r="M36" s="177">
        <v>84.5</v>
      </c>
      <c r="N36" s="177">
        <v>84.7</v>
      </c>
      <c r="O36" s="177">
        <v>84.8</v>
      </c>
      <c r="P36" s="177">
        <v>85.4</v>
      </c>
      <c r="Q36" s="177">
        <v>87</v>
      </c>
      <c r="R36" s="177">
        <v>88.84</v>
      </c>
      <c r="S36" s="177">
        <v>92.2</v>
      </c>
      <c r="T36" s="177">
        <v>98.4</v>
      </c>
    </row>
    <row r="37" spans="1:20" s="165" customFormat="1" ht="15" customHeight="1" x14ac:dyDescent="0.2">
      <c r="A37" s="182" t="s">
        <v>178</v>
      </c>
      <c r="B37" s="186">
        <v>80.099999999999994</v>
      </c>
      <c r="C37" s="186">
        <v>80.400000000000006</v>
      </c>
      <c r="D37" s="186">
        <v>80.5</v>
      </c>
      <c r="E37" s="186">
        <v>80.8</v>
      </c>
      <c r="F37" s="186">
        <v>81.8</v>
      </c>
      <c r="G37" s="186">
        <v>84.2</v>
      </c>
      <c r="H37" s="186">
        <v>86.8</v>
      </c>
      <c r="I37" s="177">
        <v>91.1</v>
      </c>
      <c r="J37" s="177">
        <v>97.9</v>
      </c>
      <c r="K37" s="177"/>
      <c r="L37" s="177">
        <v>84.3</v>
      </c>
      <c r="M37" s="177">
        <v>84.6</v>
      </c>
      <c r="N37" s="177">
        <v>84.7</v>
      </c>
      <c r="O37" s="177">
        <v>84.9</v>
      </c>
      <c r="P37" s="177">
        <v>85.4</v>
      </c>
      <c r="Q37" s="177">
        <v>87.1</v>
      </c>
      <c r="R37" s="177">
        <v>88.9</v>
      </c>
      <c r="S37" s="177">
        <v>92.1</v>
      </c>
      <c r="T37" s="177">
        <v>98.3</v>
      </c>
    </row>
    <row r="38" spans="1:20" s="165" customFormat="1" ht="15" customHeight="1" x14ac:dyDescent="0.2">
      <c r="A38" s="182" t="s">
        <v>179</v>
      </c>
      <c r="B38" s="186">
        <v>80.3</v>
      </c>
      <c r="C38" s="186">
        <v>80.599999999999994</v>
      </c>
      <c r="D38" s="186">
        <v>80.7</v>
      </c>
      <c r="E38" s="186">
        <v>81</v>
      </c>
      <c r="F38" s="186">
        <v>82</v>
      </c>
      <c r="G38" s="186">
        <v>84.4</v>
      </c>
      <c r="H38" s="186">
        <v>86.9</v>
      </c>
      <c r="I38" s="177">
        <v>91.1</v>
      </c>
      <c r="J38" s="177">
        <v>98</v>
      </c>
      <c r="K38" s="177"/>
      <c r="L38" s="177">
        <v>84.4</v>
      </c>
      <c r="M38" s="177">
        <v>84.7</v>
      </c>
      <c r="N38" s="177">
        <v>84.8</v>
      </c>
      <c r="O38" s="177">
        <v>85</v>
      </c>
      <c r="P38" s="177">
        <v>85.5</v>
      </c>
      <c r="Q38" s="177">
        <v>87.2</v>
      </c>
      <c r="R38" s="177">
        <v>88.9</v>
      </c>
      <c r="S38" s="177">
        <v>92.2</v>
      </c>
      <c r="T38" s="177">
        <v>98.3</v>
      </c>
    </row>
    <row r="39" spans="1:20" s="165" customFormat="1" ht="15" customHeight="1" x14ac:dyDescent="0.2">
      <c r="A39" s="182" t="s">
        <v>180</v>
      </c>
      <c r="B39" s="186">
        <v>80.400000000000006</v>
      </c>
      <c r="C39" s="186">
        <v>80.7</v>
      </c>
      <c r="D39" s="186">
        <v>80.8</v>
      </c>
      <c r="E39" s="186">
        <v>81.099999999999994</v>
      </c>
      <c r="F39" s="186">
        <v>82.1</v>
      </c>
      <c r="G39" s="186">
        <v>84.5</v>
      </c>
      <c r="H39" s="186">
        <v>87</v>
      </c>
      <c r="I39" s="177">
        <v>91.2</v>
      </c>
      <c r="J39" s="177">
        <v>98</v>
      </c>
      <c r="K39" s="177"/>
      <c r="L39" s="177">
        <v>84.5</v>
      </c>
      <c r="M39" s="177">
        <v>84.8</v>
      </c>
      <c r="N39" s="177">
        <v>84.9</v>
      </c>
      <c r="O39" s="177">
        <v>85.1</v>
      </c>
      <c r="P39" s="177">
        <v>85.6</v>
      </c>
      <c r="Q39" s="177">
        <v>87.3</v>
      </c>
      <c r="R39" s="177">
        <v>89</v>
      </c>
      <c r="S39" s="177">
        <v>92.2</v>
      </c>
      <c r="T39" s="177">
        <v>98.3</v>
      </c>
    </row>
    <row r="40" spans="1:20" s="165" customFormat="1" ht="15" customHeight="1" x14ac:dyDescent="0.2">
      <c r="A40" s="182" t="s">
        <v>181</v>
      </c>
      <c r="B40" s="186">
        <v>80.400000000000006</v>
      </c>
      <c r="C40" s="186">
        <v>80.7</v>
      </c>
      <c r="D40" s="186">
        <v>80.900000000000006</v>
      </c>
      <c r="E40" s="186">
        <v>81.2</v>
      </c>
      <c r="F40" s="186">
        <v>82.1</v>
      </c>
      <c r="G40" s="186">
        <v>84.6</v>
      </c>
      <c r="H40" s="186">
        <v>87.1</v>
      </c>
      <c r="I40" s="177">
        <v>91.2</v>
      </c>
      <c r="J40" s="177">
        <v>98</v>
      </c>
      <c r="K40" s="177"/>
      <c r="L40" s="177">
        <v>84.6</v>
      </c>
      <c r="M40" s="177">
        <v>84.8</v>
      </c>
      <c r="N40" s="177">
        <v>85</v>
      </c>
      <c r="O40" s="177">
        <v>85.1</v>
      </c>
      <c r="P40" s="177">
        <v>85.6</v>
      </c>
      <c r="Q40" s="177">
        <v>87.3</v>
      </c>
      <c r="R40" s="177">
        <v>89</v>
      </c>
      <c r="S40" s="177">
        <v>92.3</v>
      </c>
      <c r="T40" s="177">
        <v>98.3</v>
      </c>
    </row>
    <row r="41" spans="1:20" s="165" customFormat="1" ht="15" customHeight="1" x14ac:dyDescent="0.2">
      <c r="A41" s="182" t="s">
        <v>182</v>
      </c>
      <c r="B41" s="186">
        <v>80.478390000000005</v>
      </c>
      <c r="C41" s="186">
        <v>80.754760000000005</v>
      </c>
      <c r="D41" s="186">
        <v>80.879140000000007</v>
      </c>
      <c r="E41" s="186">
        <v>81.179850000000002</v>
      </c>
      <c r="F41" s="186">
        <v>82.166830000000004</v>
      </c>
      <c r="G41" s="186">
        <v>84.667789999999997</v>
      </c>
      <c r="H41" s="186">
        <v>87.123940000000005</v>
      </c>
      <c r="I41" s="177">
        <v>91.262919999999994</v>
      </c>
      <c r="J41" s="177">
        <v>98.073189999999997</v>
      </c>
      <c r="K41" s="177"/>
      <c r="L41" s="177">
        <v>84.626980000000003</v>
      </c>
      <c r="M41" s="177">
        <v>84.885199999999998</v>
      </c>
      <c r="N41" s="177">
        <v>84.990449999999996</v>
      </c>
      <c r="O41" s="177">
        <v>85.131879999999995</v>
      </c>
      <c r="P41" s="177">
        <v>85.677120000000002</v>
      </c>
      <c r="Q41" s="177">
        <v>87.341729999999998</v>
      </c>
      <c r="R41" s="177">
        <v>89.068629999999999</v>
      </c>
      <c r="S41" s="177">
        <v>92.296949999999995</v>
      </c>
      <c r="T41" s="177">
        <v>98.308350000000004</v>
      </c>
    </row>
    <row r="42" spans="1:20" s="165" customFormat="1" ht="15" customHeight="1" x14ac:dyDescent="0.2">
      <c r="A42" s="182" t="s">
        <v>183</v>
      </c>
      <c r="B42" s="186">
        <v>80.729579999999999</v>
      </c>
      <c r="C42" s="186">
        <v>81.013229999999993</v>
      </c>
      <c r="D42" s="186">
        <v>81.132580000000004</v>
      </c>
      <c r="E42" s="186">
        <v>81.43432</v>
      </c>
      <c r="F42" s="186">
        <v>82.395849999999996</v>
      </c>
      <c r="G42" s="186">
        <v>84.865639999999999</v>
      </c>
      <c r="H42" s="186">
        <v>87.29974</v>
      </c>
      <c r="I42" s="177">
        <v>91.386089999999996</v>
      </c>
      <c r="J42" s="177">
        <v>98.180480000000003</v>
      </c>
      <c r="K42" s="177"/>
      <c r="L42" s="177">
        <v>84.872910000000005</v>
      </c>
      <c r="M42" s="177">
        <v>85.130510000000001</v>
      </c>
      <c r="N42" s="177">
        <v>85.231899999999996</v>
      </c>
      <c r="O42" s="177">
        <v>85.369460000000004</v>
      </c>
      <c r="P42" s="177">
        <v>85.899679999999989</v>
      </c>
      <c r="Q42" s="177">
        <v>87.559699999999992</v>
      </c>
      <c r="R42" s="177">
        <v>89.270799999999994</v>
      </c>
      <c r="S42" s="177">
        <v>92.451030000000003</v>
      </c>
      <c r="T42" s="177">
        <v>98.361930000000001</v>
      </c>
    </row>
    <row r="43" spans="1:20" s="165" customFormat="1" ht="15" customHeight="1" x14ac:dyDescent="0.2">
      <c r="A43" s="182" t="s">
        <v>184</v>
      </c>
      <c r="B43" s="186">
        <v>80.851600000000005</v>
      </c>
      <c r="C43" s="186">
        <v>81.147009999999995</v>
      </c>
      <c r="D43" s="186">
        <v>81.261089999999996</v>
      </c>
      <c r="E43" s="186">
        <v>81.567599999999999</v>
      </c>
      <c r="F43" s="186">
        <v>82.527240000000006</v>
      </c>
      <c r="G43" s="186">
        <v>85.007859999999994</v>
      </c>
      <c r="H43" s="186">
        <v>87.420879999999997</v>
      </c>
      <c r="I43" s="177">
        <v>91.441050000000004</v>
      </c>
      <c r="J43" s="177">
        <v>98.178269999999998</v>
      </c>
      <c r="K43" s="177"/>
      <c r="L43" s="177">
        <v>85.040499999999994</v>
      </c>
      <c r="M43" s="177">
        <v>85.293229999999994</v>
      </c>
      <c r="N43" s="177">
        <v>85.396709999999999</v>
      </c>
      <c r="O43" s="177">
        <v>85.538389999999993</v>
      </c>
      <c r="P43" s="177">
        <v>86.052539999999993</v>
      </c>
      <c r="Q43" s="177">
        <v>87.703990000000005</v>
      </c>
      <c r="R43" s="177">
        <v>89.413619999999995</v>
      </c>
      <c r="S43" s="177">
        <v>92.570539999999994</v>
      </c>
      <c r="T43" s="177">
        <v>98.56344</v>
      </c>
    </row>
    <row r="44" spans="1:20" s="165" customFormat="1" ht="15" customHeight="1" x14ac:dyDescent="0.2">
      <c r="A44" s="182" t="s">
        <v>185</v>
      </c>
      <c r="B44" s="186">
        <v>81.191909999999993</v>
      </c>
      <c r="C44" s="186">
        <v>81.483959999999996</v>
      </c>
      <c r="D44" s="186">
        <v>81.589920000000006</v>
      </c>
      <c r="E44" s="186">
        <v>81.901119999999992</v>
      </c>
      <c r="F44" s="186">
        <v>82.841160000000002</v>
      </c>
      <c r="G44" s="186">
        <v>85.29213</v>
      </c>
      <c r="H44" s="186">
        <v>87.655860000000004</v>
      </c>
      <c r="I44" s="177">
        <v>91.582589999999996</v>
      </c>
      <c r="J44" s="177">
        <v>98.147769999999994</v>
      </c>
      <c r="K44" s="177"/>
      <c r="L44" s="177">
        <v>85.344620000000006</v>
      </c>
      <c r="M44" s="177">
        <v>85.598470000000006</v>
      </c>
      <c r="N44" s="177">
        <v>85.693939999999998</v>
      </c>
      <c r="O44" s="177">
        <v>85.834310000000002</v>
      </c>
      <c r="P44" s="177">
        <v>86.339920000000006</v>
      </c>
      <c r="Q44" s="177">
        <v>87.961410000000001</v>
      </c>
      <c r="R44" s="177">
        <v>89.619630000000001</v>
      </c>
      <c r="S44" s="177">
        <v>92.68844</v>
      </c>
      <c r="T44" s="177">
        <v>98.442679999999996</v>
      </c>
    </row>
    <row r="45" spans="1:20" s="165" customFormat="1" ht="15" customHeight="1" x14ac:dyDescent="0.2">
      <c r="A45" s="182" t="s">
        <v>186</v>
      </c>
      <c r="B45" s="186">
        <v>81.304050000000004</v>
      </c>
      <c r="C45" s="186">
        <v>81.595230000000001</v>
      </c>
      <c r="D45" s="186">
        <v>81.706829999999997</v>
      </c>
      <c r="E45" s="186">
        <v>82.01930999999999</v>
      </c>
      <c r="F45" s="186">
        <v>82.943820000000002</v>
      </c>
      <c r="G45" s="186">
        <v>85.347650000000002</v>
      </c>
      <c r="H45" s="186">
        <v>87.673360000000002</v>
      </c>
      <c r="I45" s="177">
        <v>91.559439999999995</v>
      </c>
      <c r="J45" s="177">
        <v>98.051330000000007</v>
      </c>
      <c r="K45" s="177"/>
      <c r="L45" s="177">
        <v>85.413550000000001</v>
      </c>
      <c r="M45" s="177">
        <v>85.658869999999993</v>
      </c>
      <c r="N45" s="177">
        <v>85.754320000000007</v>
      </c>
      <c r="O45" s="177">
        <v>85.897449999999992</v>
      </c>
      <c r="P45" s="177">
        <v>86.39412999999999</v>
      </c>
      <c r="Q45" s="177">
        <v>87.975840000000005</v>
      </c>
      <c r="R45" s="177">
        <v>89.60333</v>
      </c>
      <c r="S45" s="177">
        <v>92.658159999999995</v>
      </c>
      <c r="T45" s="177">
        <v>98.415570000000002</v>
      </c>
    </row>
    <row r="46" spans="1:20" s="165" customFormat="1" ht="15" customHeight="1" x14ac:dyDescent="0.2">
      <c r="A46" s="182" t="s">
        <v>187</v>
      </c>
      <c r="B46" s="186">
        <v>81.220060000000004</v>
      </c>
      <c r="C46" s="186">
        <v>81.500150000000005</v>
      </c>
      <c r="D46" s="186">
        <v>81.614040000000003</v>
      </c>
      <c r="E46" s="186">
        <v>81.916539999999998</v>
      </c>
      <c r="F46" s="186">
        <v>82.832149999999999</v>
      </c>
      <c r="G46" s="186">
        <v>85.21857</v>
      </c>
      <c r="H46" s="186">
        <v>87.555689999999998</v>
      </c>
      <c r="I46" s="177">
        <v>91.467330000000004</v>
      </c>
      <c r="J46" s="177">
        <v>97.996539999999996</v>
      </c>
      <c r="K46" s="177"/>
      <c r="L46" s="177">
        <v>85.263580000000005</v>
      </c>
      <c r="M46" s="177">
        <v>85.515439999999998</v>
      </c>
      <c r="N46" s="177">
        <v>85.610380000000006</v>
      </c>
      <c r="O46" s="177">
        <v>85.752389999999991</v>
      </c>
      <c r="P46" s="177">
        <v>86.247839999999997</v>
      </c>
      <c r="Q46" s="177">
        <v>87.835489999999993</v>
      </c>
      <c r="R46" s="177">
        <v>89.449539999999999</v>
      </c>
      <c r="S46" s="177">
        <v>92.500969999999995</v>
      </c>
      <c r="T46" s="177">
        <v>98.286540000000002</v>
      </c>
    </row>
    <row r="47" spans="1:20" s="165" customFormat="1" ht="15" customHeight="1" x14ac:dyDescent="0.2">
      <c r="A47" s="196" t="s">
        <v>188</v>
      </c>
      <c r="B47" s="197">
        <v>81.073700000000002</v>
      </c>
      <c r="C47" s="197">
        <v>81.352680000000007</v>
      </c>
      <c r="D47" s="197">
        <v>81.472480000000004</v>
      </c>
      <c r="E47" s="197">
        <v>81.766269999999992</v>
      </c>
      <c r="F47" s="197">
        <v>82.669530000000009</v>
      </c>
      <c r="G47" s="197">
        <v>85.076769999999996</v>
      </c>
      <c r="H47" s="197">
        <v>87.430250000000001</v>
      </c>
      <c r="I47" s="197">
        <v>91.342100000000002</v>
      </c>
      <c r="J47" s="197">
        <v>97.683499999999995</v>
      </c>
      <c r="K47" s="198"/>
      <c r="L47" s="197">
        <v>85.109359999999995</v>
      </c>
      <c r="M47" s="197">
        <v>85.366339999999994</v>
      </c>
      <c r="N47" s="197">
        <v>85.466099999999997</v>
      </c>
      <c r="O47" s="197">
        <v>85.60181</v>
      </c>
      <c r="P47" s="197">
        <v>86.102350000000001</v>
      </c>
      <c r="Q47" s="197">
        <v>87.704450000000008</v>
      </c>
      <c r="R47" s="197">
        <v>89.333569999999995</v>
      </c>
      <c r="S47" s="197">
        <v>92.404120000000006</v>
      </c>
      <c r="T47" s="197">
        <v>98.140209999999996</v>
      </c>
    </row>
    <row r="48" spans="1:20" s="199" customFormat="1" ht="90" customHeight="1" x14ac:dyDescent="0.2">
      <c r="A48" s="641" t="s">
        <v>556</v>
      </c>
      <c r="B48" s="642"/>
      <c r="C48" s="642"/>
      <c r="D48" s="642"/>
      <c r="E48" s="642"/>
      <c r="F48" s="642"/>
      <c r="G48" s="642"/>
      <c r="H48" s="642"/>
      <c r="I48" s="642"/>
      <c r="J48" s="642"/>
      <c r="K48" s="642"/>
      <c r="L48" s="642"/>
      <c r="M48" s="642"/>
      <c r="N48" s="642"/>
      <c r="O48" s="642"/>
      <c r="P48" s="642"/>
      <c r="Q48" s="642"/>
      <c r="R48" s="642"/>
      <c r="S48" s="642"/>
      <c r="T48" s="642"/>
    </row>
    <row r="49" spans="1:20" s="165" customFormat="1" ht="15" customHeight="1" x14ac:dyDescent="0.2">
      <c r="A49" s="200"/>
      <c r="B49" s="200"/>
      <c r="C49" s="200"/>
      <c r="D49" s="200"/>
      <c r="E49" s="200"/>
      <c r="F49" s="200"/>
      <c r="G49" s="200"/>
      <c r="H49" s="200"/>
      <c r="I49" s="200"/>
      <c r="J49" s="200"/>
      <c r="K49" s="200"/>
      <c r="L49" s="200"/>
      <c r="M49" s="200"/>
      <c r="N49" s="200"/>
      <c r="O49" s="200"/>
      <c r="P49" s="200"/>
      <c r="Q49" s="200"/>
      <c r="R49" s="200"/>
      <c r="S49" s="200"/>
      <c r="T49" s="200"/>
    </row>
    <row r="50" spans="1:20" s="165" customFormat="1" ht="15" customHeight="1" x14ac:dyDescent="0.2">
      <c r="A50" s="200"/>
      <c r="B50" s="200"/>
      <c r="C50" s="200"/>
      <c r="D50" s="200"/>
      <c r="E50" s="200"/>
      <c r="F50" s="200"/>
      <c r="G50" s="200"/>
      <c r="H50" s="200"/>
      <c r="I50" s="200"/>
      <c r="J50" s="200"/>
      <c r="K50" s="200"/>
      <c r="L50" s="200"/>
      <c r="M50" s="200"/>
      <c r="N50" s="200"/>
      <c r="O50" s="200"/>
      <c r="P50" s="200"/>
      <c r="Q50" s="200"/>
      <c r="R50" s="200"/>
      <c r="S50" s="200"/>
      <c r="T50" s="200"/>
    </row>
    <row r="51" spans="1:20" s="165" customFormat="1" ht="15" customHeight="1" x14ac:dyDescent="0.2">
      <c r="A51" s="200"/>
      <c r="B51" s="200"/>
      <c r="C51" s="200"/>
      <c r="D51" s="200"/>
      <c r="E51" s="200"/>
      <c r="F51" s="200"/>
      <c r="G51" s="200"/>
      <c r="H51" s="200"/>
      <c r="I51" s="200"/>
      <c r="J51" s="200"/>
      <c r="K51" s="200"/>
      <c r="L51" s="200"/>
      <c r="M51" s="200"/>
      <c r="N51" s="200"/>
      <c r="O51" s="200"/>
      <c r="P51" s="200"/>
      <c r="Q51" s="200"/>
      <c r="R51" s="200"/>
      <c r="S51" s="200"/>
      <c r="T51" s="200"/>
    </row>
    <row r="52" spans="1:20" s="165" customFormat="1" ht="15" customHeight="1" x14ac:dyDescent="0.2">
      <c r="A52" s="200"/>
      <c r="B52" s="200"/>
      <c r="C52" s="200"/>
      <c r="D52" s="200"/>
      <c r="E52" s="200"/>
      <c r="F52" s="200"/>
      <c r="G52" s="200"/>
      <c r="H52" s="200"/>
      <c r="I52" s="200"/>
      <c r="J52" s="200"/>
      <c r="K52" s="200"/>
      <c r="L52" s="200"/>
      <c r="M52" s="200"/>
      <c r="N52" s="200"/>
      <c r="O52" s="200"/>
      <c r="P52" s="200"/>
      <c r="Q52" s="200"/>
      <c r="R52" s="200"/>
      <c r="S52" s="200"/>
      <c r="T52" s="200"/>
    </row>
    <row r="53" spans="1:20" s="165" customFormat="1" ht="15" customHeight="1" x14ac:dyDescent="0.2">
      <c r="A53" s="182"/>
      <c r="B53" s="184"/>
      <c r="C53" s="184"/>
      <c r="D53" s="184"/>
      <c r="E53" s="184"/>
      <c r="F53" s="184"/>
      <c r="G53" s="184"/>
      <c r="H53" s="184"/>
      <c r="I53" s="177"/>
      <c r="J53" s="177"/>
      <c r="K53" s="177"/>
      <c r="L53" s="178"/>
      <c r="M53" s="178"/>
      <c r="N53" s="178"/>
      <c r="O53" s="178"/>
      <c r="P53" s="178"/>
      <c r="Q53" s="178"/>
      <c r="R53" s="178"/>
      <c r="S53" s="177"/>
      <c r="T53" s="177"/>
    </row>
    <row r="54" spans="1:20" s="165" customFormat="1" ht="15" customHeight="1" x14ac:dyDescent="0.2">
      <c r="A54" s="182"/>
      <c r="B54" s="184"/>
      <c r="C54" s="184"/>
      <c r="D54" s="184"/>
      <c r="E54" s="184"/>
      <c r="F54" s="184"/>
      <c r="G54" s="184"/>
      <c r="H54" s="184"/>
      <c r="I54" s="177"/>
      <c r="J54" s="177"/>
      <c r="K54" s="177"/>
      <c r="L54" s="178"/>
      <c r="M54" s="178"/>
      <c r="N54" s="178"/>
      <c r="O54" s="178"/>
      <c r="P54" s="178"/>
      <c r="Q54" s="178"/>
      <c r="R54" s="178"/>
      <c r="S54" s="177"/>
      <c r="T54" s="177"/>
    </row>
    <row r="55" spans="1:20" s="165" customFormat="1" ht="15" customHeight="1" x14ac:dyDescent="0.2">
      <c r="A55" s="182"/>
      <c r="B55" s="184"/>
      <c r="C55" s="184"/>
      <c r="D55" s="184"/>
      <c r="E55" s="184"/>
      <c r="F55" s="184"/>
      <c r="G55" s="184"/>
      <c r="H55" s="184"/>
      <c r="I55" s="177"/>
      <c r="J55" s="177"/>
      <c r="K55" s="177"/>
      <c r="L55" s="178"/>
      <c r="M55" s="178"/>
      <c r="N55" s="178"/>
      <c r="O55" s="178"/>
      <c r="P55" s="178"/>
      <c r="Q55" s="178"/>
      <c r="R55" s="178"/>
      <c r="S55" s="177"/>
      <c r="T55" s="177"/>
    </row>
    <row r="56" spans="1:20" s="165" customFormat="1" ht="15" customHeight="1" x14ac:dyDescent="0.2">
      <c r="A56" s="182"/>
      <c r="B56" s="184"/>
      <c r="C56" s="184"/>
      <c r="D56" s="184"/>
      <c r="E56" s="184"/>
      <c r="F56" s="184"/>
      <c r="G56" s="184"/>
      <c r="H56" s="184"/>
      <c r="I56" s="177"/>
      <c r="J56" s="177"/>
      <c r="K56" s="177"/>
      <c r="L56" s="178"/>
      <c r="M56" s="178"/>
      <c r="N56" s="178"/>
      <c r="O56" s="178"/>
      <c r="P56" s="178"/>
      <c r="Q56" s="178"/>
      <c r="R56" s="178"/>
      <c r="S56" s="177"/>
      <c r="T56" s="177"/>
    </row>
    <row r="57" spans="1:20" s="165" customFormat="1" ht="15" customHeight="1" x14ac:dyDescent="0.2">
      <c r="A57" s="182"/>
      <c r="B57" s="184"/>
      <c r="C57" s="184"/>
      <c r="D57" s="184"/>
      <c r="E57" s="184"/>
      <c r="F57" s="184"/>
      <c r="G57" s="184"/>
      <c r="H57" s="184"/>
      <c r="I57" s="177"/>
      <c r="J57" s="177"/>
      <c r="K57" s="177"/>
      <c r="L57" s="178"/>
      <c r="M57" s="178"/>
      <c r="N57" s="178"/>
      <c r="O57" s="178"/>
      <c r="P57" s="178"/>
      <c r="Q57" s="178"/>
      <c r="R57" s="178"/>
      <c r="S57" s="177"/>
      <c r="T57" s="177"/>
    </row>
    <row r="58" spans="1:20" s="165" customFormat="1" ht="15" customHeight="1" x14ac:dyDescent="0.2">
      <c r="A58" s="182"/>
      <c r="B58" s="184"/>
      <c r="C58" s="184"/>
      <c r="D58" s="184"/>
      <c r="E58" s="184"/>
      <c r="F58" s="184"/>
      <c r="G58" s="184"/>
      <c r="H58" s="184"/>
      <c r="I58" s="177"/>
      <c r="J58" s="177"/>
      <c r="K58" s="177"/>
      <c r="L58" s="178"/>
      <c r="M58" s="178"/>
      <c r="N58" s="178"/>
      <c r="O58" s="178"/>
      <c r="P58" s="178"/>
      <c r="Q58" s="178"/>
      <c r="R58" s="178"/>
      <c r="S58" s="177"/>
      <c r="T58" s="177"/>
    </row>
    <row r="59" spans="1:20" s="165" customFormat="1" ht="15" customHeight="1" x14ac:dyDescent="0.2">
      <c r="A59" s="182"/>
      <c r="B59" s="184"/>
      <c r="C59" s="184"/>
      <c r="D59" s="184"/>
      <c r="E59" s="184"/>
      <c r="F59" s="184"/>
      <c r="G59" s="184"/>
      <c r="H59" s="184"/>
      <c r="I59" s="177"/>
      <c r="J59" s="177"/>
      <c r="K59" s="177"/>
      <c r="L59" s="178"/>
      <c r="M59" s="178"/>
      <c r="N59" s="178"/>
      <c r="O59" s="178"/>
      <c r="P59" s="178"/>
      <c r="Q59" s="178"/>
      <c r="R59" s="178"/>
      <c r="S59" s="177"/>
      <c r="T59" s="177"/>
    </row>
    <row r="60" spans="1:20" s="165" customFormat="1" ht="15" customHeight="1" x14ac:dyDescent="0.2">
      <c r="A60" s="182"/>
      <c r="B60" s="184"/>
      <c r="C60" s="184"/>
      <c r="D60" s="184"/>
      <c r="E60" s="184"/>
      <c r="F60" s="184"/>
      <c r="G60" s="184"/>
      <c r="H60" s="184"/>
      <c r="I60" s="177"/>
      <c r="J60" s="177"/>
      <c r="K60" s="177"/>
      <c r="L60" s="178"/>
      <c r="M60" s="178"/>
      <c r="N60" s="178"/>
      <c r="O60" s="178"/>
      <c r="P60" s="178"/>
      <c r="Q60" s="178"/>
      <c r="R60" s="178"/>
      <c r="S60" s="177"/>
      <c r="T60" s="177"/>
    </row>
    <row r="61" spans="1:20" s="165" customFormat="1" ht="15" customHeight="1" x14ac:dyDescent="0.2">
      <c r="A61" s="182"/>
      <c r="B61" s="184"/>
      <c r="C61" s="184"/>
      <c r="D61" s="184"/>
      <c r="E61" s="184"/>
      <c r="F61" s="184"/>
      <c r="G61" s="184"/>
      <c r="H61" s="184"/>
      <c r="I61" s="177"/>
      <c r="J61" s="177"/>
      <c r="K61" s="177"/>
      <c r="L61" s="178"/>
      <c r="M61" s="178"/>
      <c r="N61" s="178"/>
      <c r="O61" s="178"/>
      <c r="P61" s="178"/>
      <c r="Q61" s="178"/>
      <c r="R61" s="178"/>
      <c r="S61" s="177"/>
      <c r="T61" s="177"/>
    </row>
    <row r="62" spans="1:20" s="165" customFormat="1" ht="15" customHeight="1" x14ac:dyDescent="0.2">
      <c r="A62" s="182"/>
      <c r="B62" s="184"/>
      <c r="C62" s="184"/>
      <c r="D62" s="184"/>
      <c r="E62" s="184"/>
      <c r="F62" s="184"/>
      <c r="G62" s="184"/>
      <c r="H62" s="184"/>
      <c r="I62" s="177"/>
      <c r="J62" s="177"/>
      <c r="K62" s="177"/>
      <c r="L62" s="178"/>
      <c r="M62" s="178"/>
      <c r="N62" s="178"/>
      <c r="O62" s="178"/>
      <c r="P62" s="178"/>
      <c r="Q62" s="178"/>
      <c r="R62" s="178"/>
      <c r="S62" s="177"/>
      <c r="T62" s="177"/>
    </row>
    <row r="63" spans="1:20" s="165" customFormat="1" ht="15" customHeight="1" x14ac:dyDescent="0.2">
      <c r="A63" s="182"/>
      <c r="B63" s="184"/>
      <c r="C63" s="184"/>
      <c r="D63" s="184"/>
      <c r="E63" s="184"/>
      <c r="F63" s="184"/>
      <c r="G63" s="184"/>
      <c r="H63" s="184"/>
      <c r="I63" s="177"/>
      <c r="J63" s="177"/>
      <c r="K63" s="177"/>
      <c r="L63" s="178"/>
      <c r="M63" s="178"/>
      <c r="N63" s="178"/>
      <c r="O63" s="178"/>
      <c r="P63" s="178"/>
      <c r="Q63" s="178"/>
      <c r="R63" s="178"/>
      <c r="S63" s="177"/>
      <c r="T63" s="177"/>
    </row>
    <row r="64" spans="1:20" s="165" customFormat="1" ht="15" customHeight="1" x14ac:dyDescent="0.2">
      <c r="A64" s="182"/>
      <c r="B64" s="184"/>
      <c r="C64" s="184"/>
      <c r="D64" s="184"/>
      <c r="E64" s="184"/>
      <c r="F64" s="184"/>
      <c r="G64" s="184"/>
      <c r="H64" s="184"/>
      <c r="I64" s="177"/>
      <c r="J64" s="177"/>
      <c r="K64" s="177"/>
      <c r="L64" s="178"/>
      <c r="M64" s="178"/>
      <c r="N64" s="178"/>
      <c r="O64" s="178"/>
      <c r="P64" s="178"/>
      <c r="Q64" s="178"/>
      <c r="R64" s="178"/>
      <c r="S64" s="177"/>
      <c r="T64" s="177"/>
    </row>
    <row r="65" spans="1:20" s="165" customFormat="1" ht="15" customHeight="1" x14ac:dyDescent="0.2">
      <c r="A65" s="182"/>
      <c r="B65" s="184"/>
      <c r="C65" s="184"/>
      <c r="D65" s="184"/>
      <c r="E65" s="184"/>
      <c r="F65" s="184"/>
      <c r="G65" s="184"/>
      <c r="H65" s="184"/>
      <c r="I65" s="177"/>
      <c r="J65" s="177"/>
      <c r="K65" s="177"/>
      <c r="L65" s="178"/>
      <c r="M65" s="178"/>
      <c r="N65" s="178"/>
      <c r="O65" s="178"/>
      <c r="P65" s="178"/>
      <c r="Q65" s="178"/>
      <c r="R65" s="178"/>
      <c r="S65" s="177"/>
      <c r="T65" s="177"/>
    </row>
    <row r="66" spans="1:20" s="165" customFormat="1" ht="15" customHeight="1" x14ac:dyDescent="0.2">
      <c r="A66" s="182"/>
      <c r="B66" s="184"/>
      <c r="C66" s="184"/>
      <c r="D66" s="184"/>
      <c r="E66" s="184"/>
      <c r="F66" s="184"/>
      <c r="G66" s="184"/>
      <c r="H66" s="184"/>
      <c r="I66" s="177"/>
      <c r="J66" s="177"/>
      <c r="K66" s="177"/>
      <c r="L66" s="178"/>
      <c r="M66" s="178"/>
      <c r="N66" s="178"/>
      <c r="O66" s="178"/>
      <c r="P66" s="178"/>
      <c r="Q66" s="178"/>
      <c r="R66" s="178"/>
      <c r="S66" s="177"/>
      <c r="T66" s="177"/>
    </row>
    <row r="67" spans="1:20" s="165" customFormat="1" ht="15" customHeight="1" x14ac:dyDescent="0.2">
      <c r="A67" s="182"/>
      <c r="B67" s="184"/>
      <c r="C67" s="184"/>
      <c r="D67" s="184"/>
      <c r="E67" s="184"/>
      <c r="F67" s="184"/>
      <c r="G67" s="184"/>
      <c r="H67" s="184"/>
      <c r="I67" s="177"/>
      <c r="J67" s="177"/>
      <c r="K67" s="177"/>
      <c r="L67" s="178"/>
      <c r="M67" s="178"/>
      <c r="N67" s="178"/>
      <c r="O67" s="178"/>
      <c r="P67" s="178"/>
      <c r="Q67" s="178"/>
      <c r="R67" s="178"/>
      <c r="S67" s="177"/>
      <c r="T67" s="177"/>
    </row>
    <row r="68" spans="1:20" s="165" customFormat="1" ht="15" customHeight="1" x14ac:dyDescent="0.2">
      <c r="A68" s="182"/>
      <c r="B68" s="184"/>
      <c r="C68" s="184"/>
      <c r="D68" s="184"/>
      <c r="E68" s="184"/>
      <c r="F68" s="184"/>
      <c r="G68" s="184"/>
      <c r="H68" s="184"/>
      <c r="I68" s="177"/>
      <c r="J68" s="177"/>
      <c r="K68" s="177"/>
      <c r="L68" s="178"/>
      <c r="M68" s="178"/>
      <c r="N68" s="178"/>
      <c r="O68" s="178"/>
      <c r="P68" s="178"/>
      <c r="Q68" s="178"/>
      <c r="R68" s="178"/>
      <c r="S68" s="177"/>
      <c r="T68" s="177"/>
    </row>
    <row r="69" spans="1:20" s="165" customFormat="1" ht="15" customHeight="1" x14ac:dyDescent="0.2">
      <c r="A69" s="182"/>
      <c r="B69" s="184"/>
      <c r="C69" s="184"/>
      <c r="D69" s="184"/>
      <c r="E69" s="184"/>
      <c r="F69" s="184"/>
      <c r="G69" s="184"/>
      <c r="H69" s="184"/>
      <c r="I69" s="177"/>
      <c r="J69" s="177"/>
      <c r="K69" s="177"/>
      <c r="L69" s="178"/>
      <c r="M69" s="178"/>
      <c r="N69" s="178"/>
      <c r="O69" s="178"/>
      <c r="P69" s="178"/>
      <c r="Q69" s="178"/>
      <c r="R69" s="178"/>
      <c r="S69" s="177"/>
      <c r="T69" s="177"/>
    </row>
    <row r="70" spans="1:20" s="165" customFormat="1" ht="15" customHeight="1" x14ac:dyDescent="0.2">
      <c r="A70" s="182"/>
      <c r="B70" s="184"/>
      <c r="C70" s="184"/>
      <c r="D70" s="184"/>
      <c r="E70" s="184"/>
      <c r="F70" s="184"/>
      <c r="G70" s="184"/>
      <c r="H70" s="184"/>
      <c r="I70" s="177"/>
      <c r="J70" s="177"/>
      <c r="K70" s="177"/>
      <c r="L70" s="178"/>
      <c r="M70" s="178"/>
      <c r="N70" s="178"/>
      <c r="O70" s="178"/>
      <c r="P70" s="178"/>
      <c r="Q70" s="178"/>
      <c r="R70" s="178"/>
      <c r="S70" s="177"/>
      <c r="T70" s="177"/>
    </row>
    <row r="71" spans="1:20" s="165" customFormat="1" ht="15" customHeight="1" x14ac:dyDescent="0.2">
      <c r="A71" s="182"/>
      <c r="B71" s="184"/>
      <c r="C71" s="184"/>
      <c r="D71" s="184"/>
      <c r="E71" s="184"/>
      <c r="F71" s="184"/>
      <c r="G71" s="184"/>
      <c r="H71" s="184"/>
      <c r="I71" s="177"/>
      <c r="J71" s="177"/>
      <c r="K71" s="177"/>
      <c r="L71" s="178"/>
      <c r="M71" s="178"/>
      <c r="N71" s="178"/>
      <c r="O71" s="178"/>
      <c r="P71" s="178"/>
      <c r="Q71" s="178"/>
      <c r="R71" s="178"/>
      <c r="S71" s="177"/>
      <c r="T71" s="177"/>
    </row>
    <row r="72" spans="1:20" s="165" customFormat="1" ht="15" customHeight="1" x14ac:dyDescent="0.2">
      <c r="A72" s="182"/>
      <c r="B72" s="184"/>
      <c r="C72" s="184"/>
      <c r="D72" s="184"/>
      <c r="E72" s="184"/>
      <c r="F72" s="184"/>
      <c r="G72" s="184"/>
      <c r="H72" s="184"/>
      <c r="I72" s="177"/>
      <c r="J72" s="177"/>
      <c r="K72" s="177"/>
      <c r="L72" s="178"/>
      <c r="M72" s="178"/>
      <c r="N72" s="178"/>
      <c r="O72" s="178"/>
      <c r="P72" s="178"/>
      <c r="Q72" s="178"/>
      <c r="R72" s="178"/>
      <c r="S72" s="177"/>
      <c r="T72" s="177"/>
    </row>
    <row r="73" spans="1:20" s="165" customFormat="1" ht="15" customHeight="1" x14ac:dyDescent="0.2">
      <c r="A73" s="182"/>
      <c r="B73" s="184"/>
      <c r="C73" s="184"/>
      <c r="D73" s="184"/>
      <c r="E73" s="184"/>
      <c r="F73" s="184"/>
      <c r="G73" s="184"/>
      <c r="H73" s="184"/>
      <c r="I73" s="177"/>
      <c r="J73" s="177"/>
      <c r="K73" s="177"/>
      <c r="L73" s="178"/>
      <c r="M73" s="178"/>
      <c r="N73" s="178"/>
      <c r="O73" s="178"/>
      <c r="P73" s="178"/>
      <c r="Q73" s="178"/>
      <c r="R73" s="178"/>
      <c r="S73" s="177"/>
      <c r="T73" s="177"/>
    </row>
    <row r="74" spans="1:20" s="165" customFormat="1" ht="15" customHeight="1" x14ac:dyDescent="0.2">
      <c r="A74" s="182"/>
      <c r="B74" s="184"/>
      <c r="C74" s="184"/>
      <c r="D74" s="184"/>
      <c r="E74" s="184"/>
      <c r="F74" s="184"/>
      <c r="G74" s="184"/>
      <c r="H74" s="184"/>
      <c r="I74" s="177"/>
      <c r="J74" s="177"/>
      <c r="K74" s="177"/>
      <c r="L74" s="178"/>
      <c r="M74" s="178"/>
      <c r="N74" s="178"/>
      <c r="O74" s="178"/>
      <c r="P74" s="178"/>
      <c r="Q74" s="178"/>
      <c r="R74" s="178"/>
      <c r="S74" s="177"/>
      <c r="T74" s="177"/>
    </row>
    <row r="75" spans="1:20" s="165" customFormat="1" ht="15" customHeight="1" x14ac:dyDescent="0.2">
      <c r="A75" s="182"/>
      <c r="B75" s="184"/>
      <c r="C75" s="184"/>
      <c r="D75" s="184"/>
      <c r="E75" s="184"/>
      <c r="F75" s="184"/>
      <c r="G75" s="184"/>
      <c r="H75" s="184"/>
      <c r="I75" s="177"/>
      <c r="J75" s="177"/>
      <c r="K75" s="177"/>
      <c r="L75" s="178"/>
      <c r="M75" s="178"/>
      <c r="N75" s="178"/>
      <c r="O75" s="178"/>
      <c r="P75" s="178"/>
      <c r="Q75" s="178"/>
      <c r="R75" s="178"/>
      <c r="S75" s="177"/>
      <c r="T75" s="177"/>
    </row>
    <row r="76" spans="1:20" s="165" customFormat="1" ht="15" customHeight="1" x14ac:dyDescent="0.2">
      <c r="A76" s="182"/>
      <c r="B76" s="184"/>
      <c r="C76" s="184"/>
      <c r="D76" s="184"/>
      <c r="E76" s="184"/>
      <c r="F76" s="184"/>
      <c r="G76" s="184"/>
      <c r="H76" s="184"/>
      <c r="I76" s="177"/>
      <c r="J76" s="177"/>
      <c r="K76" s="177"/>
      <c r="L76" s="178"/>
      <c r="M76" s="178"/>
      <c r="N76" s="178"/>
      <c r="O76" s="178"/>
      <c r="P76" s="178"/>
      <c r="Q76" s="178"/>
      <c r="R76" s="178"/>
      <c r="S76" s="177"/>
      <c r="T76" s="177"/>
    </row>
    <row r="77" spans="1:20" s="165" customFormat="1" ht="15" customHeight="1" x14ac:dyDescent="0.2">
      <c r="A77" s="182"/>
      <c r="B77" s="184"/>
      <c r="C77" s="184"/>
      <c r="D77" s="184"/>
      <c r="E77" s="184"/>
      <c r="F77" s="184"/>
      <c r="G77" s="184"/>
      <c r="H77" s="184"/>
      <c r="I77" s="177"/>
      <c r="J77" s="177"/>
      <c r="K77" s="177"/>
      <c r="L77" s="178"/>
      <c r="M77" s="178"/>
      <c r="N77" s="178"/>
      <c r="O77" s="178"/>
      <c r="P77" s="178"/>
      <c r="Q77" s="178"/>
      <c r="R77" s="178"/>
      <c r="S77" s="177"/>
      <c r="T77" s="177"/>
    </row>
    <row r="78" spans="1:20" s="165" customFormat="1" ht="15" customHeight="1" x14ac:dyDescent="0.2">
      <c r="A78" s="182"/>
      <c r="B78" s="184"/>
      <c r="C78" s="184"/>
      <c r="D78" s="184"/>
      <c r="E78" s="184"/>
      <c r="F78" s="184"/>
      <c r="G78" s="184"/>
      <c r="H78" s="184"/>
      <c r="I78" s="177"/>
      <c r="J78" s="177"/>
      <c r="K78" s="177"/>
      <c r="L78" s="178"/>
      <c r="M78" s="178"/>
      <c r="N78" s="178"/>
      <c r="O78" s="178"/>
      <c r="P78" s="178"/>
      <c r="Q78" s="178"/>
      <c r="R78" s="178"/>
      <c r="S78" s="177"/>
      <c r="T78" s="177"/>
    </row>
    <row r="79" spans="1:20" s="165" customFormat="1" ht="15" customHeight="1" x14ac:dyDescent="0.2">
      <c r="A79" s="182"/>
      <c r="B79" s="184"/>
      <c r="C79" s="184"/>
      <c r="D79" s="184"/>
      <c r="E79" s="184"/>
      <c r="F79" s="184"/>
      <c r="G79" s="184"/>
      <c r="H79" s="184"/>
      <c r="I79" s="177"/>
      <c r="J79" s="177"/>
      <c r="K79" s="177"/>
      <c r="L79" s="178"/>
      <c r="M79" s="178"/>
      <c r="N79" s="178"/>
      <c r="O79" s="178"/>
      <c r="P79" s="178"/>
      <c r="Q79" s="178"/>
      <c r="R79" s="178"/>
      <c r="S79" s="177"/>
      <c r="T79" s="177"/>
    </row>
    <row r="80" spans="1:20" s="165" customFormat="1" ht="15" customHeight="1" x14ac:dyDescent="0.2">
      <c r="A80" s="182"/>
      <c r="B80" s="184"/>
      <c r="C80" s="184"/>
      <c r="D80" s="184"/>
      <c r="E80" s="184"/>
      <c r="F80" s="184"/>
      <c r="G80" s="184"/>
      <c r="H80" s="184"/>
      <c r="I80" s="177"/>
      <c r="J80" s="177"/>
      <c r="K80" s="177"/>
      <c r="L80" s="178"/>
      <c r="M80" s="178"/>
      <c r="N80" s="178"/>
      <c r="O80" s="178"/>
      <c r="P80" s="178"/>
      <c r="Q80" s="178"/>
      <c r="R80" s="178"/>
      <c r="S80" s="177"/>
      <c r="T80" s="177"/>
    </row>
    <row r="81" spans="1:20" s="165" customFormat="1" ht="15" customHeight="1" x14ac:dyDescent="0.2">
      <c r="A81" s="182"/>
      <c r="B81" s="184"/>
      <c r="C81" s="184"/>
      <c r="D81" s="184"/>
      <c r="E81" s="184"/>
      <c r="F81" s="184"/>
      <c r="G81" s="184"/>
      <c r="H81" s="184"/>
      <c r="I81" s="177"/>
      <c r="J81" s="177"/>
      <c r="K81" s="177"/>
      <c r="L81" s="178"/>
      <c r="M81" s="178"/>
      <c r="N81" s="178"/>
      <c r="O81" s="178"/>
      <c r="P81" s="178"/>
      <c r="Q81" s="178"/>
      <c r="R81" s="178"/>
      <c r="S81" s="177"/>
      <c r="T81" s="177"/>
    </row>
    <row r="82" spans="1:20" s="165" customFormat="1" ht="15" customHeight="1" x14ac:dyDescent="0.2">
      <c r="A82" s="182"/>
      <c r="B82" s="184"/>
      <c r="C82" s="184"/>
      <c r="D82" s="184"/>
      <c r="E82" s="184"/>
      <c r="F82" s="184"/>
      <c r="G82" s="184"/>
      <c r="H82" s="184"/>
      <c r="I82" s="177"/>
      <c r="J82" s="177"/>
      <c r="K82" s="177"/>
      <c r="L82" s="178"/>
      <c r="M82" s="178"/>
      <c r="N82" s="178"/>
      <c r="O82" s="178"/>
      <c r="P82" s="178"/>
      <c r="Q82" s="178"/>
      <c r="R82" s="178"/>
      <c r="S82" s="177"/>
      <c r="T82" s="177"/>
    </row>
    <row r="83" spans="1:20" s="165" customFormat="1" ht="15" customHeight="1" x14ac:dyDescent="0.2">
      <c r="A83" s="182"/>
      <c r="B83" s="184"/>
      <c r="C83" s="184"/>
      <c r="D83" s="184"/>
      <c r="E83" s="184"/>
      <c r="F83" s="184"/>
      <c r="G83" s="184"/>
      <c r="H83" s="184"/>
      <c r="I83" s="177"/>
      <c r="J83" s="177"/>
      <c r="K83" s="177"/>
      <c r="L83" s="178"/>
      <c r="M83" s="178"/>
      <c r="N83" s="178"/>
      <c r="O83" s="178"/>
      <c r="P83" s="178"/>
      <c r="Q83" s="178"/>
      <c r="R83" s="178"/>
      <c r="S83" s="177"/>
      <c r="T83" s="177"/>
    </row>
    <row r="84" spans="1:20" s="165" customFormat="1" ht="15" customHeight="1" x14ac:dyDescent="0.2">
      <c r="A84" s="182"/>
      <c r="B84" s="184"/>
      <c r="C84" s="184"/>
      <c r="D84" s="184"/>
      <c r="E84" s="184"/>
      <c r="F84" s="184"/>
      <c r="G84" s="184"/>
      <c r="H84" s="184"/>
      <c r="I84" s="177"/>
      <c r="J84" s="177"/>
      <c r="K84" s="177"/>
      <c r="L84" s="178"/>
      <c r="M84" s="178"/>
      <c r="N84" s="178"/>
      <c r="O84" s="178"/>
      <c r="P84" s="178"/>
      <c r="Q84" s="178"/>
      <c r="R84" s="178"/>
      <c r="S84" s="177"/>
      <c r="T84" s="177"/>
    </row>
    <row r="85" spans="1:20" s="165" customFormat="1" ht="15" customHeight="1" x14ac:dyDescent="0.2">
      <c r="A85" s="182"/>
      <c r="B85" s="184"/>
      <c r="C85" s="184"/>
      <c r="D85" s="184"/>
      <c r="E85" s="184"/>
      <c r="F85" s="184"/>
      <c r="G85" s="184"/>
      <c r="H85" s="184"/>
      <c r="I85" s="177"/>
      <c r="J85" s="177"/>
      <c r="K85" s="177"/>
      <c r="L85" s="178"/>
      <c r="M85" s="178"/>
      <c r="N85" s="178"/>
      <c r="O85" s="178"/>
      <c r="P85" s="178"/>
      <c r="Q85" s="178"/>
      <c r="R85" s="178"/>
      <c r="S85" s="177"/>
      <c r="T85" s="177"/>
    </row>
    <row r="86" spans="1:20" s="165" customFormat="1" ht="15" customHeight="1" x14ac:dyDescent="0.2">
      <c r="A86" s="182"/>
      <c r="B86" s="184"/>
      <c r="C86" s="184"/>
      <c r="D86" s="184"/>
      <c r="E86" s="184"/>
      <c r="F86" s="184"/>
      <c r="G86" s="184"/>
      <c r="H86" s="184"/>
      <c r="I86" s="177"/>
      <c r="J86" s="177"/>
      <c r="K86" s="177"/>
      <c r="L86" s="178"/>
      <c r="M86" s="178"/>
      <c r="N86" s="178"/>
      <c r="O86" s="178"/>
      <c r="P86" s="178"/>
      <c r="Q86" s="178"/>
      <c r="R86" s="178"/>
      <c r="S86" s="177"/>
      <c r="T86" s="177"/>
    </row>
    <row r="87" spans="1:20" s="165" customFormat="1" ht="15" customHeight="1" x14ac:dyDescent="0.2">
      <c r="A87" s="182"/>
      <c r="B87" s="184"/>
      <c r="C87" s="184"/>
      <c r="D87" s="184"/>
      <c r="E87" s="184"/>
      <c r="F87" s="184"/>
      <c r="G87" s="184"/>
      <c r="H87" s="184"/>
      <c r="I87" s="177"/>
      <c r="J87" s="177"/>
      <c r="K87" s="177"/>
      <c r="L87" s="178"/>
      <c r="M87" s="178"/>
      <c r="N87" s="178"/>
      <c r="O87" s="178"/>
      <c r="P87" s="178"/>
      <c r="Q87" s="178"/>
      <c r="R87" s="178"/>
      <c r="S87" s="177"/>
      <c r="T87" s="177"/>
    </row>
    <row r="88" spans="1:20" s="165" customFormat="1" ht="15" customHeight="1" x14ac:dyDescent="0.2">
      <c r="A88" s="182"/>
      <c r="B88" s="184"/>
      <c r="C88" s="184"/>
      <c r="D88" s="184"/>
      <c r="E88" s="184"/>
      <c r="F88" s="184"/>
      <c r="G88" s="184"/>
      <c r="H88" s="184"/>
      <c r="I88" s="177"/>
      <c r="J88" s="177"/>
      <c r="K88" s="177"/>
      <c r="L88" s="178"/>
      <c r="M88" s="178"/>
      <c r="N88" s="178"/>
      <c r="O88" s="178"/>
      <c r="P88" s="178"/>
      <c r="Q88" s="178"/>
      <c r="R88" s="178"/>
      <c r="S88" s="177"/>
      <c r="T88" s="177"/>
    </row>
    <row r="89" spans="1:20" s="165" customFormat="1" ht="15" customHeight="1" x14ac:dyDescent="0.2">
      <c r="A89" s="182"/>
      <c r="B89" s="184"/>
      <c r="C89" s="184"/>
      <c r="D89" s="184"/>
      <c r="E89" s="184"/>
      <c r="F89" s="184"/>
      <c r="G89" s="184"/>
      <c r="H89" s="184"/>
      <c r="I89" s="177"/>
      <c r="J89" s="177"/>
      <c r="K89" s="177"/>
      <c r="L89" s="178"/>
      <c r="M89" s="178"/>
      <c r="N89" s="178"/>
      <c r="O89" s="178"/>
      <c r="P89" s="178"/>
      <c r="Q89" s="178"/>
      <c r="R89" s="178"/>
      <c r="S89" s="177"/>
      <c r="T89" s="177"/>
    </row>
    <row r="90" spans="1:20" s="165" customFormat="1" ht="15" customHeight="1" x14ac:dyDescent="0.2">
      <c r="A90" s="182"/>
      <c r="B90" s="184"/>
      <c r="C90" s="184"/>
      <c r="D90" s="184"/>
      <c r="E90" s="184"/>
      <c r="F90" s="184"/>
      <c r="G90" s="184"/>
      <c r="H90" s="184"/>
      <c r="I90" s="177"/>
      <c r="J90" s="177"/>
      <c r="K90" s="177"/>
      <c r="L90" s="178"/>
      <c r="M90" s="178"/>
      <c r="N90" s="178"/>
      <c r="O90" s="178"/>
      <c r="P90" s="178"/>
      <c r="Q90" s="178"/>
      <c r="R90" s="178"/>
      <c r="S90" s="177"/>
      <c r="T90" s="177"/>
    </row>
    <row r="91" spans="1:20" s="165" customFormat="1" ht="15" customHeight="1" x14ac:dyDescent="0.2">
      <c r="A91" s="182"/>
      <c r="B91" s="184"/>
      <c r="C91" s="184"/>
      <c r="D91" s="184"/>
      <c r="E91" s="184"/>
      <c r="F91" s="184"/>
      <c r="G91" s="184"/>
      <c r="H91" s="184"/>
      <c r="I91" s="177"/>
      <c r="J91" s="177"/>
      <c r="K91" s="177"/>
      <c r="L91" s="178"/>
      <c r="M91" s="178"/>
      <c r="N91" s="178"/>
      <c r="O91" s="178"/>
      <c r="P91" s="178"/>
      <c r="Q91" s="178"/>
      <c r="R91" s="178"/>
      <c r="S91" s="177"/>
      <c r="T91" s="177"/>
    </row>
    <row r="92" spans="1:20" s="165" customFormat="1" ht="15" customHeight="1" x14ac:dyDescent="0.2">
      <c r="A92" s="182"/>
      <c r="B92" s="184"/>
      <c r="C92" s="184"/>
      <c r="D92" s="184"/>
      <c r="E92" s="184"/>
      <c r="F92" s="184"/>
      <c r="G92" s="184"/>
      <c r="H92" s="184"/>
      <c r="I92" s="177"/>
      <c r="J92" s="177"/>
      <c r="K92" s="177"/>
      <c r="L92" s="178"/>
      <c r="M92" s="178"/>
      <c r="N92" s="178"/>
      <c r="O92" s="178"/>
      <c r="P92" s="178"/>
      <c r="Q92" s="178"/>
      <c r="R92" s="178"/>
      <c r="S92" s="177"/>
      <c r="T92" s="177"/>
    </row>
    <row r="93" spans="1:20" s="165" customFormat="1" ht="15" customHeight="1" x14ac:dyDescent="0.2">
      <c r="A93" s="182"/>
      <c r="B93" s="184"/>
      <c r="C93" s="184"/>
      <c r="D93" s="184"/>
      <c r="E93" s="184"/>
      <c r="F93" s="184"/>
      <c r="G93" s="184"/>
      <c r="H93" s="184"/>
      <c r="I93" s="177"/>
      <c r="J93" s="177"/>
      <c r="K93" s="177"/>
      <c r="L93" s="178"/>
      <c r="M93" s="178"/>
      <c r="N93" s="178"/>
      <c r="O93" s="178"/>
      <c r="P93" s="178"/>
      <c r="Q93" s="178"/>
      <c r="R93" s="178"/>
      <c r="S93" s="177"/>
      <c r="T93" s="177"/>
    </row>
    <row r="94" spans="1:20" s="165" customFormat="1" ht="15" customHeight="1" x14ac:dyDescent="0.2">
      <c r="A94" s="182"/>
      <c r="B94" s="184"/>
      <c r="C94" s="184"/>
      <c r="D94" s="184"/>
      <c r="E94" s="184"/>
      <c r="F94" s="184"/>
      <c r="G94" s="184"/>
      <c r="H94" s="184"/>
      <c r="I94" s="177"/>
      <c r="J94" s="177"/>
      <c r="K94" s="177"/>
      <c r="L94" s="178"/>
      <c r="M94" s="178"/>
      <c r="N94" s="178"/>
      <c r="O94" s="178"/>
      <c r="P94" s="178"/>
      <c r="Q94" s="178"/>
      <c r="R94" s="178"/>
      <c r="S94" s="177"/>
      <c r="T94" s="177"/>
    </row>
    <row r="95" spans="1:20" s="165" customFormat="1" ht="15" customHeight="1" x14ac:dyDescent="0.2">
      <c r="A95" s="182"/>
      <c r="B95" s="184"/>
      <c r="C95" s="184"/>
      <c r="D95" s="184"/>
      <c r="E95" s="184"/>
      <c r="F95" s="184"/>
      <c r="G95" s="184"/>
      <c r="H95" s="184"/>
      <c r="I95" s="177"/>
      <c r="J95" s="177"/>
      <c r="K95" s="177"/>
      <c r="L95" s="178"/>
      <c r="M95" s="178"/>
      <c r="N95" s="178"/>
      <c r="O95" s="178"/>
      <c r="P95" s="178"/>
      <c r="Q95" s="178"/>
      <c r="R95" s="178"/>
      <c r="S95" s="177"/>
      <c r="T95" s="177"/>
    </row>
    <row r="96" spans="1:20" s="165" customFormat="1" ht="15" customHeight="1" x14ac:dyDescent="0.2">
      <c r="A96" s="182"/>
      <c r="B96" s="184"/>
      <c r="C96" s="184"/>
      <c r="D96" s="184"/>
      <c r="E96" s="184"/>
      <c r="F96" s="184"/>
      <c r="G96" s="184"/>
      <c r="H96" s="184"/>
      <c r="I96" s="177"/>
      <c r="J96" s="177"/>
      <c r="K96" s="177"/>
      <c r="L96" s="178"/>
      <c r="M96" s="178"/>
      <c r="N96" s="178"/>
      <c r="O96" s="178"/>
      <c r="P96" s="178"/>
      <c r="Q96" s="178"/>
      <c r="R96" s="178"/>
      <c r="S96" s="177"/>
      <c r="T96" s="177"/>
    </row>
    <row r="97" spans="1:20" s="165" customFormat="1" ht="15" customHeight="1" x14ac:dyDescent="0.2">
      <c r="A97" s="182"/>
      <c r="B97" s="184"/>
      <c r="C97" s="184"/>
      <c r="D97" s="184"/>
      <c r="E97" s="184"/>
      <c r="F97" s="184"/>
      <c r="G97" s="184"/>
      <c r="H97" s="184"/>
      <c r="I97" s="177"/>
      <c r="J97" s="177"/>
      <c r="K97" s="177"/>
      <c r="L97" s="178"/>
      <c r="M97" s="178"/>
      <c r="N97" s="178"/>
      <c r="O97" s="178"/>
      <c r="P97" s="178"/>
      <c r="Q97" s="178"/>
      <c r="R97" s="178"/>
      <c r="S97" s="177"/>
      <c r="T97" s="177"/>
    </row>
    <row r="98" spans="1:20" s="165" customFormat="1" ht="15" customHeight="1" x14ac:dyDescent="0.2">
      <c r="A98" s="182"/>
      <c r="B98" s="184"/>
      <c r="C98" s="184"/>
      <c r="D98" s="184"/>
      <c r="E98" s="184"/>
      <c r="F98" s="184"/>
      <c r="G98" s="184"/>
      <c r="H98" s="184"/>
      <c r="I98" s="177"/>
      <c r="J98" s="177"/>
      <c r="K98" s="177"/>
      <c r="L98" s="178"/>
      <c r="M98" s="178"/>
      <c r="N98" s="178"/>
      <c r="O98" s="178"/>
      <c r="P98" s="178"/>
      <c r="Q98" s="178"/>
      <c r="R98" s="178"/>
      <c r="S98" s="177"/>
      <c r="T98" s="177"/>
    </row>
    <row r="99" spans="1:20" s="165" customFormat="1" ht="15" customHeight="1" x14ac:dyDescent="0.2">
      <c r="A99" s="182"/>
      <c r="B99" s="184"/>
      <c r="C99" s="184"/>
      <c r="D99" s="184"/>
      <c r="E99" s="184"/>
      <c r="F99" s="184"/>
      <c r="G99" s="184"/>
      <c r="H99" s="184"/>
      <c r="I99" s="177"/>
      <c r="J99" s="177"/>
      <c r="K99" s="177"/>
      <c r="L99" s="178"/>
      <c r="M99" s="178"/>
      <c r="N99" s="178"/>
      <c r="O99" s="178"/>
      <c r="P99" s="178"/>
      <c r="Q99" s="178"/>
      <c r="R99" s="178"/>
      <c r="S99" s="177"/>
      <c r="T99" s="177"/>
    </row>
    <row r="100" spans="1:20" s="165" customFormat="1" ht="15" customHeight="1" x14ac:dyDescent="0.2">
      <c r="A100" s="182"/>
      <c r="B100" s="184"/>
      <c r="C100" s="184"/>
      <c r="D100" s="184"/>
      <c r="E100" s="184"/>
      <c r="F100" s="184"/>
      <c r="G100" s="184"/>
      <c r="H100" s="184"/>
      <c r="I100" s="177"/>
      <c r="J100" s="177"/>
      <c r="K100" s="177"/>
      <c r="L100" s="178"/>
      <c r="M100" s="178"/>
      <c r="N100" s="178"/>
      <c r="O100" s="178"/>
      <c r="P100" s="178"/>
      <c r="Q100" s="178"/>
      <c r="R100" s="178"/>
      <c r="S100" s="177"/>
      <c r="T100" s="177"/>
    </row>
    <row r="101" spans="1:20" s="165" customFormat="1" ht="15" customHeight="1" x14ac:dyDescent="0.2">
      <c r="A101" s="182"/>
      <c r="B101" s="184"/>
      <c r="C101" s="184"/>
      <c r="D101" s="184"/>
      <c r="E101" s="184"/>
      <c r="F101" s="184"/>
      <c r="G101" s="184"/>
      <c r="H101" s="184"/>
      <c r="I101" s="177"/>
      <c r="J101" s="177"/>
      <c r="K101" s="177"/>
      <c r="L101" s="178"/>
      <c r="M101" s="178"/>
      <c r="N101" s="178"/>
      <c r="O101" s="178"/>
      <c r="P101" s="178"/>
      <c r="Q101" s="178"/>
      <c r="R101" s="178"/>
      <c r="S101" s="177"/>
      <c r="T101" s="177"/>
    </row>
    <row r="102" spans="1:20" s="165" customFormat="1" ht="15" customHeight="1" x14ac:dyDescent="0.2">
      <c r="A102" s="182"/>
      <c r="B102" s="184"/>
      <c r="C102" s="184"/>
      <c r="D102" s="184"/>
      <c r="E102" s="184"/>
      <c r="F102" s="184"/>
      <c r="G102" s="184"/>
      <c r="H102" s="184"/>
      <c r="I102" s="177"/>
      <c r="J102" s="177"/>
      <c r="K102" s="177"/>
      <c r="L102" s="178"/>
      <c r="M102" s="178"/>
      <c r="N102" s="178"/>
      <c r="O102" s="178"/>
      <c r="P102" s="178"/>
      <c r="Q102" s="178"/>
      <c r="R102" s="178"/>
      <c r="S102" s="177"/>
      <c r="T102" s="177"/>
    </row>
    <row r="103" spans="1:20" s="165" customFormat="1" ht="15" customHeight="1" x14ac:dyDescent="0.2">
      <c r="A103" s="182"/>
      <c r="B103" s="184"/>
      <c r="C103" s="184"/>
      <c r="D103" s="184"/>
      <c r="E103" s="184"/>
      <c r="F103" s="184"/>
      <c r="G103" s="184"/>
      <c r="H103" s="184"/>
      <c r="I103" s="177"/>
      <c r="J103" s="177"/>
      <c r="K103" s="177"/>
      <c r="L103" s="178"/>
      <c r="M103" s="178"/>
      <c r="N103" s="178"/>
      <c r="O103" s="178"/>
      <c r="P103" s="178"/>
      <c r="Q103" s="178"/>
      <c r="R103" s="178"/>
      <c r="S103" s="177"/>
      <c r="T103" s="177"/>
    </row>
    <row r="104" spans="1:20" s="165" customFormat="1" ht="15" customHeight="1" x14ac:dyDescent="0.2">
      <c r="A104" s="182"/>
      <c r="B104" s="184"/>
      <c r="C104" s="184"/>
      <c r="D104" s="184"/>
      <c r="E104" s="184"/>
      <c r="F104" s="184"/>
      <c r="G104" s="184"/>
      <c r="H104" s="184"/>
      <c r="I104" s="177"/>
      <c r="J104" s="177"/>
      <c r="K104" s="177"/>
      <c r="L104" s="178"/>
      <c r="M104" s="178"/>
      <c r="N104" s="178"/>
      <c r="O104" s="178"/>
      <c r="P104" s="178"/>
      <c r="Q104" s="178"/>
      <c r="R104" s="178"/>
      <c r="S104" s="177"/>
      <c r="T104" s="177"/>
    </row>
    <row r="105" spans="1:20" s="165" customFormat="1" ht="15" customHeight="1" x14ac:dyDescent="0.2">
      <c r="A105" s="182"/>
      <c r="B105" s="184"/>
      <c r="C105" s="184"/>
      <c r="D105" s="184"/>
      <c r="E105" s="184"/>
      <c r="F105" s="184"/>
      <c r="G105" s="184"/>
      <c r="H105" s="184"/>
      <c r="I105" s="177"/>
      <c r="J105" s="177"/>
      <c r="K105" s="177"/>
      <c r="L105" s="178"/>
      <c r="M105" s="178"/>
      <c r="N105" s="178"/>
      <c r="O105" s="178"/>
      <c r="P105" s="178"/>
      <c r="Q105" s="178"/>
      <c r="R105" s="178"/>
      <c r="S105" s="177"/>
      <c r="T105" s="177"/>
    </row>
    <row r="106" spans="1:20" s="165" customFormat="1" ht="15" customHeight="1" x14ac:dyDescent="0.2">
      <c r="A106" s="182"/>
      <c r="B106" s="184"/>
      <c r="C106" s="184"/>
      <c r="D106" s="184"/>
      <c r="E106" s="184"/>
      <c r="F106" s="184"/>
      <c r="G106" s="184"/>
      <c r="H106" s="184"/>
      <c r="I106" s="177"/>
      <c r="J106" s="177"/>
      <c r="K106" s="177"/>
      <c r="L106" s="178"/>
      <c r="M106" s="178"/>
      <c r="N106" s="178"/>
      <c r="O106" s="178"/>
      <c r="P106" s="178"/>
      <c r="Q106" s="178"/>
      <c r="R106" s="178"/>
      <c r="S106" s="177"/>
      <c r="T106" s="177"/>
    </row>
    <row r="107" spans="1:20" s="165" customFormat="1" ht="15" customHeight="1" x14ac:dyDescent="0.2">
      <c r="A107" s="492"/>
      <c r="B107" s="493"/>
      <c r="C107" s="493"/>
      <c r="D107" s="493"/>
      <c r="E107" s="493"/>
      <c r="F107" s="493"/>
      <c r="G107" s="493"/>
      <c r="H107" s="493"/>
      <c r="I107" s="198"/>
      <c r="J107" s="198"/>
      <c r="K107" s="198"/>
      <c r="L107" s="494"/>
      <c r="M107" s="494"/>
      <c r="N107" s="494"/>
      <c r="O107" s="494"/>
      <c r="P107" s="494"/>
      <c r="Q107" s="494"/>
      <c r="R107" s="494"/>
      <c r="S107" s="198"/>
      <c r="T107" s="198"/>
    </row>
    <row r="108" spans="1:20" ht="15" customHeight="1" x14ac:dyDescent="0.2">
      <c r="A108" s="175" t="s">
        <v>4</v>
      </c>
      <c r="B108" s="485"/>
      <c r="C108" s="485"/>
      <c r="D108" s="485"/>
      <c r="E108" s="485"/>
      <c r="F108" s="485"/>
      <c r="G108" s="485"/>
      <c r="H108" s="485"/>
      <c r="I108" s="177"/>
      <c r="J108" s="177"/>
      <c r="K108" s="486"/>
      <c r="L108" s="488"/>
      <c r="M108" s="488"/>
      <c r="N108" s="488"/>
      <c r="O108" s="488"/>
      <c r="P108" s="488"/>
      <c r="Q108" s="488"/>
      <c r="R108" s="488"/>
      <c r="S108" s="486"/>
      <c r="T108" s="486"/>
    </row>
    <row r="109" spans="1:20" ht="15" customHeight="1" x14ac:dyDescent="0.2">
      <c r="A109" s="187" t="s">
        <v>35</v>
      </c>
      <c r="B109" s="488"/>
      <c r="C109" s="488"/>
      <c r="D109" s="488"/>
      <c r="E109" s="488"/>
      <c r="F109" s="488"/>
      <c r="G109" s="488"/>
      <c r="H109" s="488"/>
      <c r="I109" s="177"/>
      <c r="J109" s="177"/>
      <c r="K109" s="486"/>
      <c r="L109" s="488"/>
      <c r="M109" s="488"/>
      <c r="N109" s="488"/>
      <c r="O109" s="488"/>
      <c r="P109" s="488"/>
      <c r="Q109" s="488"/>
      <c r="R109" s="488"/>
      <c r="S109" s="486"/>
      <c r="T109" s="486"/>
    </row>
    <row r="110" spans="1:20" ht="15" customHeight="1" x14ac:dyDescent="0.2">
      <c r="A110" s="187" t="s">
        <v>36</v>
      </c>
      <c r="B110" s="488"/>
      <c r="C110" s="488"/>
      <c r="D110" s="488"/>
      <c r="E110" s="488"/>
      <c r="F110" s="488"/>
      <c r="G110" s="488"/>
      <c r="H110" s="488"/>
      <c r="I110" s="177"/>
      <c r="J110" s="177"/>
      <c r="K110" s="533"/>
      <c r="L110" s="486"/>
      <c r="M110" s="486"/>
      <c r="N110" s="486"/>
      <c r="O110" s="486"/>
      <c r="P110" s="486"/>
      <c r="Q110" s="486"/>
      <c r="R110" s="486"/>
      <c r="S110" s="486"/>
      <c r="T110" s="486"/>
    </row>
    <row r="111" spans="1:20" ht="15" customHeight="1" x14ac:dyDescent="0.2">
      <c r="A111" s="187" t="s">
        <v>27</v>
      </c>
      <c r="B111" s="488"/>
      <c r="C111" s="488"/>
      <c r="D111" s="488"/>
      <c r="E111" s="488"/>
      <c r="F111" s="488"/>
      <c r="G111" s="488"/>
      <c r="H111" s="488"/>
      <c r="I111" s="177"/>
      <c r="J111" s="177"/>
      <c r="K111" s="486"/>
      <c r="L111" s="488"/>
      <c r="M111" s="488"/>
      <c r="N111" s="488"/>
      <c r="O111" s="488"/>
      <c r="P111" s="488"/>
      <c r="Q111" s="488"/>
      <c r="R111" s="488"/>
      <c r="S111" s="486"/>
      <c r="T111" s="486"/>
    </row>
    <row r="112" spans="1:20" ht="15" customHeight="1" x14ac:dyDescent="0.2">
      <c r="A112" s="175" t="s">
        <v>137</v>
      </c>
      <c r="B112" s="485"/>
      <c r="C112" s="485"/>
      <c r="D112" s="485"/>
      <c r="E112" s="485"/>
      <c r="F112" s="485"/>
      <c r="G112" s="485"/>
      <c r="H112" s="485"/>
      <c r="I112" s="177"/>
      <c r="J112" s="177"/>
      <c r="K112" s="486"/>
      <c r="L112" s="488"/>
      <c r="M112" s="488"/>
      <c r="N112" s="488"/>
      <c r="O112" s="488"/>
      <c r="P112" s="488"/>
      <c r="Q112" s="488"/>
      <c r="R112" s="488"/>
      <c r="S112" s="486"/>
      <c r="T112" s="486"/>
    </row>
  </sheetData>
  <mergeCells count="3">
    <mergeCell ref="B3:J3"/>
    <mergeCell ref="L3:T3"/>
    <mergeCell ref="A48:T48"/>
  </mergeCells>
  <phoneticPr fontId="33" type="noConversion"/>
  <hyperlinks>
    <hyperlink ref="A2" location="Contents!A1" display="Back to contents" xr:uid="{7076ADD5-F059-412D-8D13-E36CC806CB6B}"/>
  </hyperlinks>
  <pageMargins left="0.7" right="0.7" top="0.75" bottom="0.75" header="0.3" footer="0.3"/>
  <pageSetup paperSize="9"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0DA39-3C9A-46B1-81FC-0B3CAD409FBB}">
  <dimension ref="A1:K49"/>
  <sheetViews>
    <sheetView workbookViewId="0">
      <pane ySplit="4" topLeftCell="A5" activePane="bottomLeft" state="frozen"/>
      <selection activeCell="A2" sqref="A2"/>
      <selection pane="bottomLeft" activeCell="A5" sqref="A5"/>
    </sheetView>
  </sheetViews>
  <sheetFormatPr defaultRowHeight="15" customHeight="1" x14ac:dyDescent="0.2"/>
  <cols>
    <col min="1" max="1" width="6.625" style="191" customWidth="1"/>
    <col min="2" max="2" width="16.75" style="222" customWidth="1"/>
    <col min="3" max="3" width="11" style="204" customWidth="1"/>
    <col min="4" max="4" width="2.625" style="191" customWidth="1"/>
    <col min="5" max="5" width="6.625" style="191" customWidth="1"/>
    <col min="6" max="6" width="16.75" style="222" customWidth="1"/>
    <col min="7" max="7" width="11" style="204" customWidth="1"/>
    <col min="8" max="8" width="2.625" style="191" customWidth="1"/>
    <col min="9" max="9" width="6.625" style="191" customWidth="1"/>
    <col min="10" max="10" width="16.75" style="222" customWidth="1"/>
    <col min="11" max="11" width="11" style="204" customWidth="1"/>
    <col min="12" max="16384" width="9" style="191"/>
  </cols>
  <sheetData>
    <row r="1" spans="1:11" ht="15" customHeight="1" x14ac:dyDescent="0.25">
      <c r="A1" s="151" t="s">
        <v>192</v>
      </c>
      <c r="B1" s="201"/>
      <c r="C1" s="202"/>
      <c r="D1" s="154"/>
      <c r="E1" s="155"/>
      <c r="F1" s="203"/>
      <c r="G1" s="202"/>
      <c r="H1" s="154"/>
      <c r="I1" s="155"/>
      <c r="J1" s="203"/>
    </row>
    <row r="2" spans="1:11" s="199" customFormat="1" ht="15" customHeight="1" x14ac:dyDescent="0.2">
      <c r="A2" s="500" t="s">
        <v>585</v>
      </c>
    </row>
    <row r="3" spans="1:11" s="165" customFormat="1" ht="15" customHeight="1" x14ac:dyDescent="0.2">
      <c r="A3" s="616" t="s">
        <v>0</v>
      </c>
      <c r="B3" s="616"/>
      <c r="C3" s="616"/>
      <c r="D3" s="193"/>
      <c r="E3" s="616" t="s">
        <v>1</v>
      </c>
      <c r="F3" s="616"/>
      <c r="G3" s="616"/>
      <c r="H3" s="193"/>
      <c r="I3" s="616" t="s">
        <v>2</v>
      </c>
      <c r="J3" s="616"/>
      <c r="K3" s="616"/>
    </row>
    <row r="4" spans="1:11" s="207" customFormat="1" ht="30" customHeight="1" x14ac:dyDescent="0.2">
      <c r="A4" s="205" t="s">
        <v>39</v>
      </c>
      <c r="B4" s="206" t="s">
        <v>190</v>
      </c>
      <c r="C4" s="195" t="s">
        <v>191</v>
      </c>
      <c r="D4" s="206"/>
      <c r="E4" s="205" t="s">
        <v>39</v>
      </c>
      <c r="F4" s="206" t="s">
        <v>190</v>
      </c>
      <c r="G4" s="195" t="s">
        <v>191</v>
      </c>
      <c r="H4" s="206"/>
      <c r="I4" s="205" t="s">
        <v>39</v>
      </c>
      <c r="J4" s="206" t="s">
        <v>190</v>
      </c>
      <c r="K4" s="195" t="s">
        <v>191</v>
      </c>
    </row>
    <row r="5" spans="1:11" s="165" customFormat="1" ht="15" customHeight="1" x14ac:dyDescent="0.2">
      <c r="A5" s="182">
        <v>1</v>
      </c>
      <c r="B5" s="208" t="s">
        <v>193</v>
      </c>
      <c r="C5" s="177">
        <v>82.3</v>
      </c>
      <c r="D5" s="177"/>
      <c r="E5" s="182">
        <v>1</v>
      </c>
      <c r="F5" s="209" t="s">
        <v>194</v>
      </c>
      <c r="G5" s="177">
        <v>87.1</v>
      </c>
      <c r="H5" s="177"/>
      <c r="I5" s="182">
        <v>1</v>
      </c>
      <c r="J5" s="208" t="s">
        <v>193</v>
      </c>
      <c r="K5" s="177">
        <v>84.2</v>
      </c>
    </row>
    <row r="6" spans="1:11" s="165" customFormat="1" ht="15" customHeight="1" x14ac:dyDescent="0.2">
      <c r="A6" s="182">
        <v>2</v>
      </c>
      <c r="B6" s="208" t="s">
        <v>196</v>
      </c>
      <c r="C6" s="177">
        <v>81.7</v>
      </c>
      <c r="D6" s="177"/>
      <c r="E6" s="182">
        <v>2</v>
      </c>
      <c r="F6" s="209" t="s">
        <v>195</v>
      </c>
      <c r="G6" s="177">
        <v>86.7</v>
      </c>
      <c r="H6" s="177"/>
      <c r="I6" s="182">
        <v>2</v>
      </c>
      <c r="J6" s="208" t="s">
        <v>194</v>
      </c>
      <c r="K6" s="177">
        <v>84.1</v>
      </c>
    </row>
    <row r="7" spans="1:11" s="165" customFormat="1" ht="15" customHeight="1" x14ac:dyDescent="0.2">
      <c r="A7" s="182">
        <v>2</v>
      </c>
      <c r="B7" s="208" t="s">
        <v>197</v>
      </c>
      <c r="C7" s="177">
        <v>81.7</v>
      </c>
      <c r="D7" s="177"/>
      <c r="E7" s="182">
        <v>3</v>
      </c>
      <c r="F7" s="209" t="s">
        <v>200</v>
      </c>
      <c r="G7" s="177">
        <v>85.9</v>
      </c>
      <c r="H7" s="177"/>
      <c r="I7" s="182">
        <v>3</v>
      </c>
      <c r="J7" s="208" t="s">
        <v>195</v>
      </c>
      <c r="K7" s="177">
        <v>84</v>
      </c>
    </row>
    <row r="8" spans="1:11" s="165" customFormat="1" ht="15" customHeight="1" x14ac:dyDescent="0.2">
      <c r="A8" s="182">
        <v>2</v>
      </c>
      <c r="B8" s="208" t="s">
        <v>198</v>
      </c>
      <c r="C8" s="177">
        <v>81.7</v>
      </c>
      <c r="D8" s="177"/>
      <c r="E8" s="182">
        <v>3</v>
      </c>
      <c r="F8" s="209" t="s">
        <v>193</v>
      </c>
      <c r="G8" s="177">
        <v>85.9</v>
      </c>
      <c r="H8" s="177"/>
      <c r="I8" s="182">
        <v>4</v>
      </c>
      <c r="J8" s="208" t="s">
        <v>196</v>
      </c>
      <c r="K8" s="177">
        <v>83.8</v>
      </c>
    </row>
    <row r="9" spans="1:11" s="165" customFormat="1" ht="15" customHeight="1" x14ac:dyDescent="0.2">
      <c r="A9" s="182">
        <v>5</v>
      </c>
      <c r="B9" s="208" t="s">
        <v>199</v>
      </c>
      <c r="C9" s="177">
        <v>81.2</v>
      </c>
      <c r="D9" s="177"/>
      <c r="E9" s="182">
        <v>5</v>
      </c>
      <c r="F9" s="209" t="s">
        <v>196</v>
      </c>
      <c r="G9" s="177">
        <v>85.8</v>
      </c>
      <c r="H9" s="177"/>
      <c r="I9" s="182">
        <v>5</v>
      </c>
      <c r="J9" s="208" t="s">
        <v>197</v>
      </c>
      <c r="K9" s="177">
        <v>83.4</v>
      </c>
    </row>
    <row r="10" spans="1:11" s="165" customFormat="1" ht="15" customHeight="1" x14ac:dyDescent="0.2">
      <c r="A10" s="182">
        <v>5</v>
      </c>
      <c r="B10" s="208" t="s">
        <v>195</v>
      </c>
      <c r="C10" s="177">
        <v>81.2</v>
      </c>
      <c r="D10" s="177"/>
      <c r="E10" s="182">
        <v>6</v>
      </c>
      <c r="F10" s="209" t="s">
        <v>202</v>
      </c>
      <c r="G10" s="177">
        <v>85.6</v>
      </c>
      <c r="H10" s="177"/>
      <c r="I10" s="182" t="s">
        <v>231</v>
      </c>
      <c r="J10" s="208" t="s">
        <v>198</v>
      </c>
      <c r="K10" s="177">
        <v>83.4</v>
      </c>
    </row>
    <row r="11" spans="1:11" s="165" customFormat="1" ht="15" customHeight="1" x14ac:dyDescent="0.2">
      <c r="A11" s="182">
        <v>7</v>
      </c>
      <c r="B11" s="208" t="s">
        <v>194</v>
      </c>
      <c r="C11" s="177">
        <v>81.099999999999994</v>
      </c>
      <c r="D11" s="177"/>
      <c r="E11" s="182">
        <v>7</v>
      </c>
      <c r="F11" s="209" t="s">
        <v>199</v>
      </c>
      <c r="G11" s="177">
        <v>85.3</v>
      </c>
      <c r="H11" s="177"/>
      <c r="I11" s="182">
        <v>7</v>
      </c>
      <c r="J11" s="208" t="s">
        <v>199</v>
      </c>
      <c r="K11" s="177">
        <v>83.2</v>
      </c>
    </row>
    <row r="12" spans="1:11" s="165" customFormat="1" ht="15" customHeight="1" x14ac:dyDescent="0.2">
      <c r="A12" s="182">
        <v>8</v>
      </c>
      <c r="B12" s="208" t="s">
        <v>205</v>
      </c>
      <c r="C12" s="177">
        <v>81</v>
      </c>
      <c r="D12" s="177"/>
      <c r="E12" s="182">
        <v>8</v>
      </c>
      <c r="F12" s="209" t="s">
        <v>207</v>
      </c>
      <c r="G12" s="177">
        <v>85.2</v>
      </c>
      <c r="H12" s="177"/>
      <c r="I12" s="182">
        <v>8</v>
      </c>
      <c r="J12" s="208" t="s">
        <v>200</v>
      </c>
      <c r="K12" s="177">
        <v>83.1</v>
      </c>
    </row>
    <row r="13" spans="1:11" s="165" customFormat="1" ht="15" customHeight="1" x14ac:dyDescent="0.2">
      <c r="A13" s="182">
        <v>9</v>
      </c>
      <c r="B13" s="208" t="s">
        <v>203</v>
      </c>
      <c r="C13" s="177">
        <v>80.900000000000006</v>
      </c>
      <c r="D13" s="177"/>
      <c r="E13" s="182">
        <v>9</v>
      </c>
      <c r="F13" s="209" t="s">
        <v>197</v>
      </c>
      <c r="G13" s="177">
        <v>85.1</v>
      </c>
      <c r="H13" s="177"/>
      <c r="I13" s="182">
        <v>9</v>
      </c>
      <c r="J13" s="208" t="s">
        <v>201</v>
      </c>
      <c r="K13" s="177">
        <v>82.8</v>
      </c>
    </row>
    <row r="14" spans="1:11" s="165" customFormat="1" ht="15" customHeight="1" x14ac:dyDescent="0.2">
      <c r="A14" s="182">
        <v>9</v>
      </c>
      <c r="B14" s="208" t="s">
        <v>204</v>
      </c>
      <c r="C14" s="177">
        <v>80.900000000000006</v>
      </c>
      <c r="D14" s="177"/>
      <c r="E14" s="182">
        <v>10</v>
      </c>
      <c r="F14" s="209" t="s">
        <v>210</v>
      </c>
      <c r="G14" s="177">
        <v>85</v>
      </c>
      <c r="H14" s="177"/>
      <c r="I14" s="182">
        <v>10</v>
      </c>
      <c r="J14" s="208" t="s">
        <v>202</v>
      </c>
      <c r="K14" s="177">
        <v>82.7</v>
      </c>
    </row>
    <row r="15" spans="1:11" s="165" customFormat="1" ht="15" customHeight="1" x14ac:dyDescent="0.2">
      <c r="A15" s="182">
        <v>11</v>
      </c>
      <c r="B15" s="208" t="s">
        <v>201</v>
      </c>
      <c r="C15" s="177">
        <v>80.7</v>
      </c>
      <c r="D15" s="177"/>
      <c r="E15" s="182">
        <v>10</v>
      </c>
      <c r="F15" s="209" t="s">
        <v>198</v>
      </c>
      <c r="G15" s="177">
        <v>85</v>
      </c>
      <c r="H15" s="177"/>
      <c r="I15" s="182">
        <v>11</v>
      </c>
      <c r="J15" s="208" t="s">
        <v>203</v>
      </c>
      <c r="K15" s="177">
        <v>82.6</v>
      </c>
    </row>
    <row r="16" spans="1:11" s="165" customFormat="1" ht="15" customHeight="1" x14ac:dyDescent="0.2">
      <c r="A16" s="182">
        <v>12</v>
      </c>
      <c r="B16" s="208" t="s">
        <v>208</v>
      </c>
      <c r="C16" s="177">
        <v>80.5</v>
      </c>
      <c r="D16" s="177"/>
      <c r="E16" s="182">
        <v>12</v>
      </c>
      <c r="F16" s="209" t="s">
        <v>201</v>
      </c>
      <c r="G16" s="177">
        <v>84.8</v>
      </c>
      <c r="H16" s="177"/>
      <c r="I16" s="182" t="s">
        <v>232</v>
      </c>
      <c r="J16" s="208" t="s">
        <v>204</v>
      </c>
      <c r="K16" s="177">
        <v>82.6</v>
      </c>
    </row>
    <row r="17" spans="1:11" s="165" customFormat="1" ht="15" customHeight="1" x14ac:dyDescent="0.2">
      <c r="A17" s="182">
        <v>13</v>
      </c>
      <c r="B17" s="208" t="s">
        <v>206</v>
      </c>
      <c r="C17" s="177">
        <v>80.3</v>
      </c>
      <c r="D17" s="177"/>
      <c r="E17" s="182">
        <v>13</v>
      </c>
      <c r="F17" s="209" t="s">
        <v>206</v>
      </c>
      <c r="G17" s="177">
        <v>84.6</v>
      </c>
      <c r="H17" s="177"/>
      <c r="I17" s="182" t="s">
        <v>232</v>
      </c>
      <c r="J17" s="208" t="s">
        <v>205</v>
      </c>
      <c r="K17" s="177">
        <v>82.6</v>
      </c>
    </row>
    <row r="18" spans="1:11" s="165" customFormat="1" ht="15" customHeight="1" x14ac:dyDescent="0.2">
      <c r="A18" s="182">
        <v>13</v>
      </c>
      <c r="B18" s="208" t="s">
        <v>209</v>
      </c>
      <c r="C18" s="177">
        <v>80.3</v>
      </c>
      <c r="D18" s="177"/>
      <c r="E18" s="182">
        <v>14</v>
      </c>
      <c r="F18" s="209" t="s">
        <v>212</v>
      </c>
      <c r="G18" s="177">
        <v>84.4</v>
      </c>
      <c r="H18" s="177"/>
      <c r="I18" s="182">
        <v>14</v>
      </c>
      <c r="J18" s="208" t="s">
        <v>206</v>
      </c>
      <c r="K18" s="177">
        <v>82.5</v>
      </c>
    </row>
    <row r="19" spans="1:11" s="165" customFormat="1" ht="15" customHeight="1" x14ac:dyDescent="0.2">
      <c r="A19" s="182">
        <v>15</v>
      </c>
      <c r="B19" s="208" t="s">
        <v>200</v>
      </c>
      <c r="C19" s="177">
        <v>80.099999999999994</v>
      </c>
      <c r="D19" s="177"/>
      <c r="E19" s="182">
        <v>14</v>
      </c>
      <c r="F19" s="209" t="s">
        <v>203</v>
      </c>
      <c r="G19" s="177">
        <v>84.4</v>
      </c>
      <c r="H19" s="177"/>
      <c r="I19" s="182">
        <v>15</v>
      </c>
      <c r="J19" s="208" t="s">
        <v>207</v>
      </c>
      <c r="K19" s="177">
        <v>82.4</v>
      </c>
    </row>
    <row r="20" spans="1:11" s="165" customFormat="1" ht="15" customHeight="1" x14ac:dyDescent="0.2">
      <c r="A20" s="182">
        <v>16</v>
      </c>
      <c r="B20" s="208" t="s">
        <v>211</v>
      </c>
      <c r="C20" s="177">
        <v>80</v>
      </c>
      <c r="D20" s="177"/>
      <c r="E20" s="182">
        <v>16</v>
      </c>
      <c r="F20" s="209" t="s">
        <v>215</v>
      </c>
      <c r="G20" s="177">
        <v>84.2</v>
      </c>
      <c r="H20" s="177"/>
      <c r="I20" s="182">
        <v>16</v>
      </c>
      <c r="J20" s="208" t="s">
        <v>208</v>
      </c>
      <c r="K20" s="177">
        <v>82</v>
      </c>
    </row>
    <row r="21" spans="1:11" s="165" customFormat="1" ht="15" customHeight="1" x14ac:dyDescent="0.2">
      <c r="A21" s="182">
        <v>17</v>
      </c>
      <c r="B21" s="208" t="s">
        <v>202</v>
      </c>
      <c r="C21" s="177">
        <v>79.900000000000006</v>
      </c>
      <c r="D21" s="177"/>
      <c r="E21" s="182">
        <v>16</v>
      </c>
      <c r="F21" s="209" t="s">
        <v>204</v>
      </c>
      <c r="G21" s="177">
        <v>84.2</v>
      </c>
      <c r="H21" s="177"/>
      <c r="I21" s="182">
        <v>16</v>
      </c>
      <c r="J21" s="208" t="s">
        <v>209</v>
      </c>
      <c r="K21" s="177">
        <v>82</v>
      </c>
    </row>
    <row r="22" spans="1:11" s="165" customFormat="1" ht="15" customHeight="1" x14ac:dyDescent="0.2">
      <c r="A22" s="182">
        <v>18</v>
      </c>
      <c r="B22" s="208" t="s">
        <v>207</v>
      </c>
      <c r="C22" s="177">
        <v>79.5</v>
      </c>
      <c r="D22" s="177"/>
      <c r="E22" s="182">
        <v>16</v>
      </c>
      <c r="F22" s="209" t="s">
        <v>205</v>
      </c>
      <c r="G22" s="177">
        <v>84.2</v>
      </c>
      <c r="H22" s="177"/>
      <c r="I22" s="182">
        <v>16</v>
      </c>
      <c r="J22" s="208" t="s">
        <v>210</v>
      </c>
      <c r="K22" s="177">
        <v>82</v>
      </c>
    </row>
    <row r="23" spans="1:11" s="165" customFormat="1" ht="15" customHeight="1" x14ac:dyDescent="0.2">
      <c r="A23" s="182">
        <v>19</v>
      </c>
      <c r="B23" s="208" t="s">
        <v>214</v>
      </c>
      <c r="C23" s="177">
        <v>79.3</v>
      </c>
      <c r="D23" s="177"/>
      <c r="E23" s="182">
        <v>19</v>
      </c>
      <c r="F23" s="209" t="s">
        <v>216</v>
      </c>
      <c r="G23" s="177">
        <v>84.1</v>
      </c>
      <c r="H23" s="177"/>
      <c r="I23" s="182">
        <v>19</v>
      </c>
      <c r="J23" s="208" t="s">
        <v>211</v>
      </c>
      <c r="K23" s="177">
        <v>81.900000000000006</v>
      </c>
    </row>
    <row r="24" spans="1:11" s="165" customFormat="1" ht="15" customHeight="1" x14ac:dyDescent="0.2">
      <c r="A24" s="182">
        <v>20</v>
      </c>
      <c r="B24" s="208" t="s">
        <v>213</v>
      </c>
      <c r="C24" s="177">
        <v>79.2</v>
      </c>
      <c r="D24" s="177"/>
      <c r="E24" s="182">
        <v>20</v>
      </c>
      <c r="F24" s="209" t="s">
        <v>213</v>
      </c>
      <c r="G24" s="177">
        <v>84</v>
      </c>
      <c r="H24" s="177"/>
      <c r="I24" s="182">
        <v>20</v>
      </c>
      <c r="J24" s="208" t="s">
        <v>212</v>
      </c>
      <c r="K24" s="177">
        <v>81.7</v>
      </c>
    </row>
    <row r="25" spans="1:11" s="165" customFormat="1" ht="15" customHeight="1" x14ac:dyDescent="0.2">
      <c r="A25" s="182">
        <v>21</v>
      </c>
      <c r="B25" s="208" t="s">
        <v>212</v>
      </c>
      <c r="C25" s="177">
        <v>79.099999999999994</v>
      </c>
      <c r="D25" s="177"/>
      <c r="E25" s="182">
        <v>20</v>
      </c>
      <c r="F25" s="209" t="s">
        <v>214</v>
      </c>
      <c r="G25" s="177">
        <v>84</v>
      </c>
      <c r="H25" s="177"/>
      <c r="I25" s="182">
        <v>21</v>
      </c>
      <c r="J25" s="208" t="s">
        <v>213</v>
      </c>
      <c r="K25" s="177">
        <v>81.599999999999994</v>
      </c>
    </row>
    <row r="26" spans="1:11" s="165" customFormat="1" ht="15" customHeight="1" x14ac:dyDescent="0.2">
      <c r="A26" s="182">
        <v>21</v>
      </c>
      <c r="B26" s="208" t="s">
        <v>210</v>
      </c>
      <c r="C26" s="177">
        <v>79.099999999999994</v>
      </c>
      <c r="D26" s="177"/>
      <c r="E26" s="182">
        <v>22</v>
      </c>
      <c r="F26" s="209" t="s">
        <v>211</v>
      </c>
      <c r="G26" s="177">
        <v>83.8</v>
      </c>
      <c r="H26" s="177"/>
      <c r="I26" s="182">
        <v>21</v>
      </c>
      <c r="J26" s="208" t="s">
        <v>214</v>
      </c>
      <c r="K26" s="177">
        <v>81.599999999999994</v>
      </c>
    </row>
    <row r="27" spans="1:11" s="165" customFormat="1" ht="15" customHeight="1" x14ac:dyDescent="0.2">
      <c r="A27" s="182">
        <v>23</v>
      </c>
      <c r="B27" s="208" t="s">
        <v>215</v>
      </c>
      <c r="C27" s="177">
        <v>79</v>
      </c>
      <c r="D27" s="177"/>
      <c r="E27" s="182">
        <v>23</v>
      </c>
      <c r="F27" s="209" t="s">
        <v>209</v>
      </c>
      <c r="G27" s="177">
        <v>83.7</v>
      </c>
      <c r="H27" s="177"/>
      <c r="I27" s="182">
        <v>21</v>
      </c>
      <c r="J27" s="208" t="s">
        <v>215</v>
      </c>
      <c r="K27" s="177">
        <v>81.599999999999994</v>
      </c>
    </row>
    <row r="28" spans="1:11" s="165" customFormat="1" ht="15" customHeight="1" x14ac:dyDescent="0.2">
      <c r="A28" s="182">
        <v>23</v>
      </c>
      <c r="B28" s="208" t="s">
        <v>218</v>
      </c>
      <c r="C28" s="177">
        <v>79</v>
      </c>
      <c r="D28" s="177"/>
      <c r="E28" s="182">
        <v>24</v>
      </c>
      <c r="F28" s="209" t="s">
        <v>217</v>
      </c>
      <c r="G28" s="177">
        <v>83.6</v>
      </c>
      <c r="H28" s="177"/>
      <c r="I28" s="182">
        <v>24</v>
      </c>
      <c r="J28" s="208" t="s">
        <v>216</v>
      </c>
      <c r="K28" s="177">
        <v>81.400000000000006</v>
      </c>
    </row>
    <row r="29" spans="1:11" s="165" customFormat="1" ht="15" customHeight="1" x14ac:dyDescent="0.2">
      <c r="A29" s="182">
        <v>25</v>
      </c>
      <c r="B29" s="208" t="s">
        <v>216</v>
      </c>
      <c r="C29" s="177">
        <v>78.7</v>
      </c>
      <c r="D29" s="177"/>
      <c r="E29" s="182">
        <v>25</v>
      </c>
      <c r="F29" s="209" t="s">
        <v>208</v>
      </c>
      <c r="G29" s="177">
        <v>83.4</v>
      </c>
      <c r="H29" s="177"/>
      <c r="I29" s="182">
        <v>25</v>
      </c>
      <c r="J29" s="208" t="s">
        <v>217</v>
      </c>
      <c r="K29" s="177">
        <v>81</v>
      </c>
    </row>
    <row r="30" spans="1:11" s="165" customFormat="1" ht="15" customHeight="1" x14ac:dyDescent="0.2">
      <c r="A30" s="182">
        <v>26</v>
      </c>
      <c r="B30" s="208" t="s">
        <v>217</v>
      </c>
      <c r="C30" s="177">
        <v>78.400000000000006</v>
      </c>
      <c r="D30" s="177"/>
      <c r="E30" s="182">
        <v>26</v>
      </c>
      <c r="F30" s="209" t="s">
        <v>221</v>
      </c>
      <c r="G30" s="177">
        <v>83.1</v>
      </c>
      <c r="H30" s="177"/>
      <c r="I30" s="182">
        <v>26</v>
      </c>
      <c r="J30" s="208" t="s">
        <v>218</v>
      </c>
      <c r="K30" s="177">
        <v>80.900000000000006</v>
      </c>
    </row>
    <row r="31" spans="1:11" s="165" customFormat="1" ht="15" customHeight="1" x14ac:dyDescent="0.2">
      <c r="A31" s="182">
        <v>27</v>
      </c>
      <c r="B31" s="208" t="s">
        <v>219</v>
      </c>
      <c r="C31" s="177">
        <v>78.3</v>
      </c>
      <c r="D31" s="177"/>
      <c r="E31" s="182">
        <v>27</v>
      </c>
      <c r="F31" s="209" t="s">
        <v>219</v>
      </c>
      <c r="G31" s="177">
        <v>83</v>
      </c>
      <c r="H31" s="177"/>
      <c r="I31" s="182">
        <v>27</v>
      </c>
      <c r="J31" s="208" t="s">
        <v>219</v>
      </c>
      <c r="K31" s="177">
        <v>80.7</v>
      </c>
    </row>
    <row r="32" spans="1:11" s="165" customFormat="1" ht="15" customHeight="1" x14ac:dyDescent="0.2">
      <c r="A32" s="182">
        <v>28</v>
      </c>
      <c r="B32" s="208" t="s">
        <v>220</v>
      </c>
      <c r="C32" s="177">
        <v>77</v>
      </c>
      <c r="D32" s="177"/>
      <c r="E32" s="182">
        <v>28</v>
      </c>
      <c r="F32" s="209" t="s">
        <v>220</v>
      </c>
      <c r="G32" s="177">
        <v>82.9</v>
      </c>
      <c r="H32" s="177"/>
      <c r="I32" s="182">
        <v>28</v>
      </c>
      <c r="J32" s="208" t="s">
        <v>220</v>
      </c>
      <c r="K32" s="177">
        <v>80</v>
      </c>
    </row>
    <row r="33" spans="1:11" s="165" customFormat="1" ht="15" customHeight="1" x14ac:dyDescent="0.2">
      <c r="A33" s="182">
        <v>29</v>
      </c>
      <c r="B33" s="208" t="s">
        <v>222</v>
      </c>
      <c r="C33" s="177">
        <v>74.8</v>
      </c>
      <c r="D33" s="177"/>
      <c r="E33" s="182">
        <v>28</v>
      </c>
      <c r="F33" s="209" t="s">
        <v>218</v>
      </c>
      <c r="G33" s="177">
        <v>82.9</v>
      </c>
      <c r="H33" s="177"/>
      <c r="I33" s="182">
        <v>29</v>
      </c>
      <c r="J33" s="208" t="s">
        <v>221</v>
      </c>
      <c r="K33" s="177">
        <v>78.8</v>
      </c>
    </row>
    <row r="34" spans="1:11" s="165" customFormat="1" ht="15" customHeight="1" x14ac:dyDescent="0.2">
      <c r="A34" s="182">
        <v>30</v>
      </c>
      <c r="B34" s="208" t="s">
        <v>223</v>
      </c>
      <c r="C34" s="177">
        <v>74.7</v>
      </c>
      <c r="D34" s="177"/>
      <c r="E34" s="182">
        <v>30</v>
      </c>
      <c r="F34" s="209" t="s">
        <v>222</v>
      </c>
      <c r="G34" s="177">
        <v>82.4</v>
      </c>
      <c r="H34" s="177"/>
      <c r="I34" s="182">
        <v>30</v>
      </c>
      <c r="J34" s="208" t="s">
        <v>222</v>
      </c>
      <c r="K34" s="177">
        <v>78.599999999999994</v>
      </c>
    </row>
    <row r="35" spans="1:11" s="165" customFormat="1" ht="15" customHeight="1" x14ac:dyDescent="0.2">
      <c r="A35" s="182">
        <v>30</v>
      </c>
      <c r="B35" s="208" t="s">
        <v>225</v>
      </c>
      <c r="C35" s="177">
        <v>74.7</v>
      </c>
      <c r="D35" s="177"/>
      <c r="E35" s="182">
        <v>31</v>
      </c>
      <c r="F35" s="209" t="s">
        <v>224</v>
      </c>
      <c r="G35" s="177">
        <v>81.7</v>
      </c>
      <c r="H35" s="177"/>
      <c r="I35" s="182">
        <v>31</v>
      </c>
      <c r="J35" s="208" t="s">
        <v>223</v>
      </c>
      <c r="K35" s="177">
        <v>78.099999999999994</v>
      </c>
    </row>
    <row r="36" spans="1:11" s="165" customFormat="1" ht="15" customHeight="1" x14ac:dyDescent="0.2">
      <c r="A36" s="182">
        <v>32</v>
      </c>
      <c r="B36" s="208" t="s">
        <v>221</v>
      </c>
      <c r="C36" s="177">
        <v>74.099999999999994</v>
      </c>
      <c r="D36" s="177"/>
      <c r="E36" s="182">
        <v>32</v>
      </c>
      <c r="F36" s="209" t="s">
        <v>223</v>
      </c>
      <c r="G36" s="177">
        <v>81.5</v>
      </c>
      <c r="H36" s="177"/>
      <c r="I36" s="182">
        <v>32</v>
      </c>
      <c r="J36" s="208" t="s">
        <v>224</v>
      </c>
      <c r="K36" s="177">
        <v>77.3</v>
      </c>
    </row>
    <row r="37" spans="1:11" s="165" customFormat="1" ht="15" customHeight="1" x14ac:dyDescent="0.2">
      <c r="A37" s="182">
        <v>33</v>
      </c>
      <c r="B37" s="208" t="s">
        <v>226</v>
      </c>
      <c r="C37" s="177">
        <v>73.8</v>
      </c>
      <c r="D37" s="177"/>
      <c r="E37" s="182">
        <v>33</v>
      </c>
      <c r="F37" s="209" t="s">
        <v>229</v>
      </c>
      <c r="G37" s="177">
        <v>80.8</v>
      </c>
      <c r="H37" s="177"/>
      <c r="I37" s="182">
        <v>32</v>
      </c>
      <c r="J37" s="208" t="s">
        <v>225</v>
      </c>
      <c r="K37" s="177">
        <v>77.3</v>
      </c>
    </row>
    <row r="38" spans="1:11" s="165" customFormat="1" ht="15" customHeight="1" x14ac:dyDescent="0.2">
      <c r="A38" s="182">
        <v>34</v>
      </c>
      <c r="B38" s="208" t="s">
        <v>227</v>
      </c>
      <c r="C38" s="177">
        <v>73.599999999999994</v>
      </c>
      <c r="D38" s="177"/>
      <c r="E38" s="182">
        <v>34</v>
      </c>
      <c r="F38" s="209" t="s">
        <v>226</v>
      </c>
      <c r="G38" s="177">
        <v>80.099999999999994</v>
      </c>
      <c r="H38" s="177"/>
      <c r="I38" s="182">
        <v>34</v>
      </c>
      <c r="J38" s="208" t="s">
        <v>226</v>
      </c>
      <c r="K38" s="177">
        <v>76.900000000000006</v>
      </c>
    </row>
    <row r="39" spans="1:11" s="165" customFormat="1" ht="15" customHeight="1" x14ac:dyDescent="0.2">
      <c r="A39" s="182">
        <v>35</v>
      </c>
      <c r="B39" s="208" t="s">
        <v>228</v>
      </c>
      <c r="C39" s="177">
        <v>73.5</v>
      </c>
      <c r="D39" s="177"/>
      <c r="E39" s="182">
        <v>34</v>
      </c>
      <c r="F39" s="209" t="s">
        <v>227</v>
      </c>
      <c r="G39" s="177">
        <v>80.099999999999994</v>
      </c>
      <c r="H39" s="177"/>
      <c r="I39" s="182">
        <v>34</v>
      </c>
      <c r="J39" s="208" t="s">
        <v>227</v>
      </c>
      <c r="K39" s="177">
        <v>76.900000000000006</v>
      </c>
    </row>
    <row r="40" spans="1:11" s="165" customFormat="1" ht="15" customHeight="1" x14ac:dyDescent="0.2">
      <c r="A40" s="182">
        <v>36</v>
      </c>
      <c r="B40" s="208" t="s">
        <v>224</v>
      </c>
      <c r="C40" s="177">
        <v>72.5</v>
      </c>
      <c r="D40" s="177"/>
      <c r="E40" s="182">
        <v>36</v>
      </c>
      <c r="F40" s="209" t="s">
        <v>225</v>
      </c>
      <c r="G40" s="177">
        <v>80</v>
      </c>
      <c r="H40" s="177"/>
      <c r="I40" s="182">
        <v>36</v>
      </c>
      <c r="J40" s="208" t="s">
        <v>228</v>
      </c>
      <c r="K40" s="177">
        <v>76.400000000000006</v>
      </c>
    </row>
    <row r="41" spans="1:11" s="165" customFormat="1" ht="15" customHeight="1" x14ac:dyDescent="0.2">
      <c r="A41" s="182">
        <v>37</v>
      </c>
      <c r="B41" s="208" t="s">
        <v>230</v>
      </c>
      <c r="C41" s="177">
        <v>72.3</v>
      </c>
      <c r="D41" s="177"/>
      <c r="E41" s="182">
        <v>37</v>
      </c>
      <c r="F41" s="209" t="s">
        <v>228</v>
      </c>
      <c r="G41" s="177">
        <v>79.3</v>
      </c>
      <c r="H41" s="177"/>
      <c r="I41" s="182">
        <v>37</v>
      </c>
      <c r="J41" s="208" t="s">
        <v>229</v>
      </c>
      <c r="K41" s="177">
        <v>75.900000000000006</v>
      </c>
    </row>
    <row r="42" spans="1:11" s="165" customFormat="1" ht="15" customHeight="1" x14ac:dyDescent="0.2">
      <c r="A42" s="196">
        <v>38</v>
      </c>
      <c r="B42" s="210" t="s">
        <v>229</v>
      </c>
      <c r="C42" s="198">
        <v>70.8</v>
      </c>
      <c r="D42" s="198"/>
      <c r="E42" s="196">
        <v>38</v>
      </c>
      <c r="F42" s="211" t="s">
        <v>230</v>
      </c>
      <c r="G42" s="198">
        <v>78.599999999999994</v>
      </c>
      <c r="H42" s="198"/>
      <c r="I42" s="196">
        <v>38</v>
      </c>
      <c r="J42" s="210" t="s">
        <v>230</v>
      </c>
      <c r="K42" s="198">
        <v>75.3</v>
      </c>
    </row>
    <row r="43" spans="1:11" s="199" customFormat="1" ht="15" customHeight="1" x14ac:dyDescent="0.2">
      <c r="A43" s="212" t="s">
        <v>4</v>
      </c>
      <c r="B43" s="213"/>
      <c r="C43" s="214"/>
      <c r="D43" s="20"/>
      <c r="E43" s="86"/>
      <c r="F43" s="95"/>
      <c r="G43" s="215"/>
      <c r="H43" s="20"/>
      <c r="I43" s="86"/>
      <c r="J43" s="216"/>
      <c r="K43" s="217"/>
    </row>
    <row r="44" spans="1:11" s="218" customFormat="1" ht="39.950000000000003" customHeight="1" x14ac:dyDescent="0.2">
      <c r="A44" s="602" t="s">
        <v>557</v>
      </c>
      <c r="B44" s="605"/>
      <c r="C44" s="605"/>
      <c r="D44" s="605"/>
      <c r="E44" s="605"/>
      <c r="F44" s="605"/>
      <c r="G44" s="605"/>
      <c r="H44" s="605"/>
      <c r="I44" s="605"/>
      <c r="J44" s="605"/>
      <c r="K44" s="605"/>
    </row>
    <row r="45" spans="1:11" s="218" customFormat="1" ht="15" customHeight="1" x14ac:dyDescent="0.2">
      <c r="A45" s="219" t="s">
        <v>233</v>
      </c>
      <c r="B45" s="216"/>
      <c r="C45" s="214"/>
      <c r="D45" s="87"/>
      <c r="E45" s="20"/>
      <c r="F45" s="95"/>
      <c r="G45" s="215"/>
      <c r="H45" s="86"/>
      <c r="I45" s="87"/>
      <c r="J45" s="220"/>
      <c r="K45" s="221"/>
    </row>
    <row r="46" spans="1:11" s="218" customFormat="1" ht="30" customHeight="1" x14ac:dyDescent="0.2">
      <c r="A46" s="615" t="s">
        <v>558</v>
      </c>
      <c r="B46" s="600"/>
      <c r="C46" s="600"/>
      <c r="D46" s="600"/>
      <c r="E46" s="600"/>
      <c r="F46" s="600"/>
      <c r="G46" s="600"/>
      <c r="H46" s="600"/>
      <c r="I46" s="600"/>
      <c r="J46" s="600"/>
      <c r="K46" s="600"/>
    </row>
    <row r="49" spans="2:2" ht="15" customHeight="1" x14ac:dyDescent="0.2">
      <c r="B49" s="534"/>
    </row>
  </sheetData>
  <mergeCells count="5">
    <mergeCell ref="E3:G3"/>
    <mergeCell ref="I3:K3"/>
    <mergeCell ref="A3:C3"/>
    <mergeCell ref="A44:K44"/>
    <mergeCell ref="A46:K46"/>
  </mergeCells>
  <hyperlinks>
    <hyperlink ref="A2" location="Contents!A1" display="Back to contents" xr:uid="{5CD75E95-8AE1-47B5-B068-37004ACBED3A}"/>
  </hyperlinks>
  <pageMargins left="0.7" right="0.7" top="0.75" bottom="0.75" header="0.3" footer="0.3"/>
  <pageSetup paperSize="9" orientation="landscape" r:id="rId1"/>
  <ignoredErrors>
    <ignoredError sqref="I10 I16:I17"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Authoring Document" ma:contentTypeID="0x010100B4A1F787F0C441AC878A307E051D262E0069B38ED95B144E959A9986FA7D37AD350027126E57EDAA824689E9F34CDD3AE21D" ma:contentTypeVersion="1" ma:contentTypeDescription="Create a new authoring document." ma:contentTypeScope="" ma:versionID="cffea2542453eaa486ec2655c4f19543">
  <xsd:schema xmlns:xsd="http://www.w3.org/2001/XMLSchema" xmlns:xs="http://www.w3.org/2001/XMLSchema" xmlns:p="http://schemas.microsoft.com/office/2006/metadata/properties" xmlns:ns2="39aaac7e-fa47-45c8-98ee-9850774078c3" targetNamespace="http://schemas.microsoft.com/office/2006/metadata/properties" ma:root="true" ma:fieldsID="713ad5454a8b1800f97bb6998c288d3c" ns2:_="">
    <xsd:import namespace="39aaac7e-fa47-45c8-98ee-9850774078c3"/>
    <xsd:element name="properties">
      <xsd:complexType>
        <xsd:sequence>
          <xsd:element name="documentManagement">
            <xsd:complexType>
              <xsd:all>
                <xsd:element ref="ns2:AIHW_PPR_ProjectCategoryLookup" minOccurs="0"/>
                <xsd:element ref="ns2:AIHW_PPR_UpdatePending" minOccurs="0"/>
                <xsd:element ref="ns2:AIHW_PPR_UpdateLog"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aaac7e-fa47-45c8-98ee-9850774078c3"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e25f93b5-57d3-47a1-9c6c-5c8fb3eaad73}" ma:internalName="AIHW_PPR_ProjectCategoryLookup" ma:showField="Title" ma:web="{39aaac7e-fa47-45c8-98ee-9850774078c3}">
      <xsd:complexType>
        <xsd:complexContent>
          <xsd:extension base="dms:MultiChoiceLookup">
            <xsd:sequence>
              <xsd:element name="Value" type="dms:Lookup" maxOccurs="unbounded" minOccurs="0" nillable="true"/>
            </xsd:sequence>
          </xsd:extension>
        </xsd:complexContent>
      </xsd:complexType>
    </xsd:element>
    <xsd:element name="AIHW_PPR_UpdatePending" ma:index="9" nillable="true" ma:displayName="Update Pending" ma:internalName="AIHW_PPR_UpdatePending">
      <xsd:simpleType>
        <xsd:restriction base="dms:Boolean"/>
      </xsd:simpleType>
    </xsd:element>
    <xsd:element name="AIHW_PPR_UpdateLog" ma:index="10" nillable="true" ma:displayName="Update Log" ma:internalName="AIHW_PPR_UpdateLog">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AIHW_PPR_UpdateLog xmlns="39aaac7e-fa47-45c8-98ee-9850774078c3" xsi:nil="true"/>
    <AIHW_PPR_UpdatePending xmlns="39aaac7e-fa47-45c8-98ee-9850774078c3">false</AIHW_PPR_UpdatePending>
    <AIHW_PPR_ProjectCategoryLookup xmlns="39aaac7e-fa47-45c8-98ee-9850774078c3"/>
  </documentManagement>
</p:properties>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D864E169-3F5B-4669-8294-E915DFFB4F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aaac7e-fa47-45c8-98ee-9850774078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8FBD626-CA13-46C8-A40B-2EE8DB1C2E6B}">
  <ds:schemaRefs>
    <ds:schemaRef ds:uri="http://schemas.microsoft.com/sharepoint/v3/contenttype/forms"/>
  </ds:schemaRefs>
</ds:datastoreItem>
</file>

<file path=customXml/itemProps3.xml><?xml version="1.0" encoding="utf-8"?>
<ds:datastoreItem xmlns:ds="http://schemas.openxmlformats.org/officeDocument/2006/customXml" ds:itemID="{A01F8419-8314-47B3-9DF0-E6D43FA8D10E}">
  <ds:schemaRef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39aaac7e-fa47-45c8-98ee-9850774078c3"/>
    <ds:schemaRef ds:uri="http://schemas.microsoft.com/office/2006/documentManagement/types"/>
    <ds:schemaRef ds:uri="http://www.w3.org/XML/1998/namespace"/>
  </ds:schemaRefs>
</ds:datastoreItem>
</file>

<file path=customXml/itemProps4.xml><?xml version="1.0" encoding="utf-8"?>
<ds:datastoreItem xmlns:ds="http://schemas.openxmlformats.org/officeDocument/2006/customXml" ds:itemID="{5832D520-EFE0-4026-9496-7727B630B4E2}">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Contents</vt:lpstr>
      <vt:lpstr>Table S2.1</vt:lpstr>
      <vt:lpstr>Table S2.2</vt:lpstr>
      <vt:lpstr>Table S2.3</vt:lpstr>
      <vt:lpstr>Table S3.1</vt:lpstr>
      <vt:lpstr>Table S3.2</vt:lpstr>
      <vt:lpstr>Table S4.1</vt:lpstr>
      <vt:lpstr>Table S5.1</vt:lpstr>
      <vt:lpstr>Table S5.2</vt:lpstr>
      <vt:lpstr>Table S5.3</vt:lpstr>
      <vt:lpstr>Table S6.1</vt:lpstr>
      <vt:lpstr>Table S6.2</vt:lpstr>
      <vt:lpstr>Table S6.3</vt:lpstr>
      <vt:lpstr>Table S6.4</vt:lpstr>
      <vt:lpstr>Table S7.1</vt:lpstr>
      <vt:lpstr>Table S7.2</vt:lpstr>
      <vt:lpstr>Table S7.3</vt:lpstr>
      <vt:lpstr>Table S7.4</vt:lpstr>
      <vt:lpstr>Table S7.5</vt:lpstr>
      <vt:lpstr>Table S7.6</vt:lpstr>
      <vt:lpstr>Table S7.7</vt:lpstr>
      <vt:lpstr>Table S8.1</vt:lpstr>
      <vt:lpstr>Table S8.2</vt:lpstr>
      <vt:lpstr>Table S8.3</vt:lpstr>
      <vt:lpstr>Table S8.4</vt:lpstr>
      <vt:lpstr>Table S8.5</vt:lpstr>
      <vt:lpstr>Table S8.6</vt:lpstr>
      <vt:lpstr>Table S8.7</vt:lpstr>
      <vt:lpstr>Table S8.8</vt:lpstr>
      <vt:lpstr>Table S8.9</vt:lpstr>
      <vt:lpstr>Table S8.10</vt:lpstr>
      <vt:lpstr>Table S8.11</vt:lpstr>
      <vt:lpstr>Table S8.12</vt:lpstr>
      <vt:lpstr>Table S9.1</vt:lpstr>
      <vt:lpstr>Table S9.2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AIHW-PHE-229-report-supplementary-tables</dc:title>
  <dc:subject>Deaths in Australia</dc:subject>
  <dc:creator>AIHW</dc:creator>
  <cp:lastModifiedBy>Sheehan, Katrina</cp:lastModifiedBy>
  <cp:lastPrinted>2013-02-11T06:10:13Z</cp:lastPrinted>
  <dcterms:created xsi:type="dcterms:W3CDTF">2012-11-14T10:13:24Z</dcterms:created>
  <dcterms:modified xsi:type="dcterms:W3CDTF">2025-03-20T01:54:36Z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0x010100B4A1F787F0C441AC878A307E051D262E0069B38ED95B144E959A9986FA7D37AD350027126E57EDAA824689E9F34CDD3AE21D</vt:lpwstr>
  </property>
  <property fmtid="{D5CDD505-2E9C-101B-9397-08002B2CF9AE}" pid="3" name="AIHW_PPR_AnalysisFileRunBy">
    <vt:lpwstr/>
  </property>
</Properties>
</file>